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d88e3b140fd2ff4/Desktop/Documents/excel dashboard/"/>
    </mc:Choice>
  </mc:AlternateContent>
  <xr:revisionPtr revIDLastSave="2" documentId="8_{7D43593B-EFFA-47B8-BADE-4D1E8BAB884E}" xr6:coauthVersionLast="47" xr6:coauthVersionMax="47" xr10:uidLastSave="{7AA2F2FB-54D6-4429-BA1E-9066297EC7C1}"/>
  <bookViews>
    <workbookView xWindow="-108" yWindow="-108" windowWidth="23256" windowHeight="12456" activeTab="1" xr2:uid="{00000000-000D-0000-FFFF-FFFF00000000}"/>
  </bookViews>
  <sheets>
    <sheet name="Tables" sheetId="6" r:id="rId1"/>
    <sheet name="Dashboard" sheetId="8" r:id="rId2"/>
    <sheet name="Retail_data" sheetId="1" r:id="rId3"/>
  </sheets>
  <definedNames>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Z18" i="1" l="1"/>
  <c r="Z15" i="1"/>
  <c r="Z12" i="1"/>
  <c r="Z9" i="1"/>
  <c r="Z6" i="1"/>
  <c r="Z3"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M6" i="6"/>
  <c r="L6" i="6"/>
  <c r="K6" i="6"/>
</calcChain>
</file>

<file path=xl/sharedStrings.xml><?xml version="1.0" encoding="utf-8"?>
<sst xmlns="http://schemas.openxmlformats.org/spreadsheetml/2006/main" count="12119" uniqueCount="3265">
  <si>
    <t>Order ID</t>
  </si>
  <si>
    <t>Order Date</t>
  </si>
  <si>
    <t>Ship Date</t>
  </si>
  <si>
    <t>Customer ID</t>
  </si>
  <si>
    <t>Customer Name</t>
  </si>
  <si>
    <t>Segment</t>
  </si>
  <si>
    <t>Country</t>
  </si>
  <si>
    <t>State</t>
  </si>
  <si>
    <t>City</t>
  </si>
  <si>
    <t>Region</t>
  </si>
  <si>
    <t>Category</t>
  </si>
  <si>
    <t>Sub-Category</t>
  </si>
  <si>
    <t>Product Name</t>
  </si>
  <si>
    <t>Sales</t>
  </si>
  <si>
    <t>Quantity</t>
  </si>
  <si>
    <t>Discount</t>
  </si>
  <si>
    <t>Profit</t>
  </si>
  <si>
    <t>Ship Mode</t>
  </si>
  <si>
    <t>ORD10000</t>
  </si>
  <si>
    <t>C1000</t>
  </si>
  <si>
    <t>Customer 0</t>
  </si>
  <si>
    <t>Home Office</t>
  </si>
  <si>
    <t>India</t>
  </si>
  <si>
    <t>Haryana</t>
  </si>
  <si>
    <t>Gurugram</t>
  </si>
  <si>
    <t>North</t>
  </si>
  <si>
    <t>Furniture</t>
  </si>
  <si>
    <t>Bookcases</t>
  </si>
  <si>
    <t>Bookcases Model 20</t>
  </si>
  <si>
    <t>Second Class</t>
  </si>
  <si>
    <t>ORD10001</t>
  </si>
  <si>
    <t>C1001</t>
  </si>
  <si>
    <t>Customer 1</t>
  </si>
  <si>
    <t>Corporate</t>
  </si>
  <si>
    <t>Karnataka</t>
  </si>
  <si>
    <t>Bengaluru</t>
  </si>
  <si>
    <t>South</t>
  </si>
  <si>
    <t>Office Supplies</t>
  </si>
  <si>
    <t>Binders</t>
  </si>
  <si>
    <t>Binders Model 9</t>
  </si>
  <si>
    <t>Standard</t>
  </si>
  <si>
    <t>ORD10002</t>
  </si>
  <si>
    <t>C1002</t>
  </si>
  <si>
    <t>Customer 2</t>
  </si>
  <si>
    <t>Consumer</t>
  </si>
  <si>
    <t>Delhi</t>
  </si>
  <si>
    <t>Storage</t>
  </si>
  <si>
    <t>Storage Model 9</t>
  </si>
  <si>
    <t>Same Day</t>
  </si>
  <si>
    <t>ORD10003</t>
  </si>
  <si>
    <t>C1003</t>
  </si>
  <si>
    <t>Customer 3</t>
  </si>
  <si>
    <t>Paper</t>
  </si>
  <si>
    <t>Paper Model 6</t>
  </si>
  <si>
    <t>ORD10004</t>
  </si>
  <si>
    <t>C1004</t>
  </si>
  <si>
    <t>Customer 4</t>
  </si>
  <si>
    <t>Technology</t>
  </si>
  <si>
    <t>Laptops</t>
  </si>
  <si>
    <t>Laptops Model 6</t>
  </si>
  <si>
    <t>ORD10005</t>
  </si>
  <si>
    <t>C1005</t>
  </si>
  <si>
    <t>Customer 5</t>
  </si>
  <si>
    <t>Laptops Model 15</t>
  </si>
  <si>
    <t>ORD10006</t>
  </si>
  <si>
    <t>C1006</t>
  </si>
  <si>
    <t>Customer 6</t>
  </si>
  <si>
    <t>Maharashtra</t>
  </si>
  <si>
    <t>Mumbai</t>
  </si>
  <si>
    <t>West</t>
  </si>
  <si>
    <t>Tables</t>
  </si>
  <si>
    <t>Tables Model 13</t>
  </si>
  <si>
    <t>ORD10007</t>
  </si>
  <si>
    <t>C1007</t>
  </si>
  <si>
    <t>Customer 7</t>
  </si>
  <si>
    <t>Tables Model 18</t>
  </si>
  <si>
    <t>ORD10008</t>
  </si>
  <si>
    <t>C1008</t>
  </si>
  <si>
    <t>Customer 8</t>
  </si>
  <si>
    <t>Accessories</t>
  </si>
  <si>
    <t>Accessories Model 8</t>
  </si>
  <si>
    <t>First Class</t>
  </si>
  <si>
    <t>ORD10009</t>
  </si>
  <si>
    <t>C1009</t>
  </si>
  <si>
    <t>Customer 9</t>
  </si>
  <si>
    <t>West Bengal</t>
  </si>
  <si>
    <t>Kolkata</t>
  </si>
  <si>
    <t>East</t>
  </si>
  <si>
    <t>Accessories Model 20</t>
  </si>
  <si>
    <t>ORD10010</t>
  </si>
  <si>
    <t>C1010</t>
  </si>
  <si>
    <t>Customer 10</t>
  </si>
  <si>
    <t>Chairs</t>
  </si>
  <si>
    <t>Chairs Model 19</t>
  </si>
  <si>
    <t>ORD10011</t>
  </si>
  <si>
    <t>C1011</t>
  </si>
  <si>
    <t>Customer 11</t>
  </si>
  <si>
    <t>Laptops Model 3</t>
  </si>
  <si>
    <t>ORD10012</t>
  </si>
  <si>
    <t>C1012</t>
  </si>
  <si>
    <t>Customer 12</t>
  </si>
  <si>
    <t>Paper Model 17</t>
  </si>
  <si>
    <t>ORD10013</t>
  </si>
  <si>
    <t>C1013</t>
  </si>
  <si>
    <t>Customer 13</t>
  </si>
  <si>
    <t>Storage Model 13</t>
  </si>
  <si>
    <t>ORD10014</t>
  </si>
  <si>
    <t>C1014</t>
  </si>
  <si>
    <t>Customer 14</t>
  </si>
  <si>
    <t>Chairs Model 9</t>
  </si>
  <si>
    <t>ORD10015</t>
  </si>
  <si>
    <t>C1015</t>
  </si>
  <si>
    <t>Customer 15</t>
  </si>
  <si>
    <t>Accessories Model 10</t>
  </si>
  <si>
    <t>ORD10016</t>
  </si>
  <si>
    <t>C1016</t>
  </si>
  <si>
    <t>Customer 16</t>
  </si>
  <si>
    <t>Tables Model 17</t>
  </si>
  <si>
    <t>ORD10017</t>
  </si>
  <si>
    <t>C1017</t>
  </si>
  <si>
    <t>Customer 17</t>
  </si>
  <si>
    <t>Chairs Model 18</t>
  </si>
  <si>
    <t>ORD10018</t>
  </si>
  <si>
    <t>C1018</t>
  </si>
  <si>
    <t>Customer 18</t>
  </si>
  <si>
    <t>Laptops Model 4</t>
  </si>
  <si>
    <t>ORD10019</t>
  </si>
  <si>
    <t>C1019</t>
  </si>
  <si>
    <t>Customer 19</t>
  </si>
  <si>
    <t>Storage Model 12</t>
  </si>
  <si>
    <t>ORD10020</t>
  </si>
  <si>
    <t>C1020</t>
  </si>
  <si>
    <t>Customer 20</t>
  </si>
  <si>
    <t>Tables Model 2</t>
  </si>
  <si>
    <t>ORD10021</t>
  </si>
  <si>
    <t>C1021</t>
  </si>
  <si>
    <t>Customer 21</t>
  </si>
  <si>
    <t>Accessories Model 6</t>
  </si>
  <si>
    <t>ORD10022</t>
  </si>
  <si>
    <t>C1022</t>
  </si>
  <si>
    <t>Customer 22</t>
  </si>
  <si>
    <t>Accessories Model 9</t>
  </si>
  <si>
    <t>ORD10023</t>
  </si>
  <si>
    <t>C1023</t>
  </si>
  <si>
    <t>Customer 23</t>
  </si>
  <si>
    <t>Binders Model 17</t>
  </si>
  <si>
    <t>ORD10024</t>
  </si>
  <si>
    <t>C1024</t>
  </si>
  <si>
    <t>Customer 24</t>
  </si>
  <si>
    <t>Phones</t>
  </si>
  <si>
    <t>Phones Model 1</t>
  </si>
  <si>
    <t>ORD10025</t>
  </si>
  <si>
    <t>C1025</t>
  </si>
  <si>
    <t>Customer 25</t>
  </si>
  <si>
    <t>ORD10026</t>
  </si>
  <si>
    <t>C1026</t>
  </si>
  <si>
    <t>Customer 26</t>
  </si>
  <si>
    <t>Phones Model 13</t>
  </si>
  <si>
    <t>ORD10027</t>
  </si>
  <si>
    <t>C1027</t>
  </si>
  <si>
    <t>Customer 27</t>
  </si>
  <si>
    <t>Tables Model 11</t>
  </si>
  <si>
    <t>ORD10028</t>
  </si>
  <si>
    <t>C1028</t>
  </si>
  <si>
    <t>Customer 28</t>
  </si>
  <si>
    <t>ORD10029</t>
  </si>
  <si>
    <t>C1029</t>
  </si>
  <si>
    <t>Customer 29</t>
  </si>
  <si>
    <t>Bookcases Model 7</t>
  </si>
  <si>
    <t>ORD10030</t>
  </si>
  <si>
    <t>C1030</t>
  </si>
  <si>
    <t>Customer 30</t>
  </si>
  <si>
    <t>Storage Model 1</t>
  </si>
  <si>
    <t>ORD10031</t>
  </si>
  <si>
    <t>C1031</t>
  </si>
  <si>
    <t>Customer 31</t>
  </si>
  <si>
    <t>Phones Model 8</t>
  </si>
  <si>
    <t>ORD10032</t>
  </si>
  <si>
    <t>C1032</t>
  </si>
  <si>
    <t>Customer 32</t>
  </si>
  <si>
    <t>Tables Model 10</t>
  </si>
  <si>
    <t>ORD10033</t>
  </si>
  <si>
    <t>C1033</t>
  </si>
  <si>
    <t>Customer 33</t>
  </si>
  <si>
    <t>Paper Model 14</t>
  </si>
  <si>
    <t>ORD10034</t>
  </si>
  <si>
    <t>C1034</t>
  </si>
  <si>
    <t>Customer 34</t>
  </si>
  <si>
    <t>Laptops Model 11</t>
  </si>
  <si>
    <t>ORD10035</t>
  </si>
  <si>
    <t>C1035</t>
  </si>
  <si>
    <t>Customer 35</t>
  </si>
  <si>
    <t>ORD10036</t>
  </si>
  <si>
    <t>C1036</t>
  </si>
  <si>
    <t>Customer 36</t>
  </si>
  <si>
    <t>ORD10037</t>
  </si>
  <si>
    <t>C1037</t>
  </si>
  <si>
    <t>Customer 37</t>
  </si>
  <si>
    <t>Paper Model 20</t>
  </si>
  <si>
    <t>ORD10038</t>
  </si>
  <si>
    <t>C1038</t>
  </si>
  <si>
    <t>Customer 38</t>
  </si>
  <si>
    <t>Storage Model 4</t>
  </si>
  <si>
    <t>ORD10039</t>
  </si>
  <si>
    <t>C1039</t>
  </si>
  <si>
    <t>Customer 39</t>
  </si>
  <si>
    <t>Paper Model 12</t>
  </si>
  <si>
    <t>ORD10040</t>
  </si>
  <si>
    <t>C1040</t>
  </si>
  <si>
    <t>Customer 40</t>
  </si>
  <si>
    <t>Phones Model 20</t>
  </si>
  <si>
    <t>ORD10041</t>
  </si>
  <si>
    <t>C1041</t>
  </si>
  <si>
    <t>Customer 41</t>
  </si>
  <si>
    <t>Bookcases Model 6</t>
  </si>
  <si>
    <t>ORD10042</t>
  </si>
  <si>
    <t>C1042</t>
  </si>
  <si>
    <t>Customer 42</t>
  </si>
  <si>
    <t>ORD10043</t>
  </si>
  <si>
    <t>C1043</t>
  </si>
  <si>
    <t>Customer 43</t>
  </si>
  <si>
    <t>ORD10044</t>
  </si>
  <si>
    <t>C1044</t>
  </si>
  <si>
    <t>Customer 44</t>
  </si>
  <si>
    <t>ORD10045</t>
  </si>
  <si>
    <t>C1045</t>
  </si>
  <si>
    <t>Customer 45</t>
  </si>
  <si>
    <t>Phones Model 7</t>
  </si>
  <si>
    <t>ORD10046</t>
  </si>
  <si>
    <t>C1046</t>
  </si>
  <si>
    <t>Customer 46</t>
  </si>
  <si>
    <t>Tables Model 9</t>
  </si>
  <si>
    <t>ORD10047</t>
  </si>
  <si>
    <t>C1047</t>
  </si>
  <si>
    <t>Customer 47</t>
  </si>
  <si>
    <t>Chairs Model 10</t>
  </si>
  <si>
    <t>ORD10048</t>
  </si>
  <si>
    <t>C1048</t>
  </si>
  <si>
    <t>Customer 48</t>
  </si>
  <si>
    <t>Tables Model 3</t>
  </si>
  <si>
    <t>ORD10049</t>
  </si>
  <si>
    <t>C1049</t>
  </si>
  <si>
    <t>Customer 49</t>
  </si>
  <si>
    <t>ORD10050</t>
  </si>
  <si>
    <t>C1050</t>
  </si>
  <si>
    <t>Customer 50</t>
  </si>
  <si>
    <t>Chairs Model 2</t>
  </si>
  <si>
    <t>ORD10051</t>
  </si>
  <si>
    <t>C1051</t>
  </si>
  <si>
    <t>Customer 51</t>
  </si>
  <si>
    <t>Laptops Model 7</t>
  </si>
  <si>
    <t>ORD10052</t>
  </si>
  <si>
    <t>C1052</t>
  </si>
  <si>
    <t>Customer 52</t>
  </si>
  <si>
    <t>Accessories Model 12</t>
  </si>
  <si>
    <t>ORD10053</t>
  </si>
  <si>
    <t>C1053</t>
  </si>
  <si>
    <t>Customer 53</t>
  </si>
  <si>
    <t>Accessories Model 17</t>
  </si>
  <si>
    <t>ORD10054</t>
  </si>
  <si>
    <t>C1054</t>
  </si>
  <si>
    <t>Customer 54</t>
  </si>
  <si>
    <t>Phones Model 15</t>
  </si>
  <si>
    <t>ORD10055</t>
  </si>
  <si>
    <t>C1055</t>
  </si>
  <si>
    <t>Customer 55</t>
  </si>
  <si>
    <t>Bookcases Model 5</t>
  </si>
  <si>
    <t>ORD10056</t>
  </si>
  <si>
    <t>C1056</t>
  </si>
  <si>
    <t>Customer 56</t>
  </si>
  <si>
    <t>Binders Model 5</t>
  </si>
  <si>
    <t>ORD10057</t>
  </si>
  <si>
    <t>C1057</t>
  </si>
  <si>
    <t>Customer 57</t>
  </si>
  <si>
    <t>Bookcases Model 4</t>
  </si>
  <si>
    <t>ORD10058</t>
  </si>
  <si>
    <t>C1058</t>
  </si>
  <si>
    <t>Customer 58</t>
  </si>
  <si>
    <t>Laptops Model 20</t>
  </si>
  <si>
    <t>ORD10059</t>
  </si>
  <si>
    <t>C1059</t>
  </si>
  <si>
    <t>Customer 59</t>
  </si>
  <si>
    <t>ORD10060</t>
  </si>
  <si>
    <t>C1060</t>
  </si>
  <si>
    <t>Customer 60</t>
  </si>
  <si>
    <t>Bookcases Model 15</t>
  </si>
  <si>
    <t>ORD10061</t>
  </si>
  <si>
    <t>C1061</t>
  </si>
  <si>
    <t>Customer 61</t>
  </si>
  <si>
    <t>ORD10062</t>
  </si>
  <si>
    <t>C1062</t>
  </si>
  <si>
    <t>Customer 62</t>
  </si>
  <si>
    <t>Paper Model 7</t>
  </si>
  <si>
    <t>ORD10063</t>
  </si>
  <si>
    <t>C1063</t>
  </si>
  <si>
    <t>Customer 63</t>
  </si>
  <si>
    <t>Chairs Model 11</t>
  </si>
  <si>
    <t>ORD10064</t>
  </si>
  <si>
    <t>C1064</t>
  </si>
  <si>
    <t>Customer 64</t>
  </si>
  <si>
    <t>ORD10065</t>
  </si>
  <si>
    <t>C1065</t>
  </si>
  <si>
    <t>Customer 65</t>
  </si>
  <si>
    <t>ORD10066</t>
  </si>
  <si>
    <t>C1066</t>
  </si>
  <si>
    <t>Customer 66</t>
  </si>
  <si>
    <t>ORD10067</t>
  </si>
  <si>
    <t>C1067</t>
  </si>
  <si>
    <t>Customer 67</t>
  </si>
  <si>
    <t>Laptops Model 8</t>
  </si>
  <si>
    <t>ORD10068</t>
  </si>
  <si>
    <t>C1068</t>
  </si>
  <si>
    <t>Customer 68</t>
  </si>
  <si>
    <t>ORD10069</t>
  </si>
  <si>
    <t>C1069</t>
  </si>
  <si>
    <t>Customer 69</t>
  </si>
  <si>
    <t>Tables Model 15</t>
  </si>
  <si>
    <t>ORD10070</t>
  </si>
  <si>
    <t>C1070</t>
  </si>
  <si>
    <t>Customer 70</t>
  </si>
  <si>
    <t>Storage Model 2</t>
  </si>
  <si>
    <t>ORD10071</t>
  </si>
  <si>
    <t>C1071</t>
  </si>
  <si>
    <t>Customer 71</t>
  </si>
  <si>
    <t>Tables Model 20</t>
  </si>
  <si>
    <t>ORD10072</t>
  </si>
  <si>
    <t>C1072</t>
  </si>
  <si>
    <t>Customer 72</t>
  </si>
  <si>
    <t>Paper Model 13</t>
  </si>
  <si>
    <t>ORD10073</t>
  </si>
  <si>
    <t>C1073</t>
  </si>
  <si>
    <t>Customer 73</t>
  </si>
  <si>
    <t>ORD10074</t>
  </si>
  <si>
    <t>C1074</t>
  </si>
  <si>
    <t>Customer 74</t>
  </si>
  <si>
    <t>Paper Model 5</t>
  </si>
  <si>
    <t>ORD10075</t>
  </si>
  <si>
    <t>C1075</t>
  </si>
  <si>
    <t>Customer 75</t>
  </si>
  <si>
    <t>Binders Model 6</t>
  </si>
  <si>
    <t>ORD10076</t>
  </si>
  <si>
    <t>C1076</t>
  </si>
  <si>
    <t>Customer 76</t>
  </si>
  <si>
    <t>Chairs Model 6</t>
  </si>
  <si>
    <t>ORD10077</t>
  </si>
  <si>
    <t>C1077</t>
  </si>
  <si>
    <t>Customer 77</t>
  </si>
  <si>
    <t>Bookcases Model 17</t>
  </si>
  <si>
    <t>ORD10078</t>
  </si>
  <si>
    <t>C1078</t>
  </si>
  <si>
    <t>Customer 78</t>
  </si>
  <si>
    <t>Accessories Model 7</t>
  </si>
  <si>
    <t>ORD10079</t>
  </si>
  <si>
    <t>C1079</t>
  </si>
  <si>
    <t>Customer 79</t>
  </si>
  <si>
    <t>ORD10080</t>
  </si>
  <si>
    <t>C1080</t>
  </si>
  <si>
    <t>Customer 80</t>
  </si>
  <si>
    <t>Paper Model 11</t>
  </si>
  <si>
    <t>ORD10081</t>
  </si>
  <si>
    <t>C1081</t>
  </si>
  <si>
    <t>Customer 81</t>
  </si>
  <si>
    <t>Phones Model 16</t>
  </si>
  <si>
    <t>ORD10082</t>
  </si>
  <si>
    <t>C1082</t>
  </si>
  <si>
    <t>Customer 82</t>
  </si>
  <si>
    <t>Phones Model 9</t>
  </si>
  <si>
    <t>ORD10083</t>
  </si>
  <si>
    <t>C1083</t>
  </si>
  <si>
    <t>Customer 83</t>
  </si>
  <si>
    <t>Accessories Model 3</t>
  </si>
  <si>
    <t>ORD10084</t>
  </si>
  <si>
    <t>C1084</t>
  </si>
  <si>
    <t>Customer 84</t>
  </si>
  <si>
    <t>ORD10085</t>
  </si>
  <si>
    <t>C1085</t>
  </si>
  <si>
    <t>Customer 85</t>
  </si>
  <si>
    <t>ORD10086</t>
  </si>
  <si>
    <t>C1086</t>
  </si>
  <si>
    <t>Customer 86</t>
  </si>
  <si>
    <t>ORD10087</t>
  </si>
  <si>
    <t>C1087</t>
  </si>
  <si>
    <t>Customer 87</t>
  </si>
  <si>
    <t>Binders Model 19</t>
  </si>
  <si>
    <t>ORD10088</t>
  </si>
  <si>
    <t>C1088</t>
  </si>
  <si>
    <t>Customer 88</t>
  </si>
  <si>
    <t>Laptops Model 18</t>
  </si>
  <si>
    <t>ORD10089</t>
  </si>
  <si>
    <t>C1089</t>
  </si>
  <si>
    <t>Customer 89</t>
  </si>
  <si>
    <t>Storage Model 14</t>
  </si>
  <si>
    <t>ORD10090</t>
  </si>
  <si>
    <t>C1090</t>
  </si>
  <si>
    <t>Customer 90</t>
  </si>
  <si>
    <t>Accessories Model 13</t>
  </si>
  <si>
    <t>ORD10091</t>
  </si>
  <si>
    <t>C1091</t>
  </si>
  <si>
    <t>Customer 91</t>
  </si>
  <si>
    <t>Phones Model 14</t>
  </si>
  <si>
    <t>ORD10092</t>
  </si>
  <si>
    <t>C1092</t>
  </si>
  <si>
    <t>Customer 92</t>
  </si>
  <si>
    <t>Bookcases Model 18</t>
  </si>
  <si>
    <t>ORD10093</t>
  </si>
  <si>
    <t>C1093</t>
  </si>
  <si>
    <t>Customer 93</t>
  </si>
  <si>
    <t>Phones Model 18</t>
  </si>
  <si>
    <t>ORD10094</t>
  </si>
  <si>
    <t>C1094</t>
  </si>
  <si>
    <t>Customer 94</t>
  </si>
  <si>
    <t>Binders Model 7</t>
  </si>
  <si>
    <t>ORD10095</t>
  </si>
  <si>
    <t>C1095</t>
  </si>
  <si>
    <t>Customer 95</t>
  </si>
  <si>
    <t>Chairs Model 13</t>
  </si>
  <si>
    <t>ORD10096</t>
  </si>
  <si>
    <t>C1096</t>
  </si>
  <si>
    <t>Customer 96</t>
  </si>
  <si>
    <t>Laptops Model 16</t>
  </si>
  <si>
    <t>ORD10097</t>
  </si>
  <si>
    <t>C1097</t>
  </si>
  <si>
    <t>Customer 97</t>
  </si>
  <si>
    <t>ORD10098</t>
  </si>
  <si>
    <t>C1098</t>
  </si>
  <si>
    <t>Customer 98</t>
  </si>
  <si>
    <t>Storage Model 19</t>
  </si>
  <si>
    <t>ORD10099</t>
  </si>
  <si>
    <t>C1099</t>
  </si>
  <si>
    <t>Customer 99</t>
  </si>
  <si>
    <t>ORD10100</t>
  </si>
  <si>
    <t>C1100</t>
  </si>
  <si>
    <t>Customer 100</t>
  </si>
  <si>
    <t>Chairs Model 5</t>
  </si>
  <si>
    <t>ORD10101</t>
  </si>
  <si>
    <t>C1101</t>
  </si>
  <si>
    <t>Customer 101</t>
  </si>
  <si>
    <t>ORD10102</t>
  </si>
  <si>
    <t>C1102</t>
  </si>
  <si>
    <t>Customer 102</t>
  </si>
  <si>
    <t>ORD10103</t>
  </si>
  <si>
    <t>C1103</t>
  </si>
  <si>
    <t>Customer 103</t>
  </si>
  <si>
    <t>ORD10104</t>
  </si>
  <si>
    <t>C1104</t>
  </si>
  <si>
    <t>Customer 104</t>
  </si>
  <si>
    <t>ORD10105</t>
  </si>
  <si>
    <t>C1105</t>
  </si>
  <si>
    <t>Customer 105</t>
  </si>
  <si>
    <t>Bookcases Model 10</t>
  </si>
  <si>
    <t>ORD10106</t>
  </si>
  <si>
    <t>C1106</t>
  </si>
  <si>
    <t>Customer 106</t>
  </si>
  <si>
    <t>Phones Model 17</t>
  </si>
  <si>
    <t>ORD10107</t>
  </si>
  <si>
    <t>C1107</t>
  </si>
  <si>
    <t>Customer 107</t>
  </si>
  <si>
    <t>ORD10108</t>
  </si>
  <si>
    <t>C1108</t>
  </si>
  <si>
    <t>Customer 108</t>
  </si>
  <si>
    <t>Binders Model 18</t>
  </si>
  <si>
    <t>ORD10109</t>
  </si>
  <si>
    <t>C1109</t>
  </si>
  <si>
    <t>Customer 109</t>
  </si>
  <si>
    <t>ORD10110</t>
  </si>
  <si>
    <t>C1110</t>
  </si>
  <si>
    <t>Customer 110</t>
  </si>
  <si>
    <t>Phones Model 10</t>
  </si>
  <si>
    <t>ORD10111</t>
  </si>
  <si>
    <t>C1111</t>
  </si>
  <si>
    <t>Customer 111</t>
  </si>
  <si>
    <t>ORD10112</t>
  </si>
  <si>
    <t>C1112</t>
  </si>
  <si>
    <t>Customer 112</t>
  </si>
  <si>
    <t>Storage Model 5</t>
  </si>
  <si>
    <t>ORD10113</t>
  </si>
  <si>
    <t>C1113</t>
  </si>
  <si>
    <t>Customer 113</t>
  </si>
  <si>
    <t>ORD10114</t>
  </si>
  <si>
    <t>C1114</t>
  </si>
  <si>
    <t>Customer 114</t>
  </si>
  <si>
    <t>Laptops Model 5</t>
  </si>
  <si>
    <t>ORD10115</t>
  </si>
  <si>
    <t>C1115</t>
  </si>
  <si>
    <t>Customer 115</t>
  </si>
  <si>
    <t>Chairs Model 15</t>
  </si>
  <si>
    <t>ORD10116</t>
  </si>
  <si>
    <t>C1116</t>
  </si>
  <si>
    <t>Customer 116</t>
  </si>
  <si>
    <t>Accessories Model 16</t>
  </si>
  <si>
    <t>ORD10117</t>
  </si>
  <si>
    <t>C1117</t>
  </si>
  <si>
    <t>Customer 117</t>
  </si>
  <si>
    <t>Bookcases Model 12</t>
  </si>
  <si>
    <t>ORD10118</t>
  </si>
  <si>
    <t>C1118</t>
  </si>
  <si>
    <t>Customer 118</t>
  </si>
  <si>
    <t>ORD10119</t>
  </si>
  <si>
    <t>C1119</t>
  </si>
  <si>
    <t>Customer 119</t>
  </si>
  <si>
    <t>ORD10120</t>
  </si>
  <si>
    <t>C1120</t>
  </si>
  <si>
    <t>Customer 120</t>
  </si>
  <si>
    <t>Chairs Model 1</t>
  </si>
  <si>
    <t>ORD10121</t>
  </si>
  <si>
    <t>C1121</t>
  </si>
  <si>
    <t>Customer 121</t>
  </si>
  <si>
    <t>Tables Model 1</t>
  </si>
  <si>
    <t>ORD10122</t>
  </si>
  <si>
    <t>C1122</t>
  </si>
  <si>
    <t>Customer 122</t>
  </si>
  <si>
    <t>Bookcases Model 19</t>
  </si>
  <si>
    <t>ORD10123</t>
  </si>
  <si>
    <t>C1123</t>
  </si>
  <si>
    <t>Customer 123</t>
  </si>
  <si>
    <t>ORD10124</t>
  </si>
  <si>
    <t>C1124</t>
  </si>
  <si>
    <t>Customer 124</t>
  </si>
  <si>
    <t>ORD10125</t>
  </si>
  <si>
    <t>C1125</t>
  </si>
  <si>
    <t>Customer 125</t>
  </si>
  <si>
    <t>ORD10126</t>
  </si>
  <si>
    <t>C1126</t>
  </si>
  <si>
    <t>Customer 126</t>
  </si>
  <si>
    <t>ORD10127</t>
  </si>
  <si>
    <t>C1127</t>
  </si>
  <si>
    <t>Customer 127</t>
  </si>
  <si>
    <t>Phones Model 12</t>
  </si>
  <si>
    <t>ORD10128</t>
  </si>
  <si>
    <t>C1128</t>
  </si>
  <si>
    <t>Customer 128</t>
  </si>
  <si>
    <t>ORD10129</t>
  </si>
  <si>
    <t>C1129</t>
  </si>
  <si>
    <t>Customer 129</t>
  </si>
  <si>
    <t>Accessories Model 14</t>
  </si>
  <si>
    <t>ORD10130</t>
  </si>
  <si>
    <t>C1130</t>
  </si>
  <si>
    <t>Customer 130</t>
  </si>
  <si>
    <t>Phones Model 2</t>
  </si>
  <si>
    <t>ORD10131</t>
  </si>
  <si>
    <t>C1131</t>
  </si>
  <si>
    <t>Customer 131</t>
  </si>
  <si>
    <t>Laptops Model 9</t>
  </si>
  <si>
    <t>ORD10132</t>
  </si>
  <si>
    <t>C1132</t>
  </si>
  <si>
    <t>Customer 132</t>
  </si>
  <si>
    <t>ORD10133</t>
  </si>
  <si>
    <t>C1133</t>
  </si>
  <si>
    <t>Customer 133</t>
  </si>
  <si>
    <t>Laptops Model 13</t>
  </si>
  <si>
    <t>ORD10134</t>
  </si>
  <si>
    <t>C1134</t>
  </si>
  <si>
    <t>Customer 134</t>
  </si>
  <si>
    <t>ORD10135</t>
  </si>
  <si>
    <t>C1135</t>
  </si>
  <si>
    <t>Customer 135</t>
  </si>
  <si>
    <t>ORD10136</t>
  </si>
  <si>
    <t>C1136</t>
  </si>
  <si>
    <t>Customer 136</t>
  </si>
  <si>
    <t>Chairs Model 8</t>
  </si>
  <si>
    <t>ORD10137</t>
  </si>
  <si>
    <t>C1137</t>
  </si>
  <si>
    <t>Customer 137</t>
  </si>
  <si>
    <t>Storage Model 3</t>
  </si>
  <si>
    <t>ORD10138</t>
  </si>
  <si>
    <t>C1138</t>
  </si>
  <si>
    <t>Customer 138</t>
  </si>
  <si>
    <t>ORD10139</t>
  </si>
  <si>
    <t>C1139</t>
  </si>
  <si>
    <t>Customer 139</t>
  </si>
  <si>
    <t>Chairs Model 20</t>
  </si>
  <si>
    <t>ORD10140</t>
  </si>
  <si>
    <t>C1140</t>
  </si>
  <si>
    <t>Customer 140</t>
  </si>
  <si>
    <t>ORD10141</t>
  </si>
  <si>
    <t>C1141</t>
  </si>
  <si>
    <t>Customer 141</t>
  </si>
  <si>
    <t>Bookcases Model 11</t>
  </si>
  <si>
    <t>ORD10142</t>
  </si>
  <si>
    <t>C1142</t>
  </si>
  <si>
    <t>Customer 142</t>
  </si>
  <si>
    <t>Storage Model 18</t>
  </si>
  <si>
    <t>ORD10143</t>
  </si>
  <si>
    <t>C1143</t>
  </si>
  <si>
    <t>Customer 143</t>
  </si>
  <si>
    <t>ORD10144</t>
  </si>
  <si>
    <t>C1144</t>
  </si>
  <si>
    <t>Customer 144</t>
  </si>
  <si>
    <t>ORD10145</t>
  </si>
  <si>
    <t>C1145</t>
  </si>
  <si>
    <t>Customer 145</t>
  </si>
  <si>
    <t>Paper Model 4</t>
  </si>
  <si>
    <t>ORD10146</t>
  </si>
  <si>
    <t>C1146</t>
  </si>
  <si>
    <t>Customer 146</t>
  </si>
  <si>
    <t>Binders Model 10</t>
  </si>
  <si>
    <t>ORD10147</t>
  </si>
  <si>
    <t>C1147</t>
  </si>
  <si>
    <t>Customer 147</t>
  </si>
  <si>
    <t>Bookcases Model 3</t>
  </si>
  <si>
    <t>ORD10148</t>
  </si>
  <si>
    <t>C1148</t>
  </si>
  <si>
    <t>Customer 148</t>
  </si>
  <si>
    <t>ORD10149</t>
  </si>
  <si>
    <t>C1149</t>
  </si>
  <si>
    <t>Customer 149</t>
  </si>
  <si>
    <t>ORD10150</t>
  </si>
  <si>
    <t>C1150</t>
  </si>
  <si>
    <t>Customer 150</t>
  </si>
  <si>
    <t>ORD10151</t>
  </si>
  <si>
    <t>C1151</t>
  </si>
  <si>
    <t>Customer 151</t>
  </si>
  <si>
    <t>Bookcases Model 9</t>
  </si>
  <si>
    <t>ORD10152</t>
  </si>
  <si>
    <t>C1152</t>
  </si>
  <si>
    <t>Customer 152</t>
  </si>
  <si>
    <t>ORD10153</t>
  </si>
  <si>
    <t>C1153</t>
  </si>
  <si>
    <t>Customer 153</t>
  </si>
  <si>
    <t>ORD10154</t>
  </si>
  <si>
    <t>C1154</t>
  </si>
  <si>
    <t>Customer 154</t>
  </si>
  <si>
    <t>ORD10155</t>
  </si>
  <si>
    <t>C1155</t>
  </si>
  <si>
    <t>Customer 155</t>
  </si>
  <si>
    <t>ORD10156</t>
  </si>
  <si>
    <t>C1156</t>
  </si>
  <si>
    <t>Customer 156</t>
  </si>
  <si>
    <t>ORD10157</t>
  </si>
  <si>
    <t>C1157</t>
  </si>
  <si>
    <t>Customer 157</t>
  </si>
  <si>
    <t>Chairs Model 14</t>
  </si>
  <si>
    <t>ORD10158</t>
  </si>
  <si>
    <t>C1158</t>
  </si>
  <si>
    <t>Customer 158</t>
  </si>
  <si>
    <t>ORD10159</t>
  </si>
  <si>
    <t>C1159</t>
  </si>
  <si>
    <t>Customer 159</t>
  </si>
  <si>
    <t>ORD10160</t>
  </si>
  <si>
    <t>C1160</t>
  </si>
  <si>
    <t>Customer 160</t>
  </si>
  <si>
    <t>Paper Model 10</t>
  </si>
  <si>
    <t>ORD10161</t>
  </si>
  <si>
    <t>C1161</t>
  </si>
  <si>
    <t>Customer 161</t>
  </si>
  <si>
    <t>Accessories Model 11</t>
  </si>
  <si>
    <t>ORD10162</t>
  </si>
  <si>
    <t>C1162</t>
  </si>
  <si>
    <t>Customer 162</t>
  </si>
  <si>
    <t>Binders Model 12</t>
  </si>
  <si>
    <t>ORD10163</t>
  </si>
  <si>
    <t>C1163</t>
  </si>
  <si>
    <t>Customer 163</t>
  </si>
  <si>
    <t>Chairs Model 17</t>
  </si>
  <si>
    <t>ORD10164</t>
  </si>
  <si>
    <t>C1164</t>
  </si>
  <si>
    <t>Customer 164</t>
  </si>
  <si>
    <t>ORD10165</t>
  </si>
  <si>
    <t>C1165</t>
  </si>
  <si>
    <t>Customer 165</t>
  </si>
  <si>
    <t>Bookcases Model 13</t>
  </si>
  <si>
    <t>ORD10166</t>
  </si>
  <si>
    <t>C1166</t>
  </si>
  <si>
    <t>Customer 166</t>
  </si>
  <si>
    <t>Binders Model 15</t>
  </si>
  <si>
    <t>ORD10167</t>
  </si>
  <si>
    <t>C1167</t>
  </si>
  <si>
    <t>Customer 167</t>
  </si>
  <si>
    <t>ORD10168</t>
  </si>
  <si>
    <t>C1168</t>
  </si>
  <si>
    <t>Customer 168</t>
  </si>
  <si>
    <t>ORD10169</t>
  </si>
  <si>
    <t>C1169</t>
  </si>
  <si>
    <t>Customer 169</t>
  </si>
  <si>
    <t>ORD10170</t>
  </si>
  <si>
    <t>C1170</t>
  </si>
  <si>
    <t>Customer 170</t>
  </si>
  <si>
    <t>Tables Model 6</t>
  </si>
  <si>
    <t>ORD10171</t>
  </si>
  <si>
    <t>C1171</t>
  </si>
  <si>
    <t>Customer 171</t>
  </si>
  <si>
    <t>Phones Model 19</t>
  </si>
  <si>
    <t>ORD10172</t>
  </si>
  <si>
    <t>C1172</t>
  </si>
  <si>
    <t>Customer 172</t>
  </si>
  <si>
    <t>Storage Model 8</t>
  </si>
  <si>
    <t>ORD10173</t>
  </si>
  <si>
    <t>C1173</t>
  </si>
  <si>
    <t>Customer 173</t>
  </si>
  <si>
    <t>ORD10174</t>
  </si>
  <si>
    <t>C1174</t>
  </si>
  <si>
    <t>Customer 174</t>
  </si>
  <si>
    <t>ORD10175</t>
  </si>
  <si>
    <t>C1175</t>
  </si>
  <si>
    <t>Customer 175</t>
  </si>
  <si>
    <t>Binders Model 8</t>
  </si>
  <si>
    <t>ORD10176</t>
  </si>
  <si>
    <t>C1176</t>
  </si>
  <si>
    <t>Customer 176</t>
  </si>
  <si>
    <t>ORD10177</t>
  </si>
  <si>
    <t>C1177</t>
  </si>
  <si>
    <t>Customer 177</t>
  </si>
  <si>
    <t>Paper Model 8</t>
  </si>
  <si>
    <t>ORD10178</t>
  </si>
  <si>
    <t>C1178</t>
  </si>
  <si>
    <t>Customer 178</t>
  </si>
  <si>
    <t>ORD10179</t>
  </si>
  <si>
    <t>C1179</t>
  </si>
  <si>
    <t>Customer 179</t>
  </si>
  <si>
    <t>ORD10180</t>
  </si>
  <si>
    <t>C1180</t>
  </si>
  <si>
    <t>Customer 180</t>
  </si>
  <si>
    <t>ORD10181</t>
  </si>
  <si>
    <t>C1181</t>
  </si>
  <si>
    <t>Customer 181</t>
  </si>
  <si>
    <t>Binders Model 13</t>
  </si>
  <si>
    <t>ORD10182</t>
  </si>
  <si>
    <t>C1182</t>
  </si>
  <si>
    <t>Customer 182</t>
  </si>
  <si>
    <t>ORD10183</t>
  </si>
  <si>
    <t>C1183</t>
  </si>
  <si>
    <t>Customer 183</t>
  </si>
  <si>
    <t>ORD10184</t>
  </si>
  <si>
    <t>C1184</t>
  </si>
  <si>
    <t>Customer 184</t>
  </si>
  <si>
    <t>ORD10185</t>
  </si>
  <si>
    <t>C1185</t>
  </si>
  <si>
    <t>Customer 185</t>
  </si>
  <si>
    <t>ORD10186</t>
  </si>
  <si>
    <t>C1186</t>
  </si>
  <si>
    <t>Customer 186</t>
  </si>
  <si>
    <t>Laptops Model 12</t>
  </si>
  <si>
    <t>ORD10187</t>
  </si>
  <si>
    <t>C1187</t>
  </si>
  <si>
    <t>Customer 187</t>
  </si>
  <si>
    <t>ORD10188</t>
  </si>
  <si>
    <t>C1188</t>
  </si>
  <si>
    <t>Customer 188</t>
  </si>
  <si>
    <t>ORD10189</t>
  </si>
  <si>
    <t>C1189</t>
  </si>
  <si>
    <t>Customer 189</t>
  </si>
  <si>
    <t>Storage Model 11</t>
  </si>
  <si>
    <t>ORD10190</t>
  </si>
  <si>
    <t>C1190</t>
  </si>
  <si>
    <t>Customer 190</t>
  </si>
  <si>
    <t>ORD10191</t>
  </si>
  <si>
    <t>C1191</t>
  </si>
  <si>
    <t>Customer 191</t>
  </si>
  <si>
    <t>ORD10192</t>
  </si>
  <si>
    <t>C1192</t>
  </si>
  <si>
    <t>Customer 192</t>
  </si>
  <si>
    <t>ORD10193</t>
  </si>
  <si>
    <t>C1193</t>
  </si>
  <si>
    <t>Customer 193</t>
  </si>
  <si>
    <t>ORD10194</t>
  </si>
  <si>
    <t>C1194</t>
  </si>
  <si>
    <t>Customer 194</t>
  </si>
  <si>
    <t>ORD10195</t>
  </si>
  <si>
    <t>C1195</t>
  </si>
  <si>
    <t>Customer 195</t>
  </si>
  <si>
    <t>ORD10196</t>
  </si>
  <si>
    <t>C1196</t>
  </si>
  <si>
    <t>Customer 196</t>
  </si>
  <si>
    <t>Paper Model 2</t>
  </si>
  <si>
    <t>ORD10197</t>
  </si>
  <si>
    <t>C1197</t>
  </si>
  <si>
    <t>Customer 197</t>
  </si>
  <si>
    <t>Chairs Model 4</t>
  </si>
  <si>
    <t>ORD10198</t>
  </si>
  <si>
    <t>C1198</t>
  </si>
  <si>
    <t>Customer 198</t>
  </si>
  <si>
    <t>ORD10199</t>
  </si>
  <si>
    <t>C1199</t>
  </si>
  <si>
    <t>Customer 199</t>
  </si>
  <si>
    <t>Phones Model 11</t>
  </si>
  <si>
    <t>ORD10200</t>
  </si>
  <si>
    <t>C1200</t>
  </si>
  <si>
    <t>Customer 200</t>
  </si>
  <si>
    <t>Tables Model 12</t>
  </si>
  <si>
    <t>ORD10201</t>
  </si>
  <si>
    <t>C1201</t>
  </si>
  <si>
    <t>Customer 201</t>
  </si>
  <si>
    <t>ORD10202</t>
  </si>
  <si>
    <t>C1202</t>
  </si>
  <si>
    <t>Customer 202</t>
  </si>
  <si>
    <t>ORD10203</t>
  </si>
  <si>
    <t>C1203</t>
  </si>
  <si>
    <t>Customer 203</t>
  </si>
  <si>
    <t>ORD10204</t>
  </si>
  <si>
    <t>C1204</t>
  </si>
  <si>
    <t>Customer 204</t>
  </si>
  <si>
    <t>ORD10205</t>
  </si>
  <si>
    <t>C1205</t>
  </si>
  <si>
    <t>Customer 205</t>
  </si>
  <si>
    <t>Storage Model 10</t>
  </si>
  <si>
    <t>ORD10206</t>
  </si>
  <si>
    <t>C1206</t>
  </si>
  <si>
    <t>Customer 206</t>
  </si>
  <si>
    <t>ORD10207</t>
  </si>
  <si>
    <t>C1207</t>
  </si>
  <si>
    <t>Customer 207</t>
  </si>
  <si>
    <t>ORD10208</t>
  </si>
  <si>
    <t>C1208</t>
  </si>
  <si>
    <t>Customer 208</t>
  </si>
  <si>
    <t>ORD10209</t>
  </si>
  <si>
    <t>C1209</t>
  </si>
  <si>
    <t>Customer 209</t>
  </si>
  <si>
    <t>Chairs Model 3</t>
  </si>
  <si>
    <t>ORD10210</t>
  </si>
  <si>
    <t>C1210</t>
  </si>
  <si>
    <t>Customer 210</t>
  </si>
  <si>
    <t>ORD10211</t>
  </si>
  <si>
    <t>C1211</t>
  </si>
  <si>
    <t>Customer 211</t>
  </si>
  <si>
    <t>Laptops Model 1</t>
  </si>
  <si>
    <t>ORD10212</t>
  </si>
  <si>
    <t>C1212</t>
  </si>
  <si>
    <t>Customer 212</t>
  </si>
  <si>
    <t>ORD10213</t>
  </si>
  <si>
    <t>C1213</t>
  </si>
  <si>
    <t>Customer 213</t>
  </si>
  <si>
    <t>ORD10214</t>
  </si>
  <si>
    <t>C1214</t>
  </si>
  <si>
    <t>Customer 214</t>
  </si>
  <si>
    <t>Accessories Model 4</t>
  </si>
  <si>
    <t>ORD10215</t>
  </si>
  <si>
    <t>C1215</t>
  </si>
  <si>
    <t>Customer 215</t>
  </si>
  <si>
    <t>ORD10216</t>
  </si>
  <si>
    <t>C1216</t>
  </si>
  <si>
    <t>Customer 216</t>
  </si>
  <si>
    <t>Chairs Model 16</t>
  </si>
  <si>
    <t>ORD10217</t>
  </si>
  <si>
    <t>C1217</t>
  </si>
  <si>
    <t>Customer 217</t>
  </si>
  <si>
    <t>Phones Model 3</t>
  </si>
  <si>
    <t>ORD10218</t>
  </si>
  <si>
    <t>C1218</t>
  </si>
  <si>
    <t>Customer 218</t>
  </si>
  <si>
    <t>Bookcases Model 14</t>
  </si>
  <si>
    <t>ORD10219</t>
  </si>
  <si>
    <t>C1219</t>
  </si>
  <si>
    <t>Customer 219</t>
  </si>
  <si>
    <t>ORD10220</t>
  </si>
  <si>
    <t>C1220</t>
  </si>
  <si>
    <t>Customer 220</t>
  </si>
  <si>
    <t>ORD10221</t>
  </si>
  <si>
    <t>C1221</t>
  </si>
  <si>
    <t>Customer 221</t>
  </si>
  <si>
    <t>Storage Model 6</t>
  </si>
  <si>
    <t>ORD10222</t>
  </si>
  <si>
    <t>C1222</t>
  </si>
  <si>
    <t>Customer 222</t>
  </si>
  <si>
    <t>ORD10223</t>
  </si>
  <si>
    <t>C1223</t>
  </si>
  <si>
    <t>Customer 223</t>
  </si>
  <si>
    <t>Paper Model 19</t>
  </si>
  <si>
    <t>ORD10224</t>
  </si>
  <si>
    <t>C1224</t>
  </si>
  <si>
    <t>Customer 224</t>
  </si>
  <si>
    <t>ORD10225</t>
  </si>
  <si>
    <t>C1225</t>
  </si>
  <si>
    <t>Customer 225</t>
  </si>
  <si>
    <t>ORD10226</t>
  </si>
  <si>
    <t>C1226</t>
  </si>
  <si>
    <t>Customer 226</t>
  </si>
  <si>
    <t>Accessories Model 18</t>
  </si>
  <si>
    <t>ORD10227</t>
  </si>
  <si>
    <t>C1227</t>
  </si>
  <si>
    <t>Customer 227</t>
  </si>
  <si>
    <t>ORD10228</t>
  </si>
  <si>
    <t>C1228</t>
  </si>
  <si>
    <t>Customer 228</t>
  </si>
  <si>
    <t>ORD10229</t>
  </si>
  <si>
    <t>C1229</t>
  </si>
  <si>
    <t>Customer 229</t>
  </si>
  <si>
    <t>ORD10230</t>
  </si>
  <si>
    <t>C1230</t>
  </si>
  <si>
    <t>Customer 230</t>
  </si>
  <si>
    <t>ORD10231</t>
  </si>
  <si>
    <t>C1231</t>
  </si>
  <si>
    <t>Customer 231</t>
  </si>
  <si>
    <t>ORD10232</t>
  </si>
  <si>
    <t>C1232</t>
  </si>
  <si>
    <t>Customer 232</t>
  </si>
  <si>
    <t>Binders Model 4</t>
  </si>
  <si>
    <t>ORD10233</t>
  </si>
  <si>
    <t>C1233</t>
  </si>
  <si>
    <t>Customer 233</t>
  </si>
  <si>
    <t>Bookcases Model 16</t>
  </si>
  <si>
    <t>ORD10234</t>
  </si>
  <si>
    <t>C1234</t>
  </si>
  <si>
    <t>Customer 234</t>
  </si>
  <si>
    <t>ORD10235</t>
  </si>
  <si>
    <t>C1235</t>
  </si>
  <si>
    <t>Customer 235</t>
  </si>
  <si>
    <t>Laptops Model 19</t>
  </si>
  <si>
    <t>ORD10236</t>
  </si>
  <si>
    <t>C1236</t>
  </si>
  <si>
    <t>Customer 236</t>
  </si>
  <si>
    <t>ORD10237</t>
  </si>
  <si>
    <t>C1237</t>
  </si>
  <si>
    <t>Customer 237</t>
  </si>
  <si>
    <t>ORD10238</t>
  </si>
  <si>
    <t>C1238</t>
  </si>
  <si>
    <t>Customer 238</t>
  </si>
  <si>
    <t>ORD10239</t>
  </si>
  <si>
    <t>C1239</t>
  </si>
  <si>
    <t>Customer 239</t>
  </si>
  <si>
    <t>ORD10240</t>
  </si>
  <si>
    <t>C1240</t>
  </si>
  <si>
    <t>Customer 240</t>
  </si>
  <si>
    <t>ORD10241</t>
  </si>
  <si>
    <t>C1241</t>
  </si>
  <si>
    <t>Customer 241</t>
  </si>
  <si>
    <t>ORD10242</t>
  </si>
  <si>
    <t>C1242</t>
  </si>
  <si>
    <t>Customer 242</t>
  </si>
  <si>
    <t>ORD10243</t>
  </si>
  <si>
    <t>C1243</t>
  </si>
  <si>
    <t>Customer 243</t>
  </si>
  <si>
    <t>ORD10244</t>
  </si>
  <si>
    <t>C1244</t>
  </si>
  <si>
    <t>Customer 244</t>
  </si>
  <si>
    <t>ORD10245</t>
  </si>
  <si>
    <t>C1245</t>
  </si>
  <si>
    <t>Customer 245</t>
  </si>
  <si>
    <t>ORD10246</t>
  </si>
  <si>
    <t>C1246</t>
  </si>
  <si>
    <t>Customer 246</t>
  </si>
  <si>
    <t>Binders Model 3</t>
  </si>
  <si>
    <t>ORD10247</t>
  </si>
  <si>
    <t>C1247</t>
  </si>
  <si>
    <t>Customer 247</t>
  </si>
  <si>
    <t>ORD10248</t>
  </si>
  <si>
    <t>C1248</t>
  </si>
  <si>
    <t>Customer 248</t>
  </si>
  <si>
    <t>ORD10249</t>
  </si>
  <si>
    <t>C1249</t>
  </si>
  <si>
    <t>Customer 249</t>
  </si>
  <si>
    <t>ORD10250</t>
  </si>
  <si>
    <t>C1250</t>
  </si>
  <si>
    <t>Customer 250</t>
  </si>
  <si>
    <t>Binders Model 2</t>
  </si>
  <si>
    <t>ORD10251</t>
  </si>
  <si>
    <t>C1251</t>
  </si>
  <si>
    <t>Customer 251</t>
  </si>
  <si>
    <t>ORD10252</t>
  </si>
  <si>
    <t>C1252</t>
  </si>
  <si>
    <t>Customer 252</t>
  </si>
  <si>
    <t>ORD10253</t>
  </si>
  <si>
    <t>C1253</t>
  </si>
  <si>
    <t>Customer 253</t>
  </si>
  <si>
    <t>ORD10254</t>
  </si>
  <si>
    <t>C1254</t>
  </si>
  <si>
    <t>Customer 254</t>
  </si>
  <si>
    <t>ORD10255</t>
  </si>
  <si>
    <t>C1255</t>
  </si>
  <si>
    <t>Customer 255</t>
  </si>
  <si>
    <t>ORD10256</t>
  </si>
  <si>
    <t>C1256</t>
  </si>
  <si>
    <t>Customer 256</t>
  </si>
  <si>
    <t>ORD10257</t>
  </si>
  <si>
    <t>C1257</t>
  </si>
  <si>
    <t>Customer 257</t>
  </si>
  <si>
    <t>ORD10258</t>
  </si>
  <si>
    <t>C1258</t>
  </si>
  <si>
    <t>Customer 258</t>
  </si>
  <si>
    <t>Storage Model 17</t>
  </si>
  <si>
    <t>ORD10259</t>
  </si>
  <si>
    <t>C1259</t>
  </si>
  <si>
    <t>Customer 259</t>
  </si>
  <si>
    <t>ORD10260</t>
  </si>
  <si>
    <t>C1260</t>
  </si>
  <si>
    <t>Customer 260</t>
  </si>
  <si>
    <t>ORD10261</t>
  </si>
  <si>
    <t>C1261</t>
  </si>
  <si>
    <t>Customer 261</t>
  </si>
  <si>
    <t>Storage Model 7</t>
  </si>
  <si>
    <t>ORD10262</t>
  </si>
  <si>
    <t>C1262</t>
  </si>
  <si>
    <t>Customer 262</t>
  </si>
  <si>
    <t>ORD10263</t>
  </si>
  <si>
    <t>C1263</t>
  </si>
  <si>
    <t>Customer 263</t>
  </si>
  <si>
    <t>ORD10264</t>
  </si>
  <si>
    <t>C1264</t>
  </si>
  <si>
    <t>Customer 264</t>
  </si>
  <si>
    <t>ORD10265</t>
  </si>
  <si>
    <t>C1265</t>
  </si>
  <si>
    <t>Customer 265</t>
  </si>
  <si>
    <t>ORD10266</t>
  </si>
  <si>
    <t>C1266</t>
  </si>
  <si>
    <t>Customer 266</t>
  </si>
  <si>
    <t>Tables Model 14</t>
  </si>
  <si>
    <t>ORD10267</t>
  </si>
  <si>
    <t>C1267</t>
  </si>
  <si>
    <t>Customer 267</t>
  </si>
  <si>
    <t>Binders Model 14</t>
  </si>
  <si>
    <t>ORD10268</t>
  </si>
  <si>
    <t>C1268</t>
  </si>
  <si>
    <t>Customer 268</t>
  </si>
  <si>
    <t>ORD10269</t>
  </si>
  <si>
    <t>C1269</t>
  </si>
  <si>
    <t>Customer 269</t>
  </si>
  <si>
    <t>ORD10270</t>
  </si>
  <si>
    <t>C1270</t>
  </si>
  <si>
    <t>Customer 270</t>
  </si>
  <si>
    <t>ORD10271</t>
  </si>
  <si>
    <t>C1271</t>
  </si>
  <si>
    <t>Customer 271</t>
  </si>
  <si>
    <t>ORD10272</t>
  </si>
  <si>
    <t>C1272</t>
  </si>
  <si>
    <t>Customer 272</t>
  </si>
  <si>
    <t>Chairs Model 7</t>
  </si>
  <si>
    <t>ORD10273</t>
  </si>
  <si>
    <t>C1273</t>
  </si>
  <si>
    <t>Customer 273</t>
  </si>
  <si>
    <t>ORD10274</t>
  </si>
  <si>
    <t>C1274</t>
  </si>
  <si>
    <t>Customer 274</t>
  </si>
  <si>
    <t>ORD10275</t>
  </si>
  <si>
    <t>C1275</t>
  </si>
  <si>
    <t>Customer 275</t>
  </si>
  <si>
    <t>ORD10276</t>
  </si>
  <si>
    <t>C1276</t>
  </si>
  <si>
    <t>Customer 276</t>
  </si>
  <si>
    <t>Binders Model 20</t>
  </si>
  <si>
    <t>ORD10277</t>
  </si>
  <si>
    <t>C1277</t>
  </si>
  <si>
    <t>Customer 277</t>
  </si>
  <si>
    <t>Paper Model 1</t>
  </si>
  <si>
    <t>ORD10278</t>
  </si>
  <si>
    <t>C1278</t>
  </si>
  <si>
    <t>Customer 278</t>
  </si>
  <si>
    <t>ORD10279</t>
  </si>
  <si>
    <t>C1279</t>
  </si>
  <si>
    <t>Customer 279</t>
  </si>
  <si>
    <t>ORD10280</t>
  </si>
  <si>
    <t>C1280</t>
  </si>
  <si>
    <t>Customer 280</t>
  </si>
  <si>
    <t>ORD10281</t>
  </si>
  <si>
    <t>C1281</t>
  </si>
  <si>
    <t>Customer 281</t>
  </si>
  <si>
    <t>ORD10282</t>
  </si>
  <si>
    <t>C1282</t>
  </si>
  <si>
    <t>Customer 282</t>
  </si>
  <si>
    <t>ORD10283</t>
  </si>
  <si>
    <t>C1283</t>
  </si>
  <si>
    <t>Customer 283</t>
  </si>
  <si>
    <t>ORD10284</t>
  </si>
  <si>
    <t>C1284</t>
  </si>
  <si>
    <t>Customer 284</t>
  </si>
  <si>
    <t>ORD10285</t>
  </si>
  <si>
    <t>C1285</t>
  </si>
  <si>
    <t>Customer 285</t>
  </si>
  <si>
    <t>ORD10286</t>
  </si>
  <si>
    <t>C1286</t>
  </si>
  <si>
    <t>Customer 286</t>
  </si>
  <si>
    <t>ORD10287</t>
  </si>
  <si>
    <t>C1287</t>
  </si>
  <si>
    <t>Customer 287</t>
  </si>
  <si>
    <t>ORD10288</t>
  </si>
  <si>
    <t>C1288</t>
  </si>
  <si>
    <t>Customer 288</t>
  </si>
  <si>
    <t>ORD10289</t>
  </si>
  <si>
    <t>C1289</t>
  </si>
  <si>
    <t>Customer 289</t>
  </si>
  <si>
    <t>ORD10290</t>
  </si>
  <si>
    <t>C1290</t>
  </si>
  <si>
    <t>Customer 290</t>
  </si>
  <si>
    <t>ORD10291</t>
  </si>
  <si>
    <t>C1291</t>
  </si>
  <si>
    <t>Customer 291</t>
  </si>
  <si>
    <t>ORD10292</t>
  </si>
  <si>
    <t>C1292</t>
  </si>
  <si>
    <t>Customer 292</t>
  </si>
  <si>
    <t>ORD10293</t>
  </si>
  <si>
    <t>C1293</t>
  </si>
  <si>
    <t>Customer 293</t>
  </si>
  <si>
    <t>ORD10294</t>
  </si>
  <si>
    <t>C1294</t>
  </si>
  <si>
    <t>Customer 294</t>
  </si>
  <si>
    <t>ORD10295</t>
  </si>
  <si>
    <t>C1295</t>
  </si>
  <si>
    <t>Customer 295</t>
  </si>
  <si>
    <t>Paper Model 15</t>
  </si>
  <si>
    <t>ORD10296</t>
  </si>
  <si>
    <t>C1296</t>
  </si>
  <si>
    <t>Customer 296</t>
  </si>
  <si>
    <t>ORD10297</t>
  </si>
  <si>
    <t>C1297</t>
  </si>
  <si>
    <t>Customer 297</t>
  </si>
  <si>
    <t>Laptops Model 14</t>
  </si>
  <si>
    <t>ORD10298</t>
  </si>
  <si>
    <t>C1298</t>
  </si>
  <si>
    <t>Customer 298</t>
  </si>
  <si>
    <t>ORD10299</t>
  </si>
  <si>
    <t>C1299</t>
  </si>
  <si>
    <t>Customer 299</t>
  </si>
  <si>
    <t>ORD10300</t>
  </si>
  <si>
    <t>C1300</t>
  </si>
  <si>
    <t>Customer 300</t>
  </si>
  <si>
    <t>ORD10301</t>
  </si>
  <si>
    <t>C1301</t>
  </si>
  <si>
    <t>Customer 301</t>
  </si>
  <si>
    <t>Accessories Model 5</t>
  </si>
  <si>
    <t>ORD10302</t>
  </si>
  <si>
    <t>C1302</t>
  </si>
  <si>
    <t>Customer 302</t>
  </si>
  <si>
    <t>ORD10303</t>
  </si>
  <si>
    <t>C1303</t>
  </si>
  <si>
    <t>Customer 303</t>
  </si>
  <si>
    <t>ORD10304</t>
  </si>
  <si>
    <t>C1304</t>
  </si>
  <si>
    <t>Customer 304</t>
  </si>
  <si>
    <t>ORD10305</t>
  </si>
  <si>
    <t>C1305</t>
  </si>
  <si>
    <t>Customer 305</t>
  </si>
  <si>
    <t>ORD10306</t>
  </si>
  <si>
    <t>C1306</t>
  </si>
  <si>
    <t>Customer 306</t>
  </si>
  <si>
    <t>ORD10307</t>
  </si>
  <si>
    <t>C1307</t>
  </si>
  <si>
    <t>Customer 307</t>
  </si>
  <si>
    <t>ORD10308</t>
  </si>
  <si>
    <t>C1308</t>
  </si>
  <si>
    <t>Customer 308</t>
  </si>
  <si>
    <t>ORD10309</t>
  </si>
  <si>
    <t>C1309</t>
  </si>
  <si>
    <t>Customer 309</t>
  </si>
  <si>
    <t>ORD10310</t>
  </si>
  <si>
    <t>C1310</t>
  </si>
  <si>
    <t>Customer 310</t>
  </si>
  <si>
    <t>ORD10311</t>
  </si>
  <si>
    <t>C1311</t>
  </si>
  <si>
    <t>Customer 311</t>
  </si>
  <si>
    <t>ORD10312</t>
  </si>
  <si>
    <t>C1312</t>
  </si>
  <si>
    <t>Customer 312</t>
  </si>
  <si>
    <t>ORD10313</t>
  </si>
  <si>
    <t>C1313</t>
  </si>
  <si>
    <t>Customer 313</t>
  </si>
  <si>
    <t>Accessories Model 15</t>
  </si>
  <si>
    <t>ORD10314</t>
  </si>
  <si>
    <t>C1314</t>
  </si>
  <si>
    <t>Customer 314</t>
  </si>
  <si>
    <t>ORD10315</t>
  </si>
  <si>
    <t>C1315</t>
  </si>
  <si>
    <t>Customer 315</t>
  </si>
  <si>
    <t>Laptops Model 2</t>
  </si>
  <si>
    <t>ORD10316</t>
  </si>
  <si>
    <t>C1316</t>
  </si>
  <si>
    <t>Customer 316</t>
  </si>
  <si>
    <t>ORD10317</t>
  </si>
  <si>
    <t>C1317</t>
  </si>
  <si>
    <t>Customer 317</t>
  </si>
  <si>
    <t>Binders Model 16</t>
  </si>
  <si>
    <t>ORD10318</t>
  </si>
  <si>
    <t>C1318</t>
  </si>
  <si>
    <t>Customer 318</t>
  </si>
  <si>
    <t>ORD10319</t>
  </si>
  <si>
    <t>C1319</t>
  </si>
  <si>
    <t>Customer 319</t>
  </si>
  <si>
    <t>ORD10320</t>
  </si>
  <si>
    <t>C1320</t>
  </si>
  <si>
    <t>Customer 320</t>
  </si>
  <si>
    <t>ORD10321</t>
  </si>
  <si>
    <t>C1321</t>
  </si>
  <si>
    <t>Customer 321</t>
  </si>
  <si>
    <t>ORD10322</t>
  </si>
  <si>
    <t>C1322</t>
  </si>
  <si>
    <t>Customer 322</t>
  </si>
  <si>
    <t>ORD10323</t>
  </si>
  <si>
    <t>C1323</t>
  </si>
  <si>
    <t>Customer 323</t>
  </si>
  <si>
    <t>ORD10324</t>
  </si>
  <si>
    <t>C1324</t>
  </si>
  <si>
    <t>Customer 324</t>
  </si>
  <si>
    <t>ORD10325</t>
  </si>
  <si>
    <t>C1325</t>
  </si>
  <si>
    <t>Customer 325</t>
  </si>
  <si>
    <t>ORD10326</t>
  </si>
  <si>
    <t>C1326</t>
  </si>
  <si>
    <t>Customer 326</t>
  </si>
  <si>
    <t>ORD10327</t>
  </si>
  <si>
    <t>C1327</t>
  </si>
  <si>
    <t>Customer 327</t>
  </si>
  <si>
    <t>Binders Model 1</t>
  </si>
  <si>
    <t>ORD10328</t>
  </si>
  <si>
    <t>C1328</t>
  </si>
  <si>
    <t>Customer 328</t>
  </si>
  <si>
    <t>ORD10329</t>
  </si>
  <si>
    <t>C1329</t>
  </si>
  <si>
    <t>Customer 329</t>
  </si>
  <si>
    <t>ORD10330</t>
  </si>
  <si>
    <t>C1330</t>
  </si>
  <si>
    <t>Customer 330</t>
  </si>
  <si>
    <t>ORD10331</t>
  </si>
  <si>
    <t>C1331</t>
  </si>
  <si>
    <t>Customer 331</t>
  </si>
  <si>
    <t>ORD10332</t>
  </si>
  <si>
    <t>C1332</t>
  </si>
  <si>
    <t>Customer 332</t>
  </si>
  <si>
    <t>ORD10333</t>
  </si>
  <si>
    <t>C1333</t>
  </si>
  <si>
    <t>Customer 333</t>
  </si>
  <si>
    <t>ORD10334</t>
  </si>
  <si>
    <t>C1334</t>
  </si>
  <si>
    <t>Customer 334</t>
  </si>
  <si>
    <t>ORD10335</t>
  </si>
  <si>
    <t>C1335</t>
  </si>
  <si>
    <t>Customer 335</t>
  </si>
  <si>
    <t>ORD10336</t>
  </si>
  <si>
    <t>C1336</t>
  </si>
  <si>
    <t>Customer 336</t>
  </si>
  <si>
    <t>ORD10337</t>
  </si>
  <si>
    <t>C1337</t>
  </si>
  <si>
    <t>Customer 337</t>
  </si>
  <si>
    <t>ORD10338</t>
  </si>
  <si>
    <t>C1338</t>
  </si>
  <si>
    <t>Customer 338</t>
  </si>
  <si>
    <t>ORD10339</t>
  </si>
  <si>
    <t>C1339</t>
  </si>
  <si>
    <t>Customer 339</t>
  </si>
  <si>
    <t>ORD10340</t>
  </si>
  <si>
    <t>C1340</t>
  </si>
  <si>
    <t>Customer 340</t>
  </si>
  <si>
    <t>ORD10341</t>
  </si>
  <si>
    <t>C1341</t>
  </si>
  <si>
    <t>Customer 341</t>
  </si>
  <si>
    <t>ORD10342</t>
  </si>
  <si>
    <t>C1342</t>
  </si>
  <si>
    <t>Customer 342</t>
  </si>
  <si>
    <t>ORD10343</t>
  </si>
  <si>
    <t>C1343</t>
  </si>
  <si>
    <t>Customer 343</t>
  </si>
  <si>
    <t>ORD10344</t>
  </si>
  <si>
    <t>C1344</t>
  </si>
  <si>
    <t>Customer 344</t>
  </si>
  <si>
    <t>ORD10345</t>
  </si>
  <si>
    <t>C1345</t>
  </si>
  <si>
    <t>Customer 345</t>
  </si>
  <si>
    <t>ORD10346</t>
  </si>
  <si>
    <t>C1346</t>
  </si>
  <si>
    <t>Customer 346</t>
  </si>
  <si>
    <t>ORD10347</t>
  </si>
  <si>
    <t>C1347</t>
  </si>
  <si>
    <t>Customer 347</t>
  </si>
  <si>
    <t>ORD10348</t>
  </si>
  <si>
    <t>C1348</t>
  </si>
  <si>
    <t>Customer 348</t>
  </si>
  <si>
    <t>ORD10349</t>
  </si>
  <si>
    <t>C1349</t>
  </si>
  <si>
    <t>Customer 349</t>
  </si>
  <si>
    <t>ORD10350</t>
  </si>
  <si>
    <t>C1350</t>
  </si>
  <si>
    <t>Customer 350</t>
  </si>
  <si>
    <t>ORD10351</t>
  </si>
  <si>
    <t>C1351</t>
  </si>
  <si>
    <t>Customer 351</t>
  </si>
  <si>
    <t>ORD10352</t>
  </si>
  <si>
    <t>C1352</t>
  </si>
  <si>
    <t>Customer 352</t>
  </si>
  <si>
    <t>ORD10353</t>
  </si>
  <si>
    <t>C1353</t>
  </si>
  <si>
    <t>Customer 353</t>
  </si>
  <si>
    <t>ORD10354</t>
  </si>
  <si>
    <t>C1354</t>
  </si>
  <si>
    <t>Customer 354</t>
  </si>
  <si>
    <t>ORD10355</t>
  </si>
  <si>
    <t>C1355</t>
  </si>
  <si>
    <t>Customer 355</t>
  </si>
  <si>
    <t>ORD10356</t>
  </si>
  <si>
    <t>C1356</t>
  </si>
  <si>
    <t>Customer 356</t>
  </si>
  <si>
    <t>ORD10357</t>
  </si>
  <si>
    <t>C1357</t>
  </si>
  <si>
    <t>Customer 357</t>
  </si>
  <si>
    <t>ORD10358</t>
  </si>
  <si>
    <t>C1358</t>
  </si>
  <si>
    <t>Customer 358</t>
  </si>
  <si>
    <t>Laptops Model 17</t>
  </si>
  <si>
    <t>ORD10359</t>
  </si>
  <si>
    <t>C1359</t>
  </si>
  <si>
    <t>Customer 359</t>
  </si>
  <si>
    <t>ORD10360</t>
  </si>
  <si>
    <t>C1360</t>
  </si>
  <si>
    <t>Customer 360</t>
  </si>
  <si>
    <t>ORD10361</t>
  </si>
  <si>
    <t>C1361</t>
  </si>
  <si>
    <t>Customer 361</t>
  </si>
  <si>
    <t>ORD10362</t>
  </si>
  <si>
    <t>C1362</t>
  </si>
  <si>
    <t>Customer 362</t>
  </si>
  <si>
    <t>ORD10363</t>
  </si>
  <si>
    <t>C1363</t>
  </si>
  <si>
    <t>Customer 363</t>
  </si>
  <si>
    <t>ORD10364</t>
  </si>
  <si>
    <t>C1364</t>
  </si>
  <si>
    <t>Customer 364</t>
  </si>
  <si>
    <t>ORD10365</t>
  </si>
  <si>
    <t>C1365</t>
  </si>
  <si>
    <t>Customer 365</t>
  </si>
  <si>
    <t>ORD10366</t>
  </si>
  <si>
    <t>C1366</t>
  </si>
  <si>
    <t>Customer 366</t>
  </si>
  <si>
    <t>ORD10367</t>
  </si>
  <si>
    <t>C1367</t>
  </si>
  <si>
    <t>Customer 367</t>
  </si>
  <si>
    <t>ORD10368</t>
  </si>
  <si>
    <t>C1368</t>
  </si>
  <si>
    <t>Customer 368</t>
  </si>
  <si>
    <t>ORD10369</t>
  </si>
  <si>
    <t>C1369</t>
  </si>
  <si>
    <t>Customer 369</t>
  </si>
  <si>
    <t>ORD10370</t>
  </si>
  <si>
    <t>C1370</t>
  </si>
  <si>
    <t>Customer 370</t>
  </si>
  <si>
    <t>Accessories Model 2</t>
  </si>
  <si>
    <t>ORD10371</t>
  </si>
  <si>
    <t>C1371</t>
  </si>
  <si>
    <t>Customer 371</t>
  </si>
  <si>
    <t>ORD10372</t>
  </si>
  <si>
    <t>C1372</t>
  </si>
  <si>
    <t>Customer 372</t>
  </si>
  <si>
    <t>ORD10373</t>
  </si>
  <si>
    <t>C1373</t>
  </si>
  <si>
    <t>Customer 373</t>
  </si>
  <si>
    <t>ORD10374</t>
  </si>
  <si>
    <t>C1374</t>
  </si>
  <si>
    <t>Customer 374</t>
  </si>
  <si>
    <t>ORD10375</t>
  </si>
  <si>
    <t>C1375</t>
  </si>
  <si>
    <t>Customer 375</t>
  </si>
  <si>
    <t>ORD10376</t>
  </si>
  <si>
    <t>C1376</t>
  </si>
  <si>
    <t>Customer 376</t>
  </si>
  <si>
    <t>ORD10377</t>
  </si>
  <si>
    <t>C1377</t>
  </si>
  <si>
    <t>Customer 377</t>
  </si>
  <si>
    <t>ORD10378</t>
  </si>
  <si>
    <t>C1378</t>
  </si>
  <si>
    <t>Customer 378</t>
  </si>
  <si>
    <t>Paper Model 18</t>
  </si>
  <si>
    <t>ORD10379</t>
  </si>
  <si>
    <t>C1379</t>
  </si>
  <si>
    <t>Customer 379</t>
  </si>
  <si>
    <t>ORD10380</t>
  </si>
  <si>
    <t>C1380</t>
  </si>
  <si>
    <t>Customer 380</t>
  </si>
  <si>
    <t>ORD10381</t>
  </si>
  <si>
    <t>C1381</t>
  </si>
  <si>
    <t>Customer 381</t>
  </si>
  <si>
    <t>ORD10382</t>
  </si>
  <si>
    <t>C1382</t>
  </si>
  <si>
    <t>Customer 382</t>
  </si>
  <si>
    <t>ORD10383</t>
  </si>
  <si>
    <t>C1383</t>
  </si>
  <si>
    <t>Customer 383</t>
  </si>
  <si>
    <t>ORD10384</t>
  </si>
  <si>
    <t>C1384</t>
  </si>
  <si>
    <t>Customer 384</t>
  </si>
  <si>
    <t>ORD10385</t>
  </si>
  <si>
    <t>C1385</t>
  </si>
  <si>
    <t>Customer 385</t>
  </si>
  <si>
    <t>ORD10386</t>
  </si>
  <si>
    <t>C1386</t>
  </si>
  <si>
    <t>Customer 386</t>
  </si>
  <si>
    <t>ORD10387</t>
  </si>
  <si>
    <t>C1387</t>
  </si>
  <si>
    <t>Customer 387</t>
  </si>
  <si>
    <t>ORD10388</t>
  </si>
  <si>
    <t>C1388</t>
  </si>
  <si>
    <t>Customer 388</t>
  </si>
  <si>
    <t>ORD10389</t>
  </si>
  <si>
    <t>C1389</t>
  </si>
  <si>
    <t>Customer 389</t>
  </si>
  <si>
    <t>ORD10390</t>
  </si>
  <si>
    <t>C1390</t>
  </si>
  <si>
    <t>Customer 390</t>
  </si>
  <si>
    <t>ORD10391</t>
  </si>
  <si>
    <t>C1391</t>
  </si>
  <si>
    <t>Customer 391</t>
  </si>
  <si>
    <t>ORD10392</t>
  </si>
  <si>
    <t>C1392</t>
  </si>
  <si>
    <t>Customer 392</t>
  </si>
  <si>
    <t>ORD10393</t>
  </si>
  <si>
    <t>C1393</t>
  </si>
  <si>
    <t>Customer 393</t>
  </si>
  <si>
    <t>ORD10394</t>
  </si>
  <si>
    <t>C1394</t>
  </si>
  <si>
    <t>Customer 394</t>
  </si>
  <si>
    <t>ORD10395</t>
  </si>
  <si>
    <t>C1395</t>
  </si>
  <si>
    <t>Customer 395</t>
  </si>
  <si>
    <t>ORD10396</t>
  </si>
  <si>
    <t>C1396</t>
  </si>
  <si>
    <t>Customer 396</t>
  </si>
  <si>
    <t>ORD10397</t>
  </si>
  <si>
    <t>C1397</t>
  </si>
  <si>
    <t>Customer 397</t>
  </si>
  <si>
    <t>ORD10398</t>
  </si>
  <si>
    <t>C1398</t>
  </si>
  <si>
    <t>Customer 398</t>
  </si>
  <si>
    <t>ORD10399</t>
  </si>
  <si>
    <t>C1399</t>
  </si>
  <si>
    <t>Customer 399</t>
  </si>
  <si>
    <t>ORD10400</t>
  </si>
  <si>
    <t>C1400</t>
  </si>
  <si>
    <t>Customer 400</t>
  </si>
  <si>
    <t>Tables Model 7</t>
  </si>
  <si>
    <t>ORD10401</t>
  </si>
  <si>
    <t>C1401</t>
  </si>
  <si>
    <t>Customer 401</t>
  </si>
  <si>
    <t>ORD10402</t>
  </si>
  <si>
    <t>C1402</t>
  </si>
  <si>
    <t>Customer 402</t>
  </si>
  <si>
    <t>Tables Model 19</t>
  </si>
  <si>
    <t>ORD10403</t>
  </si>
  <si>
    <t>C1403</t>
  </si>
  <si>
    <t>Customer 403</t>
  </si>
  <si>
    <t>ORD10404</t>
  </si>
  <si>
    <t>C1404</t>
  </si>
  <si>
    <t>Customer 404</t>
  </si>
  <si>
    <t>ORD10405</t>
  </si>
  <si>
    <t>C1405</t>
  </si>
  <si>
    <t>Customer 405</t>
  </si>
  <si>
    <t>ORD10406</t>
  </si>
  <si>
    <t>C1406</t>
  </si>
  <si>
    <t>Customer 406</t>
  </si>
  <si>
    <t>Tables Model 4</t>
  </si>
  <si>
    <t>ORD10407</t>
  </si>
  <si>
    <t>C1407</t>
  </si>
  <si>
    <t>Customer 407</t>
  </si>
  <si>
    <t>ORD10408</t>
  </si>
  <si>
    <t>C1408</t>
  </si>
  <si>
    <t>Customer 408</t>
  </si>
  <si>
    <t>ORD10409</t>
  </si>
  <si>
    <t>C1409</t>
  </si>
  <si>
    <t>Customer 409</t>
  </si>
  <si>
    <t>Storage Model 16</t>
  </si>
  <si>
    <t>ORD10410</t>
  </si>
  <si>
    <t>C1410</t>
  </si>
  <si>
    <t>Customer 410</t>
  </si>
  <si>
    <t>ORD10411</t>
  </si>
  <si>
    <t>C1411</t>
  </si>
  <si>
    <t>Customer 411</t>
  </si>
  <si>
    <t>ORD10412</t>
  </si>
  <si>
    <t>C1412</t>
  </si>
  <si>
    <t>Customer 412</t>
  </si>
  <si>
    <t>Tables Model 16</t>
  </si>
  <si>
    <t>ORD10413</t>
  </si>
  <si>
    <t>C1413</t>
  </si>
  <si>
    <t>Customer 413</t>
  </si>
  <si>
    <t>Binders Model 11</t>
  </si>
  <si>
    <t>ORD10414</t>
  </si>
  <si>
    <t>C1414</t>
  </si>
  <si>
    <t>Customer 414</t>
  </si>
  <si>
    <t>ORD10415</t>
  </si>
  <si>
    <t>C1415</t>
  </si>
  <si>
    <t>Customer 415</t>
  </si>
  <si>
    <t>ORD10416</t>
  </si>
  <si>
    <t>C1416</t>
  </si>
  <si>
    <t>Customer 416</t>
  </si>
  <si>
    <t>ORD10417</t>
  </si>
  <si>
    <t>C1417</t>
  </si>
  <si>
    <t>Customer 417</t>
  </si>
  <si>
    <t>ORD10418</t>
  </si>
  <si>
    <t>C1418</t>
  </si>
  <si>
    <t>Customer 418</t>
  </si>
  <si>
    <t>ORD10419</t>
  </si>
  <si>
    <t>C1419</t>
  </si>
  <si>
    <t>Customer 419</t>
  </si>
  <si>
    <t>ORD10420</t>
  </si>
  <si>
    <t>C1420</t>
  </si>
  <si>
    <t>Customer 420</t>
  </si>
  <si>
    <t>ORD10421</t>
  </si>
  <si>
    <t>C1421</t>
  </si>
  <si>
    <t>Customer 421</t>
  </si>
  <si>
    <t>ORD10422</t>
  </si>
  <si>
    <t>C1422</t>
  </si>
  <si>
    <t>Customer 422</t>
  </si>
  <si>
    <t>ORD10423</t>
  </si>
  <si>
    <t>C1423</t>
  </si>
  <si>
    <t>Customer 423</t>
  </si>
  <si>
    <t>ORD10424</t>
  </si>
  <si>
    <t>C1424</t>
  </si>
  <si>
    <t>Customer 424</t>
  </si>
  <si>
    <t>ORD10425</t>
  </si>
  <si>
    <t>C1425</t>
  </si>
  <si>
    <t>Customer 425</t>
  </si>
  <si>
    <t>ORD10426</t>
  </si>
  <si>
    <t>C1426</t>
  </si>
  <si>
    <t>Customer 426</t>
  </si>
  <si>
    <t>ORD10427</t>
  </si>
  <si>
    <t>C1427</t>
  </si>
  <si>
    <t>Customer 427</t>
  </si>
  <si>
    <t>Tables Model 8</t>
  </si>
  <si>
    <t>ORD10428</t>
  </si>
  <si>
    <t>C1428</t>
  </si>
  <si>
    <t>Customer 428</t>
  </si>
  <si>
    <t>ORD10429</t>
  </si>
  <si>
    <t>C1429</t>
  </si>
  <si>
    <t>Customer 429</t>
  </si>
  <si>
    <t>ORD10430</t>
  </si>
  <si>
    <t>C1430</t>
  </si>
  <si>
    <t>Customer 430</t>
  </si>
  <si>
    <t>ORD10431</t>
  </si>
  <si>
    <t>C1431</t>
  </si>
  <si>
    <t>Customer 431</t>
  </si>
  <si>
    <t>ORD10432</t>
  </si>
  <si>
    <t>C1432</t>
  </si>
  <si>
    <t>Customer 432</t>
  </si>
  <si>
    <t>ORD10433</t>
  </si>
  <si>
    <t>C1433</t>
  </si>
  <si>
    <t>Customer 433</t>
  </si>
  <si>
    <t>ORD10434</t>
  </si>
  <si>
    <t>C1434</t>
  </si>
  <si>
    <t>Customer 434</t>
  </si>
  <si>
    <t>ORD10435</t>
  </si>
  <si>
    <t>C1435</t>
  </si>
  <si>
    <t>Customer 435</t>
  </si>
  <si>
    <t>ORD10436</t>
  </si>
  <si>
    <t>C1436</t>
  </si>
  <si>
    <t>Customer 436</t>
  </si>
  <si>
    <t>ORD10437</t>
  </si>
  <si>
    <t>C1437</t>
  </si>
  <si>
    <t>Customer 437</t>
  </si>
  <si>
    <t>ORD10438</t>
  </si>
  <si>
    <t>C1438</t>
  </si>
  <si>
    <t>Customer 438</t>
  </si>
  <si>
    <t>ORD10439</t>
  </si>
  <si>
    <t>C1439</t>
  </si>
  <si>
    <t>Customer 439</t>
  </si>
  <si>
    <t>ORD10440</t>
  </si>
  <si>
    <t>C1440</t>
  </si>
  <si>
    <t>Customer 440</t>
  </si>
  <si>
    <t>ORD10441</t>
  </si>
  <si>
    <t>C1441</t>
  </si>
  <si>
    <t>Customer 441</t>
  </si>
  <si>
    <t>ORD10442</t>
  </si>
  <si>
    <t>C1442</t>
  </si>
  <si>
    <t>Customer 442</t>
  </si>
  <si>
    <t>ORD10443</t>
  </si>
  <si>
    <t>C1443</t>
  </si>
  <si>
    <t>Customer 443</t>
  </si>
  <si>
    <t>ORD10444</t>
  </si>
  <si>
    <t>C1444</t>
  </si>
  <si>
    <t>Customer 444</t>
  </si>
  <si>
    <t>ORD10445</t>
  </si>
  <si>
    <t>C1445</t>
  </si>
  <si>
    <t>Customer 445</t>
  </si>
  <si>
    <t>ORD10446</t>
  </si>
  <si>
    <t>C1446</t>
  </si>
  <si>
    <t>Customer 446</t>
  </si>
  <si>
    <t>ORD10447</t>
  </si>
  <si>
    <t>C1447</t>
  </si>
  <si>
    <t>Customer 447</t>
  </si>
  <si>
    <t>ORD10448</t>
  </si>
  <si>
    <t>C1448</t>
  </si>
  <si>
    <t>Customer 448</t>
  </si>
  <si>
    <t>ORD10449</t>
  </si>
  <si>
    <t>C1449</t>
  </si>
  <si>
    <t>Customer 449</t>
  </si>
  <si>
    <t>ORD10450</t>
  </si>
  <si>
    <t>C1450</t>
  </si>
  <si>
    <t>Customer 450</t>
  </si>
  <si>
    <t>ORD10451</t>
  </si>
  <si>
    <t>C1451</t>
  </si>
  <si>
    <t>Customer 451</t>
  </si>
  <si>
    <t>Bookcases Model 8</t>
  </si>
  <si>
    <t>ORD10452</t>
  </si>
  <si>
    <t>C1452</t>
  </si>
  <si>
    <t>Customer 452</t>
  </si>
  <si>
    <t>ORD10453</t>
  </si>
  <si>
    <t>C1453</t>
  </si>
  <si>
    <t>Customer 453</t>
  </si>
  <si>
    <t>ORD10454</t>
  </si>
  <si>
    <t>C1454</t>
  </si>
  <si>
    <t>Customer 454</t>
  </si>
  <si>
    <t>ORD10455</t>
  </si>
  <si>
    <t>C1455</t>
  </si>
  <si>
    <t>Customer 455</t>
  </si>
  <si>
    <t>ORD10456</t>
  </si>
  <si>
    <t>C1456</t>
  </si>
  <si>
    <t>Customer 456</t>
  </si>
  <si>
    <t>ORD10457</t>
  </si>
  <si>
    <t>C1457</t>
  </si>
  <si>
    <t>Customer 457</t>
  </si>
  <si>
    <t>Laptops Model 10</t>
  </si>
  <si>
    <t>ORD10458</t>
  </si>
  <si>
    <t>C1458</t>
  </si>
  <si>
    <t>Customer 458</t>
  </si>
  <si>
    <t>ORD10459</t>
  </si>
  <si>
    <t>C1459</t>
  </si>
  <si>
    <t>Customer 459</t>
  </si>
  <si>
    <t>ORD10460</t>
  </si>
  <si>
    <t>C1460</t>
  </si>
  <si>
    <t>Customer 460</t>
  </si>
  <si>
    <t>ORD10461</t>
  </si>
  <si>
    <t>C1461</t>
  </si>
  <si>
    <t>Customer 461</t>
  </si>
  <si>
    <t>ORD10462</t>
  </si>
  <si>
    <t>C1462</t>
  </si>
  <si>
    <t>Customer 462</t>
  </si>
  <si>
    <t>ORD10463</t>
  </si>
  <si>
    <t>C1463</t>
  </si>
  <si>
    <t>Customer 463</t>
  </si>
  <si>
    <t>ORD10464</t>
  </si>
  <si>
    <t>C1464</t>
  </si>
  <si>
    <t>Customer 464</t>
  </si>
  <si>
    <t>ORD10465</t>
  </si>
  <si>
    <t>C1465</t>
  </si>
  <si>
    <t>Customer 465</t>
  </si>
  <si>
    <t>ORD10466</t>
  </si>
  <si>
    <t>C1466</t>
  </si>
  <si>
    <t>Customer 466</t>
  </si>
  <si>
    <t>ORD10467</t>
  </si>
  <si>
    <t>C1467</t>
  </si>
  <si>
    <t>Customer 467</t>
  </si>
  <si>
    <t>ORD10468</t>
  </si>
  <si>
    <t>C1468</t>
  </si>
  <si>
    <t>Customer 468</t>
  </si>
  <si>
    <t>ORD10469</t>
  </si>
  <si>
    <t>C1469</t>
  </si>
  <si>
    <t>Customer 469</t>
  </si>
  <si>
    <t>ORD10470</t>
  </si>
  <si>
    <t>C1470</t>
  </si>
  <si>
    <t>Customer 470</t>
  </si>
  <si>
    <t>ORD10471</t>
  </si>
  <si>
    <t>C1471</t>
  </si>
  <si>
    <t>Customer 471</t>
  </si>
  <si>
    <t>ORD10472</t>
  </si>
  <si>
    <t>C1472</t>
  </si>
  <si>
    <t>Customer 472</t>
  </si>
  <si>
    <t>ORD10473</t>
  </si>
  <si>
    <t>C1473</t>
  </si>
  <si>
    <t>Customer 473</t>
  </si>
  <si>
    <t>ORD10474</t>
  </si>
  <si>
    <t>C1474</t>
  </si>
  <si>
    <t>Customer 474</t>
  </si>
  <si>
    <t>ORD10475</t>
  </si>
  <si>
    <t>C1475</t>
  </si>
  <si>
    <t>Customer 475</t>
  </si>
  <si>
    <t>ORD10476</t>
  </si>
  <si>
    <t>C1476</t>
  </si>
  <si>
    <t>Customer 476</t>
  </si>
  <si>
    <t>ORD10477</t>
  </si>
  <si>
    <t>C1477</t>
  </si>
  <si>
    <t>Customer 477</t>
  </si>
  <si>
    <t>Storage Model 20</t>
  </si>
  <si>
    <t>ORD10478</t>
  </si>
  <si>
    <t>C1478</t>
  </si>
  <si>
    <t>Customer 478</t>
  </si>
  <si>
    <t>ORD10479</t>
  </si>
  <si>
    <t>C1479</t>
  </si>
  <si>
    <t>Customer 479</t>
  </si>
  <si>
    <t>ORD10480</t>
  </si>
  <si>
    <t>C1480</t>
  </si>
  <si>
    <t>Customer 480</t>
  </si>
  <si>
    <t>ORD10481</t>
  </si>
  <si>
    <t>C1481</t>
  </si>
  <si>
    <t>Customer 481</t>
  </si>
  <si>
    <t>ORD10482</t>
  </si>
  <si>
    <t>C1482</t>
  </si>
  <si>
    <t>Customer 482</t>
  </si>
  <si>
    <t>ORD10483</t>
  </si>
  <si>
    <t>C1483</t>
  </si>
  <si>
    <t>Customer 483</t>
  </si>
  <si>
    <t>ORD10484</t>
  </si>
  <si>
    <t>C1484</t>
  </si>
  <si>
    <t>Customer 484</t>
  </si>
  <si>
    <t>ORD10485</t>
  </si>
  <si>
    <t>C1485</t>
  </si>
  <si>
    <t>Customer 485</t>
  </si>
  <si>
    <t>ORD10486</t>
  </si>
  <si>
    <t>C1486</t>
  </si>
  <si>
    <t>Customer 486</t>
  </si>
  <si>
    <t>ORD10487</t>
  </si>
  <si>
    <t>C1487</t>
  </si>
  <si>
    <t>Customer 487</t>
  </si>
  <si>
    <t>ORD10488</t>
  </si>
  <si>
    <t>C1488</t>
  </si>
  <si>
    <t>Customer 488</t>
  </si>
  <si>
    <t>ORD10489</t>
  </si>
  <si>
    <t>C1489</t>
  </si>
  <si>
    <t>Customer 489</t>
  </si>
  <si>
    <t>ORD10490</t>
  </si>
  <si>
    <t>C1490</t>
  </si>
  <si>
    <t>Customer 490</t>
  </si>
  <si>
    <t>ORD10491</t>
  </si>
  <si>
    <t>C1491</t>
  </si>
  <si>
    <t>Customer 491</t>
  </si>
  <si>
    <t>ORD10492</t>
  </si>
  <si>
    <t>C1492</t>
  </si>
  <si>
    <t>Customer 492</t>
  </si>
  <si>
    <t>ORD10493</t>
  </si>
  <si>
    <t>C1493</t>
  </si>
  <si>
    <t>Customer 493</t>
  </si>
  <si>
    <t>ORD10494</t>
  </si>
  <si>
    <t>C1494</t>
  </si>
  <si>
    <t>Customer 494</t>
  </si>
  <si>
    <t>ORD10495</t>
  </si>
  <si>
    <t>C1495</t>
  </si>
  <si>
    <t>Customer 495</t>
  </si>
  <si>
    <t>ORD10496</t>
  </si>
  <si>
    <t>C1496</t>
  </si>
  <si>
    <t>Customer 496</t>
  </si>
  <si>
    <t>ORD10497</t>
  </si>
  <si>
    <t>C1497</t>
  </si>
  <si>
    <t>Customer 497</t>
  </si>
  <si>
    <t>ORD10498</t>
  </si>
  <si>
    <t>C1498</t>
  </si>
  <si>
    <t>Customer 498</t>
  </si>
  <si>
    <t>ORD10499</t>
  </si>
  <si>
    <t>C1499</t>
  </si>
  <si>
    <t>Customer 499</t>
  </si>
  <si>
    <t>ORD10500</t>
  </si>
  <si>
    <t>C1500</t>
  </si>
  <si>
    <t>Customer 500</t>
  </si>
  <si>
    <t>ORD10501</t>
  </si>
  <si>
    <t>C1501</t>
  </si>
  <si>
    <t>Customer 501</t>
  </si>
  <si>
    <t>ORD10502</t>
  </si>
  <si>
    <t>C1502</t>
  </si>
  <si>
    <t>Customer 502</t>
  </si>
  <si>
    <t>Accessories Model 1</t>
  </si>
  <si>
    <t>ORD10503</t>
  </si>
  <si>
    <t>C1503</t>
  </si>
  <si>
    <t>Customer 503</t>
  </si>
  <si>
    <t>ORD10504</t>
  </si>
  <si>
    <t>C1504</t>
  </si>
  <si>
    <t>Customer 504</t>
  </si>
  <si>
    <t>ORD10505</t>
  </si>
  <si>
    <t>C1505</t>
  </si>
  <si>
    <t>Customer 505</t>
  </si>
  <si>
    <t>ORD10506</t>
  </si>
  <si>
    <t>C1506</t>
  </si>
  <si>
    <t>Customer 506</t>
  </si>
  <si>
    <t>Phones Model 6</t>
  </si>
  <si>
    <t>ORD10507</t>
  </si>
  <si>
    <t>C1507</t>
  </si>
  <si>
    <t>Customer 507</t>
  </si>
  <si>
    <t>Bookcases Model 2</t>
  </si>
  <si>
    <t>ORD10508</t>
  </si>
  <si>
    <t>C1508</t>
  </si>
  <si>
    <t>Customer 508</t>
  </si>
  <si>
    <t>ORD10509</t>
  </si>
  <si>
    <t>C1509</t>
  </si>
  <si>
    <t>Customer 509</t>
  </si>
  <si>
    <t>ORD10510</t>
  </si>
  <si>
    <t>C1510</t>
  </si>
  <si>
    <t>Customer 510</t>
  </si>
  <si>
    <t>ORD10511</t>
  </si>
  <si>
    <t>C1511</t>
  </si>
  <si>
    <t>Customer 511</t>
  </si>
  <si>
    <t>ORD10512</t>
  </si>
  <si>
    <t>C1512</t>
  </si>
  <si>
    <t>Customer 512</t>
  </si>
  <si>
    <t>ORD10513</t>
  </si>
  <si>
    <t>C1513</t>
  </si>
  <si>
    <t>Customer 513</t>
  </si>
  <si>
    <t>ORD10514</t>
  </si>
  <si>
    <t>C1514</t>
  </si>
  <si>
    <t>Customer 514</t>
  </si>
  <si>
    <t>ORD10515</t>
  </si>
  <si>
    <t>C1515</t>
  </si>
  <si>
    <t>Customer 515</t>
  </si>
  <si>
    <t>ORD10516</t>
  </si>
  <si>
    <t>C1516</t>
  </si>
  <si>
    <t>Customer 516</t>
  </si>
  <si>
    <t>ORD10517</t>
  </si>
  <si>
    <t>C1517</t>
  </si>
  <si>
    <t>Customer 517</t>
  </si>
  <si>
    <t>ORD10518</t>
  </si>
  <si>
    <t>C1518</t>
  </si>
  <si>
    <t>Customer 518</t>
  </si>
  <si>
    <t>ORD10519</t>
  </si>
  <si>
    <t>C1519</t>
  </si>
  <si>
    <t>Customer 519</t>
  </si>
  <si>
    <t>ORD10520</t>
  </si>
  <si>
    <t>C1520</t>
  </si>
  <si>
    <t>Customer 520</t>
  </si>
  <si>
    <t>ORD10521</t>
  </si>
  <si>
    <t>C1521</t>
  </si>
  <si>
    <t>Customer 521</t>
  </si>
  <si>
    <t>ORD10522</t>
  </si>
  <si>
    <t>C1522</t>
  </si>
  <si>
    <t>Customer 522</t>
  </si>
  <si>
    <t>ORD10523</t>
  </si>
  <si>
    <t>C1523</t>
  </si>
  <si>
    <t>Customer 523</t>
  </si>
  <si>
    <t>Storage Model 15</t>
  </si>
  <si>
    <t>ORD10524</t>
  </si>
  <si>
    <t>C1524</t>
  </si>
  <si>
    <t>Customer 524</t>
  </si>
  <si>
    <t>ORD10525</t>
  </si>
  <si>
    <t>C1525</t>
  </si>
  <si>
    <t>Customer 525</t>
  </si>
  <si>
    <t>ORD10526</t>
  </si>
  <si>
    <t>C1526</t>
  </si>
  <si>
    <t>Customer 526</t>
  </si>
  <si>
    <t>ORD10527</t>
  </si>
  <si>
    <t>C1527</t>
  </si>
  <si>
    <t>Customer 527</t>
  </si>
  <si>
    <t>ORD10528</t>
  </si>
  <si>
    <t>C1528</t>
  </si>
  <si>
    <t>Customer 528</t>
  </si>
  <si>
    <t>ORD10529</t>
  </si>
  <si>
    <t>C1529</t>
  </si>
  <si>
    <t>Customer 529</t>
  </si>
  <si>
    <t>ORD10530</t>
  </si>
  <si>
    <t>C1530</t>
  </si>
  <si>
    <t>Customer 530</t>
  </si>
  <si>
    <t>ORD10531</t>
  </si>
  <si>
    <t>C1531</t>
  </si>
  <si>
    <t>Customer 531</t>
  </si>
  <si>
    <t>ORD10532</t>
  </si>
  <si>
    <t>C1532</t>
  </si>
  <si>
    <t>Customer 532</t>
  </si>
  <si>
    <t>ORD10533</t>
  </si>
  <si>
    <t>C1533</t>
  </si>
  <si>
    <t>Customer 533</t>
  </si>
  <si>
    <t>ORD10534</t>
  </si>
  <si>
    <t>C1534</t>
  </si>
  <si>
    <t>Customer 534</t>
  </si>
  <si>
    <t>ORD10535</t>
  </si>
  <si>
    <t>C1535</t>
  </si>
  <si>
    <t>Customer 535</t>
  </si>
  <si>
    <t>ORD10536</t>
  </si>
  <si>
    <t>C1536</t>
  </si>
  <si>
    <t>Customer 536</t>
  </si>
  <si>
    <t>ORD10537</t>
  </si>
  <si>
    <t>C1537</t>
  </si>
  <si>
    <t>Customer 537</t>
  </si>
  <si>
    <t>ORD10538</t>
  </si>
  <si>
    <t>C1538</t>
  </si>
  <si>
    <t>Customer 538</t>
  </si>
  <si>
    <t>ORD10539</t>
  </si>
  <si>
    <t>C1539</t>
  </si>
  <si>
    <t>Customer 539</t>
  </si>
  <si>
    <t>ORD10540</t>
  </si>
  <si>
    <t>C1540</t>
  </si>
  <si>
    <t>Customer 540</t>
  </si>
  <si>
    <t>ORD10541</t>
  </si>
  <si>
    <t>C1541</t>
  </si>
  <si>
    <t>Customer 541</t>
  </si>
  <si>
    <t>ORD10542</t>
  </si>
  <si>
    <t>C1542</t>
  </si>
  <si>
    <t>Customer 542</t>
  </si>
  <si>
    <t>ORD10543</t>
  </si>
  <si>
    <t>C1543</t>
  </si>
  <si>
    <t>Customer 543</t>
  </si>
  <si>
    <t>ORD10544</t>
  </si>
  <si>
    <t>C1544</t>
  </si>
  <si>
    <t>Customer 544</t>
  </si>
  <si>
    <t>ORD10545</t>
  </si>
  <si>
    <t>C1545</t>
  </si>
  <si>
    <t>Customer 545</t>
  </si>
  <si>
    <t>ORD10546</t>
  </si>
  <si>
    <t>C1546</t>
  </si>
  <si>
    <t>Customer 546</t>
  </si>
  <si>
    <t>ORD10547</t>
  </si>
  <si>
    <t>C1547</t>
  </si>
  <si>
    <t>Customer 547</t>
  </si>
  <si>
    <t>Tables Model 5</t>
  </si>
  <si>
    <t>ORD10548</t>
  </si>
  <si>
    <t>C1548</t>
  </si>
  <si>
    <t>Customer 548</t>
  </si>
  <si>
    <t>ORD10549</t>
  </si>
  <si>
    <t>C1549</t>
  </si>
  <si>
    <t>Customer 549</t>
  </si>
  <si>
    <t>ORD10550</t>
  </si>
  <si>
    <t>C1550</t>
  </si>
  <si>
    <t>Customer 550</t>
  </si>
  <si>
    <t>ORD10551</t>
  </si>
  <si>
    <t>C1551</t>
  </si>
  <si>
    <t>Customer 551</t>
  </si>
  <si>
    <t>ORD10552</t>
  </si>
  <si>
    <t>C1552</t>
  </si>
  <si>
    <t>Customer 552</t>
  </si>
  <si>
    <t>ORD10553</t>
  </si>
  <si>
    <t>C1553</t>
  </si>
  <si>
    <t>Customer 553</t>
  </si>
  <si>
    <t>ORD10554</t>
  </si>
  <si>
    <t>C1554</t>
  </si>
  <si>
    <t>Customer 554</t>
  </si>
  <si>
    <t>ORD10555</t>
  </si>
  <si>
    <t>C1555</t>
  </si>
  <si>
    <t>Customer 555</t>
  </si>
  <si>
    <t>ORD10556</t>
  </si>
  <si>
    <t>C1556</t>
  </si>
  <si>
    <t>Customer 556</t>
  </si>
  <si>
    <t>ORD10557</t>
  </si>
  <si>
    <t>C1557</t>
  </si>
  <si>
    <t>Customer 557</t>
  </si>
  <si>
    <t>ORD10558</t>
  </si>
  <si>
    <t>C1558</t>
  </si>
  <si>
    <t>Customer 558</t>
  </si>
  <si>
    <t>ORD10559</t>
  </si>
  <si>
    <t>C1559</t>
  </si>
  <si>
    <t>Customer 559</t>
  </si>
  <si>
    <t>ORD10560</t>
  </si>
  <si>
    <t>C1560</t>
  </si>
  <si>
    <t>Customer 560</t>
  </si>
  <si>
    <t>ORD10561</t>
  </si>
  <si>
    <t>C1561</t>
  </si>
  <si>
    <t>Customer 561</t>
  </si>
  <si>
    <t>ORD10562</t>
  </si>
  <si>
    <t>C1562</t>
  </si>
  <si>
    <t>Customer 562</t>
  </si>
  <si>
    <t>ORD10563</t>
  </si>
  <si>
    <t>C1563</t>
  </si>
  <si>
    <t>Customer 563</t>
  </si>
  <si>
    <t>ORD10564</t>
  </si>
  <si>
    <t>C1564</t>
  </si>
  <si>
    <t>Customer 564</t>
  </si>
  <si>
    <t>ORD10565</t>
  </si>
  <si>
    <t>C1565</t>
  </si>
  <si>
    <t>Customer 565</t>
  </si>
  <si>
    <t>ORD10566</t>
  </si>
  <si>
    <t>C1566</t>
  </si>
  <si>
    <t>Customer 566</t>
  </si>
  <si>
    <t>ORD10567</t>
  </si>
  <si>
    <t>C1567</t>
  </si>
  <si>
    <t>Customer 567</t>
  </si>
  <si>
    <t>Paper Model 16</t>
  </si>
  <si>
    <t>ORD10568</t>
  </si>
  <si>
    <t>C1568</t>
  </si>
  <si>
    <t>Customer 568</t>
  </si>
  <si>
    <t>ORD10569</t>
  </si>
  <si>
    <t>C1569</t>
  </si>
  <si>
    <t>Customer 569</t>
  </si>
  <si>
    <t>ORD10570</t>
  </si>
  <si>
    <t>C1570</t>
  </si>
  <si>
    <t>Customer 570</t>
  </si>
  <si>
    <t>ORD10571</t>
  </si>
  <si>
    <t>C1571</t>
  </si>
  <si>
    <t>Customer 571</t>
  </si>
  <si>
    <t>ORD10572</t>
  </si>
  <si>
    <t>C1572</t>
  </si>
  <si>
    <t>Customer 572</t>
  </si>
  <si>
    <t>ORD10573</t>
  </si>
  <si>
    <t>C1573</t>
  </si>
  <si>
    <t>Customer 573</t>
  </si>
  <si>
    <t>ORD10574</t>
  </si>
  <si>
    <t>C1574</t>
  </si>
  <si>
    <t>Customer 574</t>
  </si>
  <si>
    <t>ORD10575</t>
  </si>
  <si>
    <t>C1575</t>
  </si>
  <si>
    <t>Customer 575</t>
  </si>
  <si>
    <t>ORD10576</t>
  </si>
  <si>
    <t>C1576</t>
  </si>
  <si>
    <t>Customer 576</t>
  </si>
  <si>
    <t>ORD10577</t>
  </si>
  <si>
    <t>C1577</t>
  </si>
  <si>
    <t>Customer 577</t>
  </si>
  <si>
    <t>ORD10578</t>
  </si>
  <si>
    <t>C1578</t>
  </si>
  <si>
    <t>Customer 578</t>
  </si>
  <si>
    <t>ORD10579</t>
  </si>
  <si>
    <t>C1579</t>
  </si>
  <si>
    <t>Customer 579</t>
  </si>
  <si>
    <t>ORD10580</t>
  </si>
  <si>
    <t>C1580</t>
  </si>
  <si>
    <t>Customer 580</t>
  </si>
  <si>
    <t>ORD10581</t>
  </si>
  <si>
    <t>C1581</t>
  </si>
  <si>
    <t>Customer 581</t>
  </si>
  <si>
    <t>ORD10582</t>
  </si>
  <si>
    <t>C1582</t>
  </si>
  <si>
    <t>Customer 582</t>
  </si>
  <si>
    <t>ORD10583</t>
  </si>
  <si>
    <t>C1583</t>
  </si>
  <si>
    <t>Customer 583</t>
  </si>
  <si>
    <t>ORD10584</t>
  </si>
  <si>
    <t>C1584</t>
  </si>
  <si>
    <t>Customer 584</t>
  </si>
  <si>
    <t>ORD10585</t>
  </si>
  <si>
    <t>C1585</t>
  </si>
  <si>
    <t>Customer 585</t>
  </si>
  <si>
    <t>ORD10586</t>
  </si>
  <si>
    <t>C1586</t>
  </si>
  <si>
    <t>Customer 586</t>
  </si>
  <si>
    <t>ORD10587</t>
  </si>
  <si>
    <t>C1587</t>
  </si>
  <si>
    <t>Customer 587</t>
  </si>
  <si>
    <t>ORD10588</t>
  </si>
  <si>
    <t>C1588</t>
  </si>
  <si>
    <t>Customer 588</t>
  </si>
  <si>
    <t>ORD10589</t>
  </si>
  <si>
    <t>C1589</t>
  </si>
  <si>
    <t>Customer 589</t>
  </si>
  <si>
    <t>ORD10590</t>
  </si>
  <si>
    <t>C1590</t>
  </si>
  <si>
    <t>Customer 590</t>
  </si>
  <si>
    <t>ORD10591</t>
  </si>
  <si>
    <t>C1591</t>
  </si>
  <si>
    <t>Customer 591</t>
  </si>
  <si>
    <t>ORD10592</t>
  </si>
  <si>
    <t>C1592</t>
  </si>
  <si>
    <t>Customer 592</t>
  </si>
  <si>
    <t>ORD10593</t>
  </si>
  <si>
    <t>C1593</t>
  </si>
  <si>
    <t>Customer 593</t>
  </si>
  <si>
    <t>ORD10594</t>
  </si>
  <si>
    <t>C1594</t>
  </si>
  <si>
    <t>Customer 594</t>
  </si>
  <si>
    <t>ORD10595</t>
  </si>
  <si>
    <t>C1595</t>
  </si>
  <si>
    <t>Customer 595</t>
  </si>
  <si>
    <t>ORD10596</t>
  </si>
  <si>
    <t>C1596</t>
  </si>
  <si>
    <t>Customer 596</t>
  </si>
  <si>
    <t>ORD10597</t>
  </si>
  <si>
    <t>C1597</t>
  </si>
  <si>
    <t>Customer 597</t>
  </si>
  <si>
    <t>ORD10598</t>
  </si>
  <si>
    <t>C1598</t>
  </si>
  <si>
    <t>Customer 598</t>
  </si>
  <si>
    <t>ORD10599</t>
  </si>
  <si>
    <t>C1599</t>
  </si>
  <si>
    <t>Customer 599</t>
  </si>
  <si>
    <t>ORD10600</t>
  </si>
  <si>
    <t>C1600</t>
  </si>
  <si>
    <t>Customer 600</t>
  </si>
  <si>
    <t>ORD10601</t>
  </si>
  <si>
    <t>C1601</t>
  </si>
  <si>
    <t>Customer 601</t>
  </si>
  <si>
    <t>Paper Model 3</t>
  </si>
  <si>
    <t>ORD10602</t>
  </si>
  <si>
    <t>C1602</t>
  </si>
  <si>
    <t>Customer 602</t>
  </si>
  <si>
    <t>ORD10603</t>
  </si>
  <si>
    <t>C1603</t>
  </si>
  <si>
    <t>Customer 603</t>
  </si>
  <si>
    <t>ORD10604</t>
  </si>
  <si>
    <t>C1604</t>
  </si>
  <si>
    <t>Customer 604</t>
  </si>
  <si>
    <t>ORD10605</t>
  </si>
  <si>
    <t>C1605</t>
  </si>
  <si>
    <t>Customer 605</t>
  </si>
  <si>
    <t>ORD10606</t>
  </si>
  <si>
    <t>C1606</t>
  </si>
  <si>
    <t>Customer 606</t>
  </si>
  <si>
    <t>ORD10607</t>
  </si>
  <si>
    <t>C1607</t>
  </si>
  <si>
    <t>Customer 607</t>
  </si>
  <si>
    <t>ORD10608</t>
  </si>
  <si>
    <t>C1608</t>
  </si>
  <si>
    <t>Customer 608</t>
  </si>
  <si>
    <t>ORD10609</t>
  </si>
  <si>
    <t>C1609</t>
  </si>
  <si>
    <t>Customer 609</t>
  </si>
  <si>
    <t>ORD10610</t>
  </si>
  <si>
    <t>C1610</t>
  </si>
  <si>
    <t>Customer 610</t>
  </si>
  <si>
    <t>ORD10611</t>
  </si>
  <si>
    <t>C1611</t>
  </si>
  <si>
    <t>Customer 611</t>
  </si>
  <si>
    <t>ORD10612</t>
  </si>
  <si>
    <t>C1612</t>
  </si>
  <si>
    <t>Customer 612</t>
  </si>
  <si>
    <t>ORD10613</t>
  </si>
  <si>
    <t>C1613</t>
  </si>
  <si>
    <t>Customer 613</t>
  </si>
  <si>
    <t>ORD10614</t>
  </si>
  <si>
    <t>C1614</t>
  </si>
  <si>
    <t>Customer 614</t>
  </si>
  <si>
    <t>ORD10615</t>
  </si>
  <si>
    <t>C1615</t>
  </si>
  <si>
    <t>Customer 615</t>
  </si>
  <si>
    <t>ORD10616</t>
  </si>
  <si>
    <t>C1616</t>
  </si>
  <si>
    <t>Customer 616</t>
  </si>
  <si>
    <t>ORD10617</t>
  </si>
  <si>
    <t>C1617</t>
  </si>
  <si>
    <t>Customer 617</t>
  </si>
  <si>
    <t>ORD10618</t>
  </si>
  <si>
    <t>C1618</t>
  </si>
  <si>
    <t>Customer 618</t>
  </si>
  <si>
    <t>ORD10619</t>
  </si>
  <si>
    <t>C1619</t>
  </si>
  <si>
    <t>Customer 619</t>
  </si>
  <si>
    <t>ORD10620</t>
  </si>
  <si>
    <t>C1620</t>
  </si>
  <si>
    <t>Customer 620</t>
  </si>
  <si>
    <t>ORD10621</t>
  </si>
  <si>
    <t>C1621</t>
  </si>
  <si>
    <t>Customer 621</t>
  </si>
  <si>
    <t>ORD10622</t>
  </si>
  <si>
    <t>C1622</t>
  </si>
  <si>
    <t>Customer 622</t>
  </si>
  <si>
    <t>ORD10623</t>
  </si>
  <si>
    <t>C1623</t>
  </si>
  <si>
    <t>Customer 623</t>
  </si>
  <si>
    <t>ORD10624</t>
  </si>
  <si>
    <t>C1624</t>
  </si>
  <si>
    <t>Customer 624</t>
  </si>
  <si>
    <t>ORD10625</t>
  </si>
  <si>
    <t>C1625</t>
  </si>
  <si>
    <t>Customer 625</t>
  </si>
  <si>
    <t>ORD10626</t>
  </si>
  <si>
    <t>C1626</t>
  </si>
  <si>
    <t>Customer 626</t>
  </si>
  <si>
    <t>ORD10627</t>
  </si>
  <si>
    <t>C1627</t>
  </si>
  <si>
    <t>Customer 627</t>
  </si>
  <si>
    <t>ORD10628</t>
  </si>
  <si>
    <t>C1628</t>
  </si>
  <si>
    <t>Customer 628</t>
  </si>
  <si>
    <t>ORD10629</t>
  </si>
  <si>
    <t>C1629</t>
  </si>
  <si>
    <t>Customer 629</t>
  </si>
  <si>
    <t>ORD10630</t>
  </si>
  <si>
    <t>C1630</t>
  </si>
  <si>
    <t>Customer 630</t>
  </si>
  <si>
    <t>ORD10631</t>
  </si>
  <si>
    <t>C1631</t>
  </si>
  <si>
    <t>Customer 631</t>
  </si>
  <si>
    <t>ORD10632</t>
  </si>
  <si>
    <t>C1632</t>
  </si>
  <si>
    <t>Customer 632</t>
  </si>
  <si>
    <t>ORD10633</t>
  </si>
  <si>
    <t>C1633</t>
  </si>
  <si>
    <t>Customer 633</t>
  </si>
  <si>
    <t>ORD10634</t>
  </si>
  <si>
    <t>C1634</t>
  </si>
  <si>
    <t>Customer 634</t>
  </si>
  <si>
    <t>ORD10635</t>
  </si>
  <si>
    <t>C1635</t>
  </si>
  <si>
    <t>Customer 635</t>
  </si>
  <si>
    <t>ORD10636</t>
  </si>
  <si>
    <t>C1636</t>
  </si>
  <si>
    <t>Customer 636</t>
  </si>
  <si>
    <t>ORD10637</t>
  </si>
  <si>
    <t>C1637</t>
  </si>
  <si>
    <t>Customer 637</t>
  </si>
  <si>
    <t>ORD10638</t>
  </si>
  <si>
    <t>C1638</t>
  </si>
  <si>
    <t>Customer 638</t>
  </si>
  <si>
    <t>ORD10639</t>
  </si>
  <si>
    <t>C1639</t>
  </si>
  <si>
    <t>Customer 639</t>
  </si>
  <si>
    <t>ORD10640</t>
  </si>
  <si>
    <t>C1640</t>
  </si>
  <si>
    <t>Customer 640</t>
  </si>
  <si>
    <t>ORD10641</t>
  </si>
  <si>
    <t>C1641</t>
  </si>
  <si>
    <t>Customer 641</t>
  </si>
  <si>
    <t>ORD10642</t>
  </si>
  <si>
    <t>C1642</t>
  </si>
  <si>
    <t>Customer 642</t>
  </si>
  <si>
    <t>ORD10643</t>
  </si>
  <si>
    <t>C1643</t>
  </si>
  <si>
    <t>Customer 643</t>
  </si>
  <si>
    <t>ORD10644</t>
  </si>
  <si>
    <t>C1644</t>
  </si>
  <si>
    <t>Customer 644</t>
  </si>
  <si>
    <t>Paper Model 9</t>
  </si>
  <si>
    <t>ORD10645</t>
  </si>
  <si>
    <t>C1645</t>
  </si>
  <si>
    <t>Customer 645</t>
  </si>
  <si>
    <t>ORD10646</t>
  </si>
  <si>
    <t>C1646</t>
  </si>
  <si>
    <t>Customer 646</t>
  </si>
  <si>
    <t>ORD10647</t>
  </si>
  <si>
    <t>C1647</t>
  </si>
  <si>
    <t>Customer 647</t>
  </si>
  <si>
    <t>ORD10648</t>
  </si>
  <si>
    <t>C1648</t>
  </si>
  <si>
    <t>Customer 648</t>
  </si>
  <si>
    <t>ORD10649</t>
  </si>
  <si>
    <t>C1649</t>
  </si>
  <si>
    <t>Customer 649</t>
  </si>
  <si>
    <t>ORD10650</t>
  </si>
  <si>
    <t>C1650</t>
  </si>
  <si>
    <t>Customer 650</t>
  </si>
  <si>
    <t>ORD10651</t>
  </si>
  <si>
    <t>C1651</t>
  </si>
  <si>
    <t>Customer 651</t>
  </si>
  <si>
    <t>ORD10652</t>
  </si>
  <si>
    <t>C1652</t>
  </si>
  <si>
    <t>Customer 652</t>
  </si>
  <si>
    <t>ORD10653</t>
  </si>
  <si>
    <t>C1653</t>
  </si>
  <si>
    <t>Customer 653</t>
  </si>
  <si>
    <t>ORD10654</t>
  </si>
  <si>
    <t>C1654</t>
  </si>
  <si>
    <t>Customer 654</t>
  </si>
  <si>
    <t>ORD10655</t>
  </si>
  <si>
    <t>C1655</t>
  </si>
  <si>
    <t>Customer 655</t>
  </si>
  <si>
    <t>ORD10656</t>
  </si>
  <si>
    <t>C1656</t>
  </si>
  <si>
    <t>Customer 656</t>
  </si>
  <si>
    <t>ORD10657</t>
  </si>
  <si>
    <t>C1657</t>
  </si>
  <si>
    <t>Customer 657</t>
  </si>
  <si>
    <t>ORD10658</t>
  </si>
  <si>
    <t>C1658</t>
  </si>
  <si>
    <t>Customer 658</t>
  </si>
  <si>
    <t>ORD10659</t>
  </si>
  <si>
    <t>C1659</t>
  </si>
  <si>
    <t>Customer 659</t>
  </si>
  <si>
    <t>Phones Model 4</t>
  </si>
  <si>
    <t>ORD10660</t>
  </si>
  <si>
    <t>C1660</t>
  </si>
  <si>
    <t>Customer 660</t>
  </si>
  <si>
    <t>ORD10661</t>
  </si>
  <si>
    <t>C1661</t>
  </si>
  <si>
    <t>Customer 661</t>
  </si>
  <si>
    <t>ORD10662</t>
  </si>
  <si>
    <t>C1662</t>
  </si>
  <si>
    <t>Customer 662</t>
  </si>
  <si>
    <t>ORD10663</t>
  </si>
  <si>
    <t>C1663</t>
  </si>
  <si>
    <t>Customer 663</t>
  </si>
  <si>
    <t>ORD10664</t>
  </si>
  <si>
    <t>C1664</t>
  </si>
  <si>
    <t>Customer 664</t>
  </si>
  <si>
    <t>ORD10665</t>
  </si>
  <si>
    <t>C1665</t>
  </si>
  <si>
    <t>Customer 665</t>
  </si>
  <si>
    <t>ORD10666</t>
  </si>
  <si>
    <t>C1666</t>
  </si>
  <si>
    <t>Customer 666</t>
  </si>
  <si>
    <t>ORD10667</t>
  </si>
  <si>
    <t>C1667</t>
  </si>
  <si>
    <t>Customer 667</t>
  </si>
  <si>
    <t>ORD10668</t>
  </si>
  <si>
    <t>C1668</t>
  </si>
  <si>
    <t>Customer 668</t>
  </si>
  <si>
    <t>ORD10669</t>
  </si>
  <si>
    <t>C1669</t>
  </si>
  <si>
    <t>Customer 669</t>
  </si>
  <si>
    <t>ORD10670</t>
  </si>
  <si>
    <t>C1670</t>
  </si>
  <si>
    <t>Customer 670</t>
  </si>
  <si>
    <t>ORD10671</t>
  </si>
  <si>
    <t>C1671</t>
  </si>
  <si>
    <t>Customer 671</t>
  </si>
  <si>
    <t>ORD10672</t>
  </si>
  <si>
    <t>C1672</t>
  </si>
  <si>
    <t>Customer 672</t>
  </si>
  <si>
    <t>ORD10673</t>
  </si>
  <si>
    <t>C1673</t>
  </si>
  <si>
    <t>Customer 673</t>
  </si>
  <si>
    <t>ORD10674</t>
  </si>
  <si>
    <t>C1674</t>
  </si>
  <si>
    <t>Customer 674</t>
  </si>
  <si>
    <t>ORD10675</t>
  </si>
  <si>
    <t>C1675</t>
  </si>
  <si>
    <t>Customer 675</t>
  </si>
  <si>
    <t>ORD10676</t>
  </si>
  <si>
    <t>C1676</t>
  </si>
  <si>
    <t>Customer 676</t>
  </si>
  <si>
    <t>ORD10677</t>
  </si>
  <si>
    <t>C1677</t>
  </si>
  <si>
    <t>Customer 677</t>
  </si>
  <si>
    <t>ORD10678</t>
  </si>
  <si>
    <t>C1678</t>
  </si>
  <si>
    <t>Customer 678</t>
  </si>
  <si>
    <t>ORD10679</t>
  </si>
  <si>
    <t>C1679</t>
  </si>
  <si>
    <t>Customer 679</t>
  </si>
  <si>
    <t>ORD10680</t>
  </si>
  <si>
    <t>C1680</t>
  </si>
  <si>
    <t>Customer 680</t>
  </si>
  <si>
    <t>ORD10681</t>
  </si>
  <si>
    <t>C1681</t>
  </si>
  <si>
    <t>Customer 681</t>
  </si>
  <si>
    <t>ORD10682</t>
  </si>
  <si>
    <t>C1682</t>
  </si>
  <si>
    <t>Customer 682</t>
  </si>
  <si>
    <t>ORD10683</t>
  </si>
  <si>
    <t>C1683</t>
  </si>
  <si>
    <t>Customer 683</t>
  </si>
  <si>
    <t>ORD10684</t>
  </si>
  <si>
    <t>C1684</t>
  </si>
  <si>
    <t>Customer 684</t>
  </si>
  <si>
    <t>ORD10685</t>
  </si>
  <si>
    <t>C1685</t>
  </si>
  <si>
    <t>Customer 685</t>
  </si>
  <si>
    <t>ORD10686</t>
  </si>
  <si>
    <t>C1686</t>
  </si>
  <si>
    <t>Customer 686</t>
  </si>
  <si>
    <t>ORD10687</t>
  </si>
  <si>
    <t>C1687</t>
  </si>
  <si>
    <t>Customer 687</t>
  </si>
  <si>
    <t>ORD10688</t>
  </si>
  <si>
    <t>C1688</t>
  </si>
  <si>
    <t>Customer 688</t>
  </si>
  <si>
    <t>ORD10689</t>
  </si>
  <si>
    <t>C1689</t>
  </si>
  <si>
    <t>Customer 689</t>
  </si>
  <si>
    <t>ORD10690</t>
  </si>
  <si>
    <t>C1690</t>
  </si>
  <si>
    <t>Customer 690</t>
  </si>
  <si>
    <t>ORD10691</t>
  </si>
  <si>
    <t>C1691</t>
  </si>
  <si>
    <t>Customer 691</t>
  </si>
  <si>
    <t>ORD10692</t>
  </si>
  <si>
    <t>C1692</t>
  </si>
  <si>
    <t>Customer 692</t>
  </si>
  <si>
    <t>ORD10693</t>
  </si>
  <si>
    <t>C1693</t>
  </si>
  <si>
    <t>Customer 693</t>
  </si>
  <si>
    <t>ORD10694</t>
  </si>
  <si>
    <t>C1694</t>
  </si>
  <si>
    <t>Customer 694</t>
  </si>
  <si>
    <t>ORD10695</t>
  </si>
  <si>
    <t>C1695</t>
  </si>
  <si>
    <t>Customer 695</t>
  </si>
  <si>
    <t>ORD10696</t>
  </si>
  <si>
    <t>C1696</t>
  </si>
  <si>
    <t>Customer 696</t>
  </si>
  <si>
    <t>ORD10697</t>
  </si>
  <si>
    <t>C1697</t>
  </si>
  <si>
    <t>Customer 697</t>
  </si>
  <si>
    <t>ORD10698</t>
  </si>
  <si>
    <t>C1698</t>
  </si>
  <si>
    <t>Customer 698</t>
  </si>
  <si>
    <t>ORD10699</t>
  </si>
  <si>
    <t>C1699</t>
  </si>
  <si>
    <t>Customer 699</t>
  </si>
  <si>
    <t>ORD10700</t>
  </si>
  <si>
    <t>C1700</t>
  </si>
  <si>
    <t>Customer 700</t>
  </si>
  <si>
    <t>ORD10701</t>
  </si>
  <si>
    <t>C1701</t>
  </si>
  <si>
    <t>Customer 701</t>
  </si>
  <si>
    <t>ORD10702</t>
  </si>
  <si>
    <t>C1702</t>
  </si>
  <si>
    <t>Customer 702</t>
  </si>
  <si>
    <t>ORD10703</t>
  </si>
  <si>
    <t>C1703</t>
  </si>
  <si>
    <t>Customer 703</t>
  </si>
  <si>
    <t>Bookcases Model 1</t>
  </si>
  <si>
    <t>ORD10704</t>
  </si>
  <si>
    <t>C1704</t>
  </si>
  <si>
    <t>Customer 704</t>
  </si>
  <si>
    <t>ORD10705</t>
  </si>
  <si>
    <t>C1705</t>
  </si>
  <si>
    <t>Customer 705</t>
  </si>
  <si>
    <t>ORD10706</t>
  </si>
  <si>
    <t>C1706</t>
  </si>
  <si>
    <t>Customer 706</t>
  </si>
  <si>
    <t>ORD10707</t>
  </si>
  <si>
    <t>C1707</t>
  </si>
  <si>
    <t>Customer 707</t>
  </si>
  <si>
    <t>ORD10708</t>
  </si>
  <si>
    <t>C1708</t>
  </si>
  <si>
    <t>Customer 708</t>
  </si>
  <si>
    <t>ORD10709</t>
  </si>
  <si>
    <t>C1709</t>
  </si>
  <si>
    <t>Customer 709</t>
  </si>
  <si>
    <t>ORD10710</t>
  </si>
  <si>
    <t>C1710</t>
  </si>
  <si>
    <t>Customer 710</t>
  </si>
  <si>
    <t>ORD10711</t>
  </si>
  <si>
    <t>C1711</t>
  </si>
  <si>
    <t>Customer 711</t>
  </si>
  <si>
    <t>ORD10712</t>
  </si>
  <si>
    <t>C1712</t>
  </si>
  <si>
    <t>Customer 712</t>
  </si>
  <si>
    <t>ORD10713</t>
  </si>
  <si>
    <t>C1713</t>
  </si>
  <si>
    <t>Customer 713</t>
  </si>
  <si>
    <t>ORD10714</t>
  </si>
  <si>
    <t>C1714</t>
  </si>
  <si>
    <t>Customer 714</t>
  </si>
  <si>
    <t>ORD10715</t>
  </si>
  <si>
    <t>C1715</t>
  </si>
  <si>
    <t>Customer 715</t>
  </si>
  <si>
    <t>ORD10716</t>
  </si>
  <si>
    <t>C1716</t>
  </si>
  <si>
    <t>Customer 716</t>
  </si>
  <si>
    <t>ORD10717</t>
  </si>
  <si>
    <t>C1717</t>
  </si>
  <si>
    <t>Customer 717</t>
  </si>
  <si>
    <t>ORD10718</t>
  </si>
  <si>
    <t>C1718</t>
  </si>
  <si>
    <t>Customer 718</t>
  </si>
  <si>
    <t>ORD10719</t>
  </si>
  <si>
    <t>C1719</t>
  </si>
  <si>
    <t>Customer 719</t>
  </si>
  <si>
    <t>ORD10720</t>
  </si>
  <si>
    <t>C1720</t>
  </si>
  <si>
    <t>Customer 720</t>
  </si>
  <si>
    <t>ORD10721</t>
  </si>
  <si>
    <t>C1721</t>
  </si>
  <si>
    <t>Customer 721</t>
  </si>
  <si>
    <t>ORD10722</t>
  </si>
  <si>
    <t>C1722</t>
  </si>
  <si>
    <t>Customer 722</t>
  </si>
  <si>
    <t>ORD10723</t>
  </si>
  <si>
    <t>C1723</t>
  </si>
  <si>
    <t>Customer 723</t>
  </si>
  <si>
    <t>ORD10724</t>
  </si>
  <si>
    <t>C1724</t>
  </si>
  <si>
    <t>Customer 724</t>
  </si>
  <si>
    <t>ORD10725</t>
  </si>
  <si>
    <t>C1725</t>
  </si>
  <si>
    <t>Customer 725</t>
  </si>
  <si>
    <t>ORD10726</t>
  </si>
  <si>
    <t>C1726</t>
  </si>
  <si>
    <t>Customer 726</t>
  </si>
  <si>
    <t>ORD10727</t>
  </si>
  <si>
    <t>C1727</t>
  </si>
  <si>
    <t>Customer 727</t>
  </si>
  <si>
    <t>ORD10728</t>
  </si>
  <si>
    <t>C1728</t>
  </si>
  <si>
    <t>Customer 728</t>
  </si>
  <si>
    <t>ORD10729</t>
  </si>
  <si>
    <t>C1729</t>
  </si>
  <si>
    <t>Customer 729</t>
  </si>
  <si>
    <t>ORD10730</t>
  </si>
  <si>
    <t>C1730</t>
  </si>
  <si>
    <t>Customer 730</t>
  </si>
  <si>
    <t>ORD10731</t>
  </si>
  <si>
    <t>C1731</t>
  </si>
  <si>
    <t>Customer 731</t>
  </si>
  <si>
    <t>ORD10732</t>
  </si>
  <si>
    <t>C1732</t>
  </si>
  <si>
    <t>Customer 732</t>
  </si>
  <si>
    <t>ORD10733</t>
  </si>
  <si>
    <t>C1733</t>
  </si>
  <si>
    <t>Customer 733</t>
  </si>
  <si>
    <t>ORD10734</t>
  </si>
  <si>
    <t>C1734</t>
  </si>
  <si>
    <t>Customer 734</t>
  </si>
  <si>
    <t>ORD10735</t>
  </si>
  <si>
    <t>C1735</t>
  </si>
  <si>
    <t>Customer 735</t>
  </si>
  <si>
    <t>ORD10736</t>
  </si>
  <si>
    <t>C1736</t>
  </si>
  <si>
    <t>Customer 736</t>
  </si>
  <si>
    <t>ORD10737</t>
  </si>
  <si>
    <t>C1737</t>
  </si>
  <si>
    <t>Customer 737</t>
  </si>
  <si>
    <t>ORD10738</t>
  </si>
  <si>
    <t>C1738</t>
  </si>
  <si>
    <t>Customer 738</t>
  </si>
  <si>
    <t>ORD10739</t>
  </si>
  <si>
    <t>C1739</t>
  </si>
  <si>
    <t>Customer 739</t>
  </si>
  <si>
    <t>ORD10740</t>
  </si>
  <si>
    <t>C1740</t>
  </si>
  <si>
    <t>Customer 740</t>
  </si>
  <si>
    <t>ORD10741</t>
  </si>
  <si>
    <t>C1741</t>
  </si>
  <si>
    <t>Customer 741</t>
  </si>
  <si>
    <t>ORD10742</t>
  </si>
  <si>
    <t>C1742</t>
  </si>
  <si>
    <t>Customer 742</t>
  </si>
  <si>
    <t>ORD10743</t>
  </si>
  <si>
    <t>C1743</t>
  </si>
  <si>
    <t>Customer 743</t>
  </si>
  <si>
    <t>ORD10744</t>
  </si>
  <si>
    <t>C1744</t>
  </si>
  <si>
    <t>Customer 744</t>
  </si>
  <si>
    <t>ORD10745</t>
  </si>
  <si>
    <t>C1745</t>
  </si>
  <si>
    <t>Customer 745</t>
  </si>
  <si>
    <t>ORD10746</t>
  </si>
  <si>
    <t>C1746</t>
  </si>
  <si>
    <t>Customer 746</t>
  </si>
  <si>
    <t>ORD10747</t>
  </si>
  <si>
    <t>C1747</t>
  </si>
  <si>
    <t>Customer 747</t>
  </si>
  <si>
    <t>ORD10748</t>
  </si>
  <si>
    <t>C1748</t>
  </si>
  <si>
    <t>Customer 748</t>
  </si>
  <si>
    <t>ORD10749</t>
  </si>
  <si>
    <t>C1749</t>
  </si>
  <si>
    <t>Customer 749</t>
  </si>
  <si>
    <t>ORD10750</t>
  </si>
  <si>
    <t>C1750</t>
  </si>
  <si>
    <t>Customer 750</t>
  </si>
  <si>
    <t>ORD10751</t>
  </si>
  <si>
    <t>C1751</t>
  </si>
  <si>
    <t>Customer 751</t>
  </si>
  <si>
    <t>ORD10752</t>
  </si>
  <si>
    <t>C1752</t>
  </si>
  <si>
    <t>Customer 752</t>
  </si>
  <si>
    <t>ORD10753</t>
  </si>
  <si>
    <t>C1753</t>
  </si>
  <si>
    <t>Customer 753</t>
  </si>
  <si>
    <t>ORD10754</t>
  </si>
  <si>
    <t>C1754</t>
  </si>
  <si>
    <t>Customer 754</t>
  </si>
  <si>
    <t>ORD10755</t>
  </si>
  <si>
    <t>C1755</t>
  </si>
  <si>
    <t>Customer 755</t>
  </si>
  <si>
    <t>ORD10756</t>
  </si>
  <si>
    <t>C1756</t>
  </si>
  <si>
    <t>Customer 756</t>
  </si>
  <si>
    <t>ORD10757</t>
  </si>
  <si>
    <t>C1757</t>
  </si>
  <si>
    <t>Customer 757</t>
  </si>
  <si>
    <t>ORD10758</t>
  </si>
  <si>
    <t>C1758</t>
  </si>
  <si>
    <t>Customer 758</t>
  </si>
  <si>
    <t>ORD10759</t>
  </si>
  <si>
    <t>C1759</t>
  </si>
  <si>
    <t>Customer 759</t>
  </si>
  <si>
    <t>ORD10760</t>
  </si>
  <si>
    <t>C1760</t>
  </si>
  <si>
    <t>Customer 760</t>
  </si>
  <si>
    <t>ORD10761</t>
  </si>
  <si>
    <t>C1761</t>
  </si>
  <si>
    <t>Customer 761</t>
  </si>
  <si>
    <t>ORD10762</t>
  </si>
  <si>
    <t>C1762</t>
  </si>
  <si>
    <t>Customer 762</t>
  </si>
  <si>
    <t>ORD10763</t>
  </si>
  <si>
    <t>C1763</t>
  </si>
  <si>
    <t>Customer 763</t>
  </si>
  <si>
    <t>ORD10764</t>
  </si>
  <si>
    <t>C1764</t>
  </si>
  <si>
    <t>Customer 764</t>
  </si>
  <si>
    <t>ORD10765</t>
  </si>
  <si>
    <t>C1765</t>
  </si>
  <si>
    <t>Customer 765</t>
  </si>
  <si>
    <t>ORD10766</t>
  </si>
  <si>
    <t>C1766</t>
  </si>
  <si>
    <t>Customer 766</t>
  </si>
  <si>
    <t>ORD10767</t>
  </si>
  <si>
    <t>C1767</t>
  </si>
  <si>
    <t>Customer 767</t>
  </si>
  <si>
    <t>ORD10768</t>
  </si>
  <si>
    <t>C1768</t>
  </si>
  <si>
    <t>Customer 768</t>
  </si>
  <si>
    <t>ORD10769</t>
  </si>
  <si>
    <t>C1769</t>
  </si>
  <si>
    <t>Customer 769</t>
  </si>
  <si>
    <t>ORD10770</t>
  </si>
  <si>
    <t>C1770</t>
  </si>
  <si>
    <t>Customer 770</t>
  </si>
  <si>
    <t>ORD10771</t>
  </si>
  <si>
    <t>C1771</t>
  </si>
  <si>
    <t>Customer 771</t>
  </si>
  <si>
    <t>ORD10772</t>
  </si>
  <si>
    <t>C1772</t>
  </si>
  <si>
    <t>Customer 772</t>
  </si>
  <si>
    <t>ORD10773</t>
  </si>
  <si>
    <t>C1773</t>
  </si>
  <si>
    <t>Customer 773</t>
  </si>
  <si>
    <t>ORD10774</t>
  </si>
  <si>
    <t>C1774</t>
  </si>
  <si>
    <t>Customer 774</t>
  </si>
  <si>
    <t>ORD10775</t>
  </si>
  <si>
    <t>C1775</t>
  </si>
  <si>
    <t>Customer 775</t>
  </si>
  <si>
    <t>ORD10776</t>
  </si>
  <si>
    <t>C1776</t>
  </si>
  <si>
    <t>Customer 776</t>
  </si>
  <si>
    <t>ORD10777</t>
  </si>
  <si>
    <t>C1777</t>
  </si>
  <si>
    <t>Customer 777</t>
  </si>
  <si>
    <t>Chairs Model 12</t>
  </si>
  <si>
    <t>ORD10778</t>
  </si>
  <si>
    <t>C1778</t>
  </si>
  <si>
    <t>Customer 778</t>
  </si>
  <si>
    <t>ORD10779</t>
  </si>
  <si>
    <t>C1779</t>
  </si>
  <si>
    <t>Customer 779</t>
  </si>
  <si>
    <t>ORD10780</t>
  </si>
  <si>
    <t>C1780</t>
  </si>
  <si>
    <t>Customer 780</t>
  </si>
  <si>
    <t>ORD10781</t>
  </si>
  <si>
    <t>C1781</t>
  </si>
  <si>
    <t>Customer 781</t>
  </si>
  <si>
    <t>ORD10782</t>
  </si>
  <si>
    <t>C1782</t>
  </si>
  <si>
    <t>Customer 782</t>
  </si>
  <si>
    <t>ORD10783</t>
  </si>
  <si>
    <t>C1783</t>
  </si>
  <si>
    <t>Customer 783</t>
  </si>
  <si>
    <t>ORD10784</t>
  </si>
  <si>
    <t>C1784</t>
  </si>
  <si>
    <t>Customer 784</t>
  </si>
  <si>
    <t>ORD10785</t>
  </si>
  <si>
    <t>C1785</t>
  </si>
  <si>
    <t>Customer 785</t>
  </si>
  <si>
    <t>ORD10786</t>
  </si>
  <si>
    <t>C1786</t>
  </si>
  <si>
    <t>Customer 786</t>
  </si>
  <si>
    <t>ORD10787</t>
  </si>
  <si>
    <t>C1787</t>
  </si>
  <si>
    <t>Customer 787</t>
  </si>
  <si>
    <t>ORD10788</t>
  </si>
  <si>
    <t>C1788</t>
  </si>
  <si>
    <t>Customer 788</t>
  </si>
  <si>
    <t>ORD10789</t>
  </si>
  <si>
    <t>C1789</t>
  </si>
  <si>
    <t>Customer 789</t>
  </si>
  <si>
    <t>ORD10790</t>
  </si>
  <si>
    <t>C1790</t>
  </si>
  <si>
    <t>Customer 790</t>
  </si>
  <si>
    <t>ORD10791</t>
  </si>
  <si>
    <t>C1791</t>
  </si>
  <si>
    <t>Customer 791</t>
  </si>
  <si>
    <t>ORD10792</t>
  </si>
  <si>
    <t>C1792</t>
  </si>
  <si>
    <t>Customer 792</t>
  </si>
  <si>
    <t>ORD10793</t>
  </si>
  <si>
    <t>C1793</t>
  </si>
  <si>
    <t>Customer 793</t>
  </si>
  <si>
    <t>ORD10794</t>
  </si>
  <si>
    <t>C1794</t>
  </si>
  <si>
    <t>Customer 794</t>
  </si>
  <si>
    <t>ORD10795</t>
  </si>
  <si>
    <t>C1795</t>
  </si>
  <si>
    <t>Customer 795</t>
  </si>
  <si>
    <t>ORD10796</t>
  </si>
  <si>
    <t>C1796</t>
  </si>
  <si>
    <t>Customer 796</t>
  </si>
  <si>
    <t>ORD10797</t>
  </si>
  <si>
    <t>C1797</t>
  </si>
  <si>
    <t>Customer 797</t>
  </si>
  <si>
    <t>ORD10798</t>
  </si>
  <si>
    <t>C1798</t>
  </si>
  <si>
    <t>Customer 798</t>
  </si>
  <si>
    <t>ORD10799</t>
  </si>
  <si>
    <t>C1799</t>
  </si>
  <si>
    <t>Customer 799</t>
  </si>
  <si>
    <t>ORD10800</t>
  </si>
  <si>
    <t>C1800</t>
  </si>
  <si>
    <t>Customer 800</t>
  </si>
  <si>
    <t>ORD10801</t>
  </si>
  <si>
    <t>C1801</t>
  </si>
  <si>
    <t>Customer 801</t>
  </si>
  <si>
    <t>ORD10802</t>
  </si>
  <si>
    <t>C1802</t>
  </si>
  <si>
    <t>Customer 802</t>
  </si>
  <si>
    <t>ORD10803</t>
  </si>
  <si>
    <t>C1803</t>
  </si>
  <si>
    <t>Customer 803</t>
  </si>
  <si>
    <t>ORD10804</t>
  </si>
  <si>
    <t>C1804</t>
  </si>
  <si>
    <t>Customer 804</t>
  </si>
  <si>
    <t>ORD10805</t>
  </si>
  <si>
    <t>C1805</t>
  </si>
  <si>
    <t>Customer 805</t>
  </si>
  <si>
    <t>ORD10806</t>
  </si>
  <si>
    <t>C1806</t>
  </si>
  <si>
    <t>Customer 806</t>
  </si>
  <si>
    <t>ORD10807</t>
  </si>
  <si>
    <t>C1807</t>
  </si>
  <si>
    <t>Customer 807</t>
  </si>
  <si>
    <t>ORD10808</t>
  </si>
  <si>
    <t>C1808</t>
  </si>
  <si>
    <t>Customer 808</t>
  </si>
  <si>
    <t>ORD10809</t>
  </si>
  <si>
    <t>C1809</t>
  </si>
  <si>
    <t>Customer 809</t>
  </si>
  <si>
    <t>Phones Model 5</t>
  </si>
  <si>
    <t>ORD10810</t>
  </si>
  <si>
    <t>C1810</t>
  </si>
  <si>
    <t>Customer 810</t>
  </si>
  <si>
    <t>ORD10811</t>
  </si>
  <si>
    <t>C1811</t>
  </si>
  <si>
    <t>Customer 811</t>
  </si>
  <si>
    <t>ORD10812</t>
  </si>
  <si>
    <t>C1812</t>
  </si>
  <si>
    <t>Customer 812</t>
  </si>
  <si>
    <t>ORD10813</t>
  </si>
  <si>
    <t>C1813</t>
  </si>
  <si>
    <t>Customer 813</t>
  </si>
  <si>
    <t>ORD10814</t>
  </si>
  <si>
    <t>C1814</t>
  </si>
  <si>
    <t>Customer 814</t>
  </si>
  <si>
    <t>ORD10815</t>
  </si>
  <si>
    <t>C1815</t>
  </si>
  <si>
    <t>Customer 815</t>
  </si>
  <si>
    <t>ORD10816</t>
  </si>
  <si>
    <t>C1816</t>
  </si>
  <si>
    <t>Customer 816</t>
  </si>
  <si>
    <t>ORD10817</t>
  </si>
  <si>
    <t>C1817</t>
  </si>
  <si>
    <t>Customer 817</t>
  </si>
  <si>
    <t>ORD10818</t>
  </si>
  <si>
    <t>C1818</t>
  </si>
  <si>
    <t>Customer 818</t>
  </si>
  <si>
    <t>ORD10819</t>
  </si>
  <si>
    <t>C1819</t>
  </si>
  <si>
    <t>Customer 819</t>
  </si>
  <si>
    <t>ORD10820</t>
  </si>
  <si>
    <t>C1820</t>
  </si>
  <si>
    <t>Customer 820</t>
  </si>
  <si>
    <t>ORD10821</t>
  </si>
  <si>
    <t>C1821</t>
  </si>
  <si>
    <t>Customer 821</t>
  </si>
  <si>
    <t>ORD10822</t>
  </si>
  <si>
    <t>C1822</t>
  </si>
  <si>
    <t>Customer 822</t>
  </si>
  <si>
    <t>ORD10823</t>
  </si>
  <si>
    <t>C1823</t>
  </si>
  <si>
    <t>Customer 823</t>
  </si>
  <si>
    <t>ORD10824</t>
  </si>
  <si>
    <t>C1824</t>
  </si>
  <si>
    <t>Customer 824</t>
  </si>
  <si>
    <t>ORD10825</t>
  </si>
  <si>
    <t>C1825</t>
  </si>
  <si>
    <t>Customer 825</t>
  </si>
  <si>
    <t>ORD10826</t>
  </si>
  <si>
    <t>C1826</t>
  </si>
  <si>
    <t>Customer 826</t>
  </si>
  <si>
    <t>ORD10827</t>
  </si>
  <si>
    <t>C1827</t>
  </si>
  <si>
    <t>Customer 827</t>
  </si>
  <si>
    <t>ORD10828</t>
  </si>
  <si>
    <t>C1828</t>
  </si>
  <si>
    <t>Customer 828</t>
  </si>
  <si>
    <t>ORD10829</t>
  </si>
  <si>
    <t>C1829</t>
  </si>
  <si>
    <t>Customer 829</t>
  </si>
  <si>
    <t>ORD10830</t>
  </si>
  <si>
    <t>C1830</t>
  </si>
  <si>
    <t>Customer 830</t>
  </si>
  <si>
    <t>ORD10831</t>
  </si>
  <si>
    <t>C1831</t>
  </si>
  <si>
    <t>Customer 831</t>
  </si>
  <si>
    <t>ORD10832</t>
  </si>
  <si>
    <t>C1832</t>
  </si>
  <si>
    <t>Customer 832</t>
  </si>
  <si>
    <t>ORD10833</t>
  </si>
  <si>
    <t>C1833</t>
  </si>
  <si>
    <t>Customer 833</t>
  </si>
  <si>
    <t>ORD10834</t>
  </si>
  <si>
    <t>C1834</t>
  </si>
  <si>
    <t>Customer 834</t>
  </si>
  <si>
    <t>ORD10835</t>
  </si>
  <si>
    <t>C1835</t>
  </si>
  <si>
    <t>Customer 835</t>
  </si>
  <si>
    <t>ORD10836</t>
  </si>
  <si>
    <t>C1836</t>
  </si>
  <si>
    <t>Customer 836</t>
  </si>
  <si>
    <t>ORD10837</t>
  </si>
  <si>
    <t>C1837</t>
  </si>
  <si>
    <t>Customer 837</t>
  </si>
  <si>
    <t>ORD10838</t>
  </si>
  <si>
    <t>C1838</t>
  </si>
  <si>
    <t>Customer 838</t>
  </si>
  <si>
    <t>ORD10839</t>
  </si>
  <si>
    <t>C1839</t>
  </si>
  <si>
    <t>Customer 839</t>
  </si>
  <si>
    <t>ORD10840</t>
  </si>
  <si>
    <t>C1840</t>
  </si>
  <si>
    <t>Customer 840</t>
  </si>
  <si>
    <t>ORD10841</t>
  </si>
  <si>
    <t>C1841</t>
  </si>
  <si>
    <t>Customer 841</t>
  </si>
  <si>
    <t>ORD10842</t>
  </si>
  <si>
    <t>C1842</t>
  </si>
  <si>
    <t>Customer 842</t>
  </si>
  <si>
    <t>ORD10843</t>
  </si>
  <si>
    <t>C1843</t>
  </si>
  <si>
    <t>Customer 843</t>
  </si>
  <si>
    <t>ORD10844</t>
  </si>
  <si>
    <t>C1844</t>
  </si>
  <si>
    <t>Customer 844</t>
  </si>
  <si>
    <t>ORD10845</t>
  </si>
  <si>
    <t>C1845</t>
  </si>
  <si>
    <t>Customer 845</t>
  </si>
  <si>
    <t>ORD10846</t>
  </si>
  <si>
    <t>C1846</t>
  </si>
  <si>
    <t>Customer 846</t>
  </si>
  <si>
    <t>ORD10847</t>
  </si>
  <si>
    <t>C1847</t>
  </si>
  <si>
    <t>Customer 847</t>
  </si>
  <si>
    <t>ORD10848</t>
  </si>
  <si>
    <t>C1848</t>
  </si>
  <si>
    <t>Customer 848</t>
  </si>
  <si>
    <t>ORD10849</t>
  </si>
  <si>
    <t>C1849</t>
  </si>
  <si>
    <t>Customer 849</t>
  </si>
  <si>
    <t>ORD10850</t>
  </si>
  <si>
    <t>C1850</t>
  </si>
  <si>
    <t>Customer 850</t>
  </si>
  <si>
    <t>ORD10851</t>
  </si>
  <si>
    <t>C1851</t>
  </si>
  <si>
    <t>Customer 851</t>
  </si>
  <si>
    <t>ORD10852</t>
  </si>
  <si>
    <t>C1852</t>
  </si>
  <si>
    <t>Customer 852</t>
  </si>
  <si>
    <t>ORD10853</t>
  </si>
  <si>
    <t>C1853</t>
  </si>
  <si>
    <t>Customer 853</t>
  </si>
  <si>
    <t>ORD10854</t>
  </si>
  <si>
    <t>C1854</t>
  </si>
  <si>
    <t>Customer 854</t>
  </si>
  <si>
    <t>ORD10855</t>
  </si>
  <si>
    <t>C1855</t>
  </si>
  <si>
    <t>Customer 855</t>
  </si>
  <si>
    <t>ORD10856</t>
  </si>
  <si>
    <t>C1856</t>
  </si>
  <si>
    <t>Customer 856</t>
  </si>
  <si>
    <t>ORD10857</t>
  </si>
  <si>
    <t>C1857</t>
  </si>
  <si>
    <t>Customer 857</t>
  </si>
  <si>
    <t>ORD10858</t>
  </si>
  <si>
    <t>C1858</t>
  </si>
  <si>
    <t>Customer 858</t>
  </si>
  <si>
    <t>ORD10859</t>
  </si>
  <si>
    <t>C1859</t>
  </si>
  <si>
    <t>Customer 859</t>
  </si>
  <si>
    <t>ORD10860</t>
  </si>
  <si>
    <t>C1860</t>
  </si>
  <si>
    <t>Customer 860</t>
  </si>
  <si>
    <t>ORD10861</t>
  </si>
  <si>
    <t>C1861</t>
  </si>
  <si>
    <t>Customer 861</t>
  </si>
  <si>
    <t>ORD10862</t>
  </si>
  <si>
    <t>C1862</t>
  </si>
  <si>
    <t>Customer 862</t>
  </si>
  <si>
    <t>ORD10863</t>
  </si>
  <si>
    <t>C1863</t>
  </si>
  <si>
    <t>Customer 863</t>
  </si>
  <si>
    <t>ORD10864</t>
  </si>
  <si>
    <t>C1864</t>
  </si>
  <si>
    <t>Customer 864</t>
  </si>
  <si>
    <t>ORD10865</t>
  </si>
  <si>
    <t>C1865</t>
  </si>
  <si>
    <t>Customer 865</t>
  </si>
  <si>
    <t>ORD10866</t>
  </si>
  <si>
    <t>C1866</t>
  </si>
  <si>
    <t>Customer 866</t>
  </si>
  <si>
    <t>ORD10867</t>
  </si>
  <si>
    <t>C1867</t>
  </si>
  <si>
    <t>Customer 867</t>
  </si>
  <si>
    <t>ORD10868</t>
  </si>
  <si>
    <t>C1868</t>
  </si>
  <si>
    <t>Customer 868</t>
  </si>
  <si>
    <t>ORD10869</t>
  </si>
  <si>
    <t>C1869</t>
  </si>
  <si>
    <t>Customer 869</t>
  </si>
  <si>
    <t>ORD10870</t>
  </si>
  <si>
    <t>C1870</t>
  </si>
  <si>
    <t>Customer 870</t>
  </si>
  <si>
    <t>ORD10871</t>
  </si>
  <si>
    <t>C1871</t>
  </si>
  <si>
    <t>Customer 871</t>
  </si>
  <si>
    <t>ORD10872</t>
  </si>
  <si>
    <t>C1872</t>
  </si>
  <si>
    <t>Customer 872</t>
  </si>
  <si>
    <t>ORD10873</t>
  </si>
  <si>
    <t>C1873</t>
  </si>
  <si>
    <t>Customer 873</t>
  </si>
  <si>
    <t>ORD10874</t>
  </si>
  <si>
    <t>C1874</t>
  </si>
  <si>
    <t>Customer 874</t>
  </si>
  <si>
    <t>ORD10875</t>
  </si>
  <si>
    <t>C1875</t>
  </si>
  <si>
    <t>Customer 875</t>
  </si>
  <si>
    <t>ORD10876</t>
  </si>
  <si>
    <t>C1876</t>
  </si>
  <si>
    <t>Customer 876</t>
  </si>
  <si>
    <t>ORD10877</t>
  </si>
  <si>
    <t>C1877</t>
  </si>
  <si>
    <t>Customer 877</t>
  </si>
  <si>
    <t>ORD10878</t>
  </si>
  <si>
    <t>C1878</t>
  </si>
  <si>
    <t>Customer 878</t>
  </si>
  <si>
    <t>ORD10879</t>
  </si>
  <si>
    <t>C1879</t>
  </si>
  <si>
    <t>Customer 879</t>
  </si>
  <si>
    <t>ORD10880</t>
  </si>
  <si>
    <t>C1880</t>
  </si>
  <si>
    <t>Customer 880</t>
  </si>
  <si>
    <t>ORD10881</t>
  </si>
  <si>
    <t>C1881</t>
  </si>
  <si>
    <t>Customer 881</t>
  </si>
  <si>
    <t>ORD10882</t>
  </si>
  <si>
    <t>C1882</t>
  </si>
  <si>
    <t>Customer 882</t>
  </si>
  <si>
    <t>ORD10883</t>
  </si>
  <si>
    <t>C1883</t>
  </si>
  <si>
    <t>Customer 883</t>
  </si>
  <si>
    <t>ORD10884</t>
  </si>
  <si>
    <t>C1884</t>
  </si>
  <si>
    <t>Customer 884</t>
  </si>
  <si>
    <t>ORD10885</t>
  </si>
  <si>
    <t>C1885</t>
  </si>
  <si>
    <t>Customer 885</t>
  </si>
  <si>
    <t>Accessories Model 19</t>
  </si>
  <si>
    <t>ORD10886</t>
  </si>
  <si>
    <t>C1886</t>
  </si>
  <si>
    <t>Customer 886</t>
  </si>
  <si>
    <t>ORD10887</t>
  </si>
  <si>
    <t>C1887</t>
  </si>
  <si>
    <t>Customer 887</t>
  </si>
  <si>
    <t>ORD10888</t>
  </si>
  <si>
    <t>C1888</t>
  </si>
  <si>
    <t>Customer 888</t>
  </si>
  <si>
    <t>ORD10889</t>
  </si>
  <si>
    <t>C1889</t>
  </si>
  <si>
    <t>Customer 889</t>
  </si>
  <si>
    <t>ORD10890</t>
  </si>
  <si>
    <t>C1890</t>
  </si>
  <si>
    <t>Customer 890</t>
  </si>
  <si>
    <t>ORD10891</t>
  </si>
  <si>
    <t>C1891</t>
  </si>
  <si>
    <t>Customer 891</t>
  </si>
  <si>
    <t>ORD10892</t>
  </si>
  <si>
    <t>C1892</t>
  </si>
  <si>
    <t>Customer 892</t>
  </si>
  <si>
    <t>ORD10893</t>
  </si>
  <si>
    <t>C1893</t>
  </si>
  <si>
    <t>Customer 893</t>
  </si>
  <si>
    <t>ORD10894</t>
  </si>
  <si>
    <t>C1894</t>
  </si>
  <si>
    <t>Customer 894</t>
  </si>
  <si>
    <t>ORD10895</t>
  </si>
  <si>
    <t>C1895</t>
  </si>
  <si>
    <t>Customer 895</t>
  </si>
  <si>
    <t>ORD10896</t>
  </si>
  <si>
    <t>C1896</t>
  </si>
  <si>
    <t>Customer 896</t>
  </si>
  <si>
    <t>ORD10897</t>
  </si>
  <si>
    <t>C1897</t>
  </si>
  <si>
    <t>Customer 897</t>
  </si>
  <si>
    <t>ORD10898</t>
  </si>
  <si>
    <t>C1898</t>
  </si>
  <si>
    <t>Customer 898</t>
  </si>
  <si>
    <t>ORD10899</t>
  </si>
  <si>
    <t>C1899</t>
  </si>
  <si>
    <t>Customer 899</t>
  </si>
  <si>
    <t>ORD10900</t>
  </si>
  <si>
    <t>C1900</t>
  </si>
  <si>
    <t>Customer 900</t>
  </si>
  <si>
    <t>ORD10901</t>
  </si>
  <si>
    <t>C1901</t>
  </si>
  <si>
    <t>Customer 901</t>
  </si>
  <si>
    <t>ORD10902</t>
  </si>
  <si>
    <t>C1902</t>
  </si>
  <si>
    <t>Customer 902</t>
  </si>
  <si>
    <t>ORD10903</t>
  </si>
  <si>
    <t>C1903</t>
  </si>
  <si>
    <t>Customer 903</t>
  </si>
  <si>
    <t>ORD10904</t>
  </si>
  <si>
    <t>C1904</t>
  </si>
  <si>
    <t>Customer 904</t>
  </si>
  <si>
    <t>ORD10905</t>
  </si>
  <si>
    <t>C1905</t>
  </si>
  <si>
    <t>Customer 905</t>
  </si>
  <si>
    <t>ORD10906</t>
  </si>
  <si>
    <t>C1906</t>
  </si>
  <si>
    <t>Customer 906</t>
  </si>
  <si>
    <t>ORD10907</t>
  </si>
  <si>
    <t>C1907</t>
  </si>
  <si>
    <t>Customer 907</t>
  </si>
  <si>
    <t>ORD10908</t>
  </si>
  <si>
    <t>C1908</t>
  </si>
  <si>
    <t>Customer 908</t>
  </si>
  <si>
    <t>ORD10909</t>
  </si>
  <si>
    <t>C1909</t>
  </si>
  <si>
    <t>Customer 909</t>
  </si>
  <si>
    <t>ORD10910</t>
  </si>
  <si>
    <t>C1910</t>
  </si>
  <si>
    <t>Customer 910</t>
  </si>
  <si>
    <t>ORD10911</t>
  </si>
  <si>
    <t>C1911</t>
  </si>
  <si>
    <t>Customer 911</t>
  </si>
  <si>
    <t>ORD10912</t>
  </si>
  <si>
    <t>C1912</t>
  </si>
  <si>
    <t>Customer 912</t>
  </si>
  <si>
    <t>ORD10913</t>
  </si>
  <si>
    <t>C1913</t>
  </si>
  <si>
    <t>Customer 913</t>
  </si>
  <si>
    <t>ORD10914</t>
  </si>
  <si>
    <t>C1914</t>
  </si>
  <si>
    <t>Customer 914</t>
  </si>
  <si>
    <t>ORD10915</t>
  </si>
  <si>
    <t>C1915</t>
  </si>
  <si>
    <t>Customer 915</t>
  </si>
  <si>
    <t>ORD10916</t>
  </si>
  <si>
    <t>C1916</t>
  </si>
  <si>
    <t>Customer 916</t>
  </si>
  <si>
    <t>ORD10917</t>
  </si>
  <si>
    <t>C1917</t>
  </si>
  <si>
    <t>Customer 917</t>
  </si>
  <si>
    <t>ORD10918</t>
  </si>
  <si>
    <t>C1918</t>
  </si>
  <si>
    <t>Customer 918</t>
  </si>
  <si>
    <t>ORD10919</t>
  </si>
  <si>
    <t>C1919</t>
  </si>
  <si>
    <t>Customer 919</t>
  </si>
  <si>
    <t>ORD10920</t>
  </si>
  <si>
    <t>C1920</t>
  </si>
  <si>
    <t>Customer 920</t>
  </si>
  <si>
    <t>ORD10921</t>
  </si>
  <si>
    <t>C1921</t>
  </si>
  <si>
    <t>Customer 921</t>
  </si>
  <si>
    <t>ORD10922</t>
  </si>
  <si>
    <t>C1922</t>
  </si>
  <si>
    <t>Customer 922</t>
  </si>
  <si>
    <t>ORD10923</t>
  </si>
  <si>
    <t>C1923</t>
  </si>
  <si>
    <t>Customer 923</t>
  </si>
  <si>
    <t>ORD10924</t>
  </si>
  <si>
    <t>C1924</t>
  </si>
  <si>
    <t>Customer 924</t>
  </si>
  <si>
    <t>ORD10925</t>
  </si>
  <si>
    <t>C1925</t>
  </si>
  <si>
    <t>Customer 925</t>
  </si>
  <si>
    <t>ORD10926</t>
  </si>
  <si>
    <t>C1926</t>
  </si>
  <si>
    <t>Customer 926</t>
  </si>
  <si>
    <t>ORD10927</t>
  </si>
  <si>
    <t>C1927</t>
  </si>
  <si>
    <t>Customer 927</t>
  </si>
  <si>
    <t>ORD10928</t>
  </si>
  <si>
    <t>C1928</t>
  </si>
  <si>
    <t>Customer 928</t>
  </si>
  <si>
    <t>ORD10929</t>
  </si>
  <si>
    <t>C1929</t>
  </si>
  <si>
    <t>Customer 929</t>
  </si>
  <si>
    <t>ORD10930</t>
  </si>
  <si>
    <t>C1930</t>
  </si>
  <si>
    <t>Customer 930</t>
  </si>
  <si>
    <t>ORD10931</t>
  </si>
  <si>
    <t>C1931</t>
  </si>
  <si>
    <t>Customer 931</t>
  </si>
  <si>
    <t>ORD10932</t>
  </si>
  <si>
    <t>C1932</t>
  </si>
  <si>
    <t>Customer 932</t>
  </si>
  <si>
    <t>ORD10933</t>
  </si>
  <si>
    <t>C1933</t>
  </si>
  <si>
    <t>Customer 933</t>
  </si>
  <si>
    <t>ORD10934</t>
  </si>
  <si>
    <t>C1934</t>
  </si>
  <si>
    <t>Customer 934</t>
  </si>
  <si>
    <t>ORD10935</t>
  </si>
  <si>
    <t>C1935</t>
  </si>
  <si>
    <t>Customer 935</t>
  </si>
  <si>
    <t>ORD10936</t>
  </si>
  <si>
    <t>C1936</t>
  </si>
  <si>
    <t>Customer 936</t>
  </si>
  <si>
    <t>ORD10937</t>
  </si>
  <si>
    <t>C1937</t>
  </si>
  <si>
    <t>Customer 937</t>
  </si>
  <si>
    <t>ORD10938</t>
  </si>
  <si>
    <t>C1938</t>
  </si>
  <si>
    <t>Customer 938</t>
  </si>
  <si>
    <t>ORD10939</t>
  </si>
  <si>
    <t>C1939</t>
  </si>
  <si>
    <t>Customer 939</t>
  </si>
  <si>
    <t>ORD10940</t>
  </si>
  <si>
    <t>C1940</t>
  </si>
  <si>
    <t>Customer 940</t>
  </si>
  <si>
    <t>ORD10941</t>
  </si>
  <si>
    <t>C1941</t>
  </si>
  <si>
    <t>Customer 941</t>
  </si>
  <si>
    <t>ORD10942</t>
  </si>
  <si>
    <t>C1942</t>
  </si>
  <si>
    <t>Customer 942</t>
  </si>
  <si>
    <t>ORD10943</t>
  </si>
  <si>
    <t>C1943</t>
  </si>
  <si>
    <t>Customer 943</t>
  </si>
  <si>
    <t>ORD10944</t>
  </si>
  <si>
    <t>C1944</t>
  </si>
  <si>
    <t>Customer 944</t>
  </si>
  <si>
    <t>ORD10945</t>
  </si>
  <si>
    <t>C1945</t>
  </si>
  <si>
    <t>Customer 945</t>
  </si>
  <si>
    <t>ORD10946</t>
  </si>
  <si>
    <t>C1946</t>
  </si>
  <si>
    <t>Customer 946</t>
  </si>
  <si>
    <t>ORD10947</t>
  </si>
  <si>
    <t>C1947</t>
  </si>
  <si>
    <t>Customer 947</t>
  </si>
  <si>
    <t>ORD10948</t>
  </si>
  <si>
    <t>C1948</t>
  </si>
  <si>
    <t>Customer 948</t>
  </si>
  <si>
    <t>ORD10949</t>
  </si>
  <si>
    <t>C1949</t>
  </si>
  <si>
    <t>Customer 949</t>
  </si>
  <si>
    <t>ORD10950</t>
  </si>
  <si>
    <t>C1950</t>
  </si>
  <si>
    <t>Customer 950</t>
  </si>
  <si>
    <t>ORD10951</t>
  </si>
  <si>
    <t>C1951</t>
  </si>
  <si>
    <t>Customer 951</t>
  </si>
  <si>
    <t>ORD10952</t>
  </si>
  <si>
    <t>C1952</t>
  </si>
  <si>
    <t>Customer 952</t>
  </si>
  <si>
    <t>ORD10953</t>
  </si>
  <si>
    <t>C1953</t>
  </si>
  <si>
    <t>Customer 953</t>
  </si>
  <si>
    <t>ORD10954</t>
  </si>
  <si>
    <t>C1954</t>
  </si>
  <si>
    <t>Customer 954</t>
  </si>
  <si>
    <t>ORD10955</t>
  </si>
  <si>
    <t>C1955</t>
  </si>
  <si>
    <t>Customer 955</t>
  </si>
  <si>
    <t>ORD10956</t>
  </si>
  <si>
    <t>C1956</t>
  </si>
  <si>
    <t>Customer 956</t>
  </si>
  <si>
    <t>ORD10957</t>
  </si>
  <si>
    <t>C1957</t>
  </si>
  <si>
    <t>Customer 957</t>
  </si>
  <si>
    <t>ORD10958</t>
  </si>
  <si>
    <t>C1958</t>
  </si>
  <si>
    <t>Customer 958</t>
  </si>
  <si>
    <t>ORD10959</t>
  </si>
  <si>
    <t>C1959</t>
  </si>
  <si>
    <t>Customer 959</t>
  </si>
  <si>
    <t>ORD10960</t>
  </si>
  <si>
    <t>C1960</t>
  </si>
  <si>
    <t>Customer 960</t>
  </si>
  <si>
    <t>ORD10961</t>
  </si>
  <si>
    <t>C1961</t>
  </si>
  <si>
    <t>Customer 961</t>
  </si>
  <si>
    <t>ORD10962</t>
  </si>
  <si>
    <t>C1962</t>
  </si>
  <si>
    <t>Customer 962</t>
  </si>
  <si>
    <t>ORD10963</t>
  </si>
  <si>
    <t>C1963</t>
  </si>
  <si>
    <t>Customer 963</t>
  </si>
  <si>
    <t>ORD10964</t>
  </si>
  <si>
    <t>C1964</t>
  </si>
  <si>
    <t>Customer 964</t>
  </si>
  <si>
    <t>ORD10965</t>
  </si>
  <si>
    <t>C1965</t>
  </si>
  <si>
    <t>Customer 965</t>
  </si>
  <si>
    <t>ORD10966</t>
  </si>
  <si>
    <t>C1966</t>
  </si>
  <si>
    <t>Customer 966</t>
  </si>
  <si>
    <t>ORD10967</t>
  </si>
  <si>
    <t>C1967</t>
  </si>
  <si>
    <t>Customer 967</t>
  </si>
  <si>
    <t>ORD10968</t>
  </si>
  <si>
    <t>C1968</t>
  </si>
  <si>
    <t>Customer 968</t>
  </si>
  <si>
    <t>ORD10969</t>
  </si>
  <si>
    <t>C1969</t>
  </si>
  <si>
    <t>Customer 969</t>
  </si>
  <si>
    <t>ORD10970</t>
  </si>
  <si>
    <t>C1970</t>
  </si>
  <si>
    <t>Customer 970</t>
  </si>
  <si>
    <t>ORD10971</t>
  </si>
  <si>
    <t>C1971</t>
  </si>
  <si>
    <t>Customer 971</t>
  </si>
  <si>
    <t>ORD10972</t>
  </si>
  <si>
    <t>C1972</t>
  </si>
  <si>
    <t>Customer 972</t>
  </si>
  <si>
    <t>ORD10973</t>
  </si>
  <si>
    <t>C1973</t>
  </si>
  <si>
    <t>Customer 973</t>
  </si>
  <si>
    <t>ORD10974</t>
  </si>
  <si>
    <t>C1974</t>
  </si>
  <si>
    <t>Customer 974</t>
  </si>
  <si>
    <t>ORD10975</t>
  </si>
  <si>
    <t>C1975</t>
  </si>
  <si>
    <t>Customer 975</t>
  </si>
  <si>
    <t>ORD10976</t>
  </si>
  <si>
    <t>C1976</t>
  </si>
  <si>
    <t>Customer 976</t>
  </si>
  <si>
    <t>ORD10977</t>
  </si>
  <si>
    <t>C1977</t>
  </si>
  <si>
    <t>Customer 977</t>
  </si>
  <si>
    <t>ORD10978</t>
  </si>
  <si>
    <t>C1978</t>
  </si>
  <si>
    <t>Customer 978</t>
  </si>
  <si>
    <t>ORD10979</t>
  </si>
  <si>
    <t>C1979</t>
  </si>
  <si>
    <t>Customer 979</t>
  </si>
  <si>
    <t>ORD10980</t>
  </si>
  <si>
    <t>C1980</t>
  </si>
  <si>
    <t>Customer 980</t>
  </si>
  <si>
    <t>ORD10981</t>
  </si>
  <si>
    <t>C1981</t>
  </si>
  <si>
    <t>Customer 981</t>
  </si>
  <si>
    <t>ORD10982</t>
  </si>
  <si>
    <t>C1982</t>
  </si>
  <si>
    <t>Customer 982</t>
  </si>
  <si>
    <t>ORD10983</t>
  </si>
  <si>
    <t>C1983</t>
  </si>
  <si>
    <t>Customer 983</t>
  </si>
  <si>
    <t>ORD10984</t>
  </si>
  <si>
    <t>C1984</t>
  </si>
  <si>
    <t>Customer 984</t>
  </si>
  <si>
    <t>ORD10985</t>
  </si>
  <si>
    <t>C1985</t>
  </si>
  <si>
    <t>Customer 985</t>
  </si>
  <si>
    <t>ORD10986</t>
  </si>
  <si>
    <t>C1986</t>
  </si>
  <si>
    <t>Customer 986</t>
  </si>
  <si>
    <t>ORD10987</t>
  </si>
  <si>
    <t>C1987</t>
  </si>
  <si>
    <t>Customer 987</t>
  </si>
  <si>
    <t>ORD10988</t>
  </si>
  <si>
    <t>C1988</t>
  </si>
  <si>
    <t>Customer 988</t>
  </si>
  <si>
    <t>ORD10989</t>
  </si>
  <si>
    <t>C1989</t>
  </si>
  <si>
    <t>Customer 989</t>
  </si>
  <si>
    <t>ORD10990</t>
  </si>
  <si>
    <t>C1990</t>
  </si>
  <si>
    <t>Customer 990</t>
  </si>
  <si>
    <t>ORD10991</t>
  </si>
  <si>
    <t>C1991</t>
  </si>
  <si>
    <t>Customer 991</t>
  </si>
  <si>
    <t>ORD10992</t>
  </si>
  <si>
    <t>C1992</t>
  </si>
  <si>
    <t>Customer 992</t>
  </si>
  <si>
    <t>ORD10993</t>
  </si>
  <si>
    <t>C1993</t>
  </si>
  <si>
    <t>Customer 993</t>
  </si>
  <si>
    <t>ORD10994</t>
  </si>
  <si>
    <t>C1994</t>
  </si>
  <si>
    <t>Customer 994</t>
  </si>
  <si>
    <t>ORD10995</t>
  </si>
  <si>
    <t>C1995</t>
  </si>
  <si>
    <t>Customer 995</t>
  </si>
  <si>
    <t>ORD10996</t>
  </si>
  <si>
    <t>C1996</t>
  </si>
  <si>
    <t>Customer 996</t>
  </si>
  <si>
    <t>ORD10997</t>
  </si>
  <si>
    <t>C1997</t>
  </si>
  <si>
    <t>Customer 997</t>
  </si>
  <si>
    <t>ORD10998</t>
  </si>
  <si>
    <t>C1998</t>
  </si>
  <si>
    <t>Customer 998</t>
  </si>
  <si>
    <t>ORD10999</t>
  </si>
  <si>
    <t>C1999</t>
  </si>
  <si>
    <t>Customer 999</t>
  </si>
  <si>
    <t>ORD11000</t>
  </si>
  <si>
    <t>C2000</t>
  </si>
  <si>
    <t>Customer 1000</t>
  </si>
  <si>
    <t>Year</t>
  </si>
  <si>
    <t>Month Name</t>
  </si>
  <si>
    <t>Month Number</t>
  </si>
  <si>
    <t>Quarter</t>
  </si>
  <si>
    <t>Profit margin %</t>
  </si>
  <si>
    <t>Order size</t>
  </si>
  <si>
    <t>TOTAL SALES:</t>
  </si>
  <si>
    <t>TOTAL PROFIT:</t>
  </si>
  <si>
    <t>TOTAL ORDERS:</t>
  </si>
  <si>
    <t>AVERAGE SALES:</t>
  </si>
  <si>
    <t>AVERAGE PROFIT:</t>
  </si>
  <si>
    <t>PROFIT MARGIN:</t>
  </si>
  <si>
    <t>Row Labels</t>
  </si>
  <si>
    <t>Grand Total</t>
  </si>
  <si>
    <t>Sum of Sales</t>
  </si>
  <si>
    <t>Sum of Profit</t>
  </si>
  <si>
    <t>September</t>
  </si>
  <si>
    <t>October</t>
  </si>
  <si>
    <t>November</t>
  </si>
  <si>
    <t>December</t>
  </si>
  <si>
    <t>January</t>
  </si>
  <si>
    <t>February</t>
  </si>
  <si>
    <t>March</t>
  </si>
  <si>
    <t>April</t>
  </si>
  <si>
    <t>May</t>
  </si>
  <si>
    <t>June</t>
  </si>
  <si>
    <t>July</t>
  </si>
  <si>
    <t>August</t>
  </si>
  <si>
    <t>Total Sales</t>
  </si>
  <si>
    <t>Total Profit</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</si>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</sst>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8" formatCode="&quot;₹&quot;\ #,##0.00"/>
  </numFmts>
  <fonts count="3" x14ac:knownFonts="1">
    <font>
      <sz val="11"/>
      <color theme="1"/>
      <name val="Arial"/>
      <family val="2"/>
      <scheme val="minor"/>
    </font>
    <font>
      <sz val="11"/>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quotePrefix="1"/>
    <xf numFmtId="9" fontId="0" fillId="0" borderId="0" xfId="2"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68" fontId="0" fillId="0" borderId="0" xfId="2" applyNumberFormat="1" applyFont="1"/>
    <xf numFmtId="44" fontId="0" fillId="0" borderId="0" xfId="1" applyFont="1"/>
  </cellXfs>
  <cellStyles count="3">
    <cellStyle name="Currency" xfId="1" builtinId="4"/>
    <cellStyle name="Normal" xfId="0" builtinId="0"/>
    <cellStyle name="Percent" xfId="2" builtinId="5"/>
  </cellStyles>
  <dxfs count="28">
    <dxf>
      <numFmt numFmtId="168" formatCode="&quot;₹&quot;\ #,##0.00"/>
    </dxf>
    <dxf>
      <numFmt numFmtId="168" formatCode="&quot;₹&quot;\ #,##0.00"/>
    </dxf>
    <dxf>
      <numFmt numFmtId="0" formatCode="General"/>
    </dxf>
    <dxf>
      <numFmt numFmtId="168" formatCode="&quot;₹&quot;\ #,##0.00"/>
    </dxf>
    <dxf>
      <numFmt numFmtId="168" formatCode="&quot;₹&quot;\ #,##0.00"/>
    </dxf>
    <dxf>
      <numFmt numFmtId="0" formatCode="General"/>
    </dxf>
    <dxf>
      <numFmt numFmtId="168" formatCode="&quot;₹&quot;\ #,##0.00"/>
    </dxf>
    <dxf>
      <numFmt numFmtId="168" formatCode="&quot;₹&quot;\ #,##0.00"/>
    </dxf>
    <dxf>
      <numFmt numFmtId="0" formatCode="General"/>
    </dxf>
    <dxf>
      <numFmt numFmtId="168" formatCode="&quot;₹&quot;\ #,##0.00"/>
    </dxf>
    <dxf>
      <numFmt numFmtId="168" formatCode="&quot;₹&quot;\ #,##0.00"/>
    </dxf>
    <dxf>
      <numFmt numFmtId="0" formatCode="General"/>
    </dxf>
    <dxf>
      <numFmt numFmtId="168" formatCode="&quot;₹&quot;\ #,##0.00"/>
    </dxf>
    <dxf>
      <numFmt numFmtId="168" formatCode="&quot;₹&quot;\ #,##0.00"/>
    </dxf>
    <dxf>
      <numFmt numFmtId="0" formatCode="General"/>
    </dxf>
    <dxf>
      <numFmt numFmtId="168" formatCode="&quot;₹&quot;\ #,##0.00"/>
    </dxf>
    <dxf>
      <numFmt numFmtId="168" formatCode="&quot;₹&quot;\ #,##0.00"/>
    </dxf>
    <dxf>
      <numFmt numFmtId="0" formatCode="General"/>
    </dxf>
    <dxf>
      <numFmt numFmtId="168" formatCode="&quot;₹&quot;\ #,##0.00"/>
    </dxf>
    <dxf>
      <numFmt numFmtId="168"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Tables!$F$3</c:f>
              <c:strCache>
                <c:ptCount val="1"/>
                <c:pt idx="0">
                  <c:v>Total</c:v>
                </c:pt>
              </c:strCache>
            </c:strRef>
          </c:tx>
          <c:spPr>
            <a:ln w="28575" cap="rnd">
              <a:solidFill>
                <a:schemeClr val="accent1"/>
              </a:solidFill>
              <a:round/>
            </a:ln>
            <a:effectLst/>
          </c:spPr>
          <c:marker>
            <c:symbol val="none"/>
          </c:marker>
          <c:cat>
            <c:strRef>
              <c:f>Tables!$E$4:$E$16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Tables!$F$4:$F$16</c:f>
              <c:numCache>
                <c:formatCode>General</c:formatCode>
                <c:ptCount val="12"/>
                <c:pt idx="0">
                  <c:v>2259256.3099999996</c:v>
                </c:pt>
                <c:pt idx="1">
                  <c:v>2249342.9800000004</c:v>
                </c:pt>
                <c:pt idx="2">
                  <c:v>2405824.1100000013</c:v>
                </c:pt>
                <c:pt idx="3">
                  <c:v>2026526.6999999995</c:v>
                </c:pt>
                <c:pt idx="4">
                  <c:v>2452599.8899999997</c:v>
                </c:pt>
                <c:pt idx="5">
                  <c:v>1834031.59</c:v>
                </c:pt>
                <c:pt idx="6">
                  <c:v>1637094.29</c:v>
                </c:pt>
                <c:pt idx="7">
                  <c:v>1346630.3800000006</c:v>
                </c:pt>
                <c:pt idx="8">
                  <c:v>1696809.5200000003</c:v>
                </c:pt>
                <c:pt idx="9">
                  <c:v>2478579.5599999991</c:v>
                </c:pt>
                <c:pt idx="10">
                  <c:v>2335439.5400000005</c:v>
                </c:pt>
                <c:pt idx="11">
                  <c:v>2247919.98</c:v>
                </c:pt>
              </c:numCache>
            </c:numRef>
          </c:val>
          <c:smooth val="0"/>
          <c:extLst>
            <c:ext xmlns:c16="http://schemas.microsoft.com/office/drawing/2014/chart" uri="{C3380CC4-5D6E-409C-BE32-E72D297353CC}">
              <c16:uniqueId val="{00000000-70B5-40FF-8E1A-233AEF3E91B5}"/>
            </c:ext>
          </c:extLst>
        </c:ser>
        <c:dLbls>
          <c:showLegendKey val="0"/>
          <c:showVal val="0"/>
          <c:showCatName val="0"/>
          <c:showSerName val="0"/>
          <c:showPercent val="0"/>
          <c:showBubbleSize val="0"/>
        </c:dLbls>
        <c:smooth val="0"/>
        <c:axId val="764127712"/>
        <c:axId val="764121232"/>
      </c:lineChart>
      <c:catAx>
        <c:axId val="76412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121232"/>
        <c:crosses val="autoZero"/>
        <c:auto val="1"/>
        <c:lblAlgn val="ctr"/>
        <c:lblOffset val="100"/>
        <c:noMultiLvlLbl val="0"/>
      </c:catAx>
      <c:valAx>
        <c:axId val="76412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1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Tables!$E$19:$E$29</c:f>
              <c:strCache>
                <c:ptCount val="10"/>
                <c:pt idx="0">
                  <c:v>Customer 410</c:v>
                </c:pt>
                <c:pt idx="1">
                  <c:v>Customer 607</c:v>
                </c:pt>
                <c:pt idx="2">
                  <c:v>Customer 885</c:v>
                </c:pt>
                <c:pt idx="3">
                  <c:v>Customer 340</c:v>
                </c:pt>
                <c:pt idx="4">
                  <c:v>Customer 793</c:v>
                </c:pt>
                <c:pt idx="5">
                  <c:v>Customer 580</c:v>
                </c:pt>
                <c:pt idx="6">
                  <c:v>Customer 158</c:v>
                </c:pt>
                <c:pt idx="7">
                  <c:v>Customer 794</c:v>
                </c:pt>
                <c:pt idx="8">
                  <c:v>Customer 331</c:v>
                </c:pt>
                <c:pt idx="9">
                  <c:v>Customer 397</c:v>
                </c:pt>
              </c:strCache>
            </c:strRef>
          </c:cat>
          <c:val>
            <c:numRef>
              <c:f>Tables!$F$19:$F$29</c:f>
              <c:numCache>
                <c:formatCode>General</c:formatCode>
                <c:ptCount val="10"/>
                <c:pt idx="0">
                  <c:v>49626.46</c:v>
                </c:pt>
                <c:pt idx="1">
                  <c:v>49632.38</c:v>
                </c:pt>
                <c:pt idx="2">
                  <c:v>49634.04</c:v>
                </c:pt>
                <c:pt idx="3">
                  <c:v>49663.16</c:v>
                </c:pt>
                <c:pt idx="4">
                  <c:v>49695.25</c:v>
                </c:pt>
                <c:pt idx="5">
                  <c:v>49744.87</c:v>
                </c:pt>
                <c:pt idx="6">
                  <c:v>49791.9</c:v>
                </c:pt>
                <c:pt idx="7">
                  <c:v>49866.77</c:v>
                </c:pt>
                <c:pt idx="8">
                  <c:v>49883.74</c:v>
                </c:pt>
                <c:pt idx="9">
                  <c:v>49993.73</c:v>
                </c:pt>
              </c:numCache>
            </c:numRef>
          </c:val>
          <c:extLst>
            <c:ext xmlns:c16="http://schemas.microsoft.com/office/drawing/2014/chart" uri="{C3380CC4-5D6E-409C-BE32-E72D297353CC}">
              <c16:uniqueId val="{00000000-4C91-43CA-9AF7-10D017D0B979}"/>
            </c:ext>
          </c:extLst>
        </c:ser>
        <c:dLbls>
          <c:dLblPos val="outEnd"/>
          <c:showLegendKey val="0"/>
          <c:showVal val="1"/>
          <c:showCatName val="0"/>
          <c:showSerName val="0"/>
          <c:showPercent val="0"/>
          <c:showBubbleSize val="0"/>
        </c:dLbls>
        <c:gapWidth val="182"/>
        <c:axId val="639738992"/>
        <c:axId val="639745472"/>
      </c:barChart>
      <c:catAx>
        <c:axId val="63973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745472"/>
        <c:crosses val="autoZero"/>
        <c:auto val="1"/>
        <c:lblAlgn val="ctr"/>
        <c:lblOffset val="100"/>
        <c:noMultiLvlLbl val="0"/>
      </c:catAx>
      <c:valAx>
        <c:axId val="639745472"/>
        <c:scaling>
          <c:orientation val="minMax"/>
        </c:scaling>
        <c:delete val="1"/>
        <c:axPos val="b"/>
        <c:numFmt formatCode="General" sourceLinked="1"/>
        <c:majorTickMark val="none"/>
        <c:minorTickMark val="none"/>
        <c:tickLblPos val="nextTo"/>
        <c:crossAx val="63973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 by Sub</a:t>
            </a:r>
            <a:r>
              <a:rPr lang="en-IN" b="1" baseline="0"/>
              <a:t>-Category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Tables!$A$10:$A$19</c:f>
              <c:strCache>
                <c:ptCount val="9"/>
                <c:pt idx="0">
                  <c:v>Chairs</c:v>
                </c:pt>
                <c:pt idx="1">
                  <c:v>Paper</c:v>
                </c:pt>
                <c:pt idx="2">
                  <c:v>Accessories</c:v>
                </c:pt>
                <c:pt idx="3">
                  <c:v>Binders</c:v>
                </c:pt>
                <c:pt idx="4">
                  <c:v>Tables</c:v>
                </c:pt>
                <c:pt idx="5">
                  <c:v>Bookcases</c:v>
                </c:pt>
                <c:pt idx="6">
                  <c:v>Phones</c:v>
                </c:pt>
                <c:pt idx="7">
                  <c:v>Laptops</c:v>
                </c:pt>
                <c:pt idx="8">
                  <c:v>Storage</c:v>
                </c:pt>
              </c:strCache>
            </c:strRef>
          </c:cat>
          <c:val>
            <c:numRef>
              <c:f>Tables!$B$10:$B$19</c:f>
              <c:numCache>
                <c:formatCode>General</c:formatCode>
                <c:ptCount val="9"/>
                <c:pt idx="0">
                  <c:v>286143.91000000009</c:v>
                </c:pt>
                <c:pt idx="1">
                  <c:v>291899.91000000003</c:v>
                </c:pt>
                <c:pt idx="2">
                  <c:v>293434.44000000012</c:v>
                </c:pt>
                <c:pt idx="3">
                  <c:v>294819.56999999983</c:v>
                </c:pt>
                <c:pt idx="4">
                  <c:v>301446.81</c:v>
                </c:pt>
                <c:pt idx="5">
                  <c:v>310016.17999999993</c:v>
                </c:pt>
                <c:pt idx="6">
                  <c:v>335548.85000000009</c:v>
                </c:pt>
                <c:pt idx="7">
                  <c:v>361057.71000000025</c:v>
                </c:pt>
                <c:pt idx="8">
                  <c:v>377168.27000000008</c:v>
                </c:pt>
              </c:numCache>
            </c:numRef>
          </c:val>
          <c:extLst>
            <c:ext xmlns:c16="http://schemas.microsoft.com/office/drawing/2014/chart" uri="{C3380CC4-5D6E-409C-BE32-E72D297353CC}">
              <c16:uniqueId val="{00000000-4BB8-4F37-9E69-92F236905279}"/>
            </c:ext>
          </c:extLst>
        </c:ser>
        <c:dLbls>
          <c:showLegendKey val="0"/>
          <c:showVal val="0"/>
          <c:showCatName val="0"/>
          <c:showSerName val="0"/>
          <c:showPercent val="0"/>
          <c:showBubbleSize val="0"/>
        </c:dLbls>
        <c:gapWidth val="182"/>
        <c:axId val="570775088"/>
        <c:axId val="570778328"/>
      </c:barChart>
      <c:catAx>
        <c:axId val="57077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0778328"/>
        <c:crosses val="autoZero"/>
        <c:auto val="1"/>
        <c:lblAlgn val="ctr"/>
        <c:lblOffset val="100"/>
        <c:noMultiLvlLbl val="0"/>
      </c:catAx>
      <c:valAx>
        <c:axId val="570778328"/>
        <c:scaling>
          <c:orientation val="minMax"/>
        </c:scaling>
        <c:delete val="1"/>
        <c:axPos val="b"/>
        <c:numFmt formatCode="General" sourceLinked="1"/>
        <c:majorTickMark val="none"/>
        <c:minorTickMark val="none"/>
        <c:tickLblPos val="nextTo"/>
        <c:crossAx val="57077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Tables!$A$4:$A$7</c:f>
              <c:strCache>
                <c:ptCount val="3"/>
                <c:pt idx="0">
                  <c:v>Furniture</c:v>
                </c:pt>
                <c:pt idx="1">
                  <c:v>Office Supplies</c:v>
                </c:pt>
                <c:pt idx="2">
                  <c:v>Technology</c:v>
                </c:pt>
              </c:strCache>
            </c:strRef>
          </c:cat>
          <c:val>
            <c:numRef>
              <c:f>Tables!$B$4:$B$7</c:f>
              <c:numCache>
                <c:formatCode>General</c:formatCode>
                <c:ptCount val="3"/>
                <c:pt idx="0">
                  <c:v>7829838.7399999974</c:v>
                </c:pt>
                <c:pt idx="1">
                  <c:v>8182835.1800000034</c:v>
                </c:pt>
                <c:pt idx="2">
                  <c:v>8957380.929999996</c:v>
                </c:pt>
              </c:numCache>
            </c:numRef>
          </c:val>
          <c:extLst>
            <c:ext xmlns:c16="http://schemas.microsoft.com/office/drawing/2014/chart" uri="{C3380CC4-5D6E-409C-BE32-E72D297353CC}">
              <c16:uniqueId val="{00000000-9269-4E3C-BB39-48659209D42E}"/>
            </c:ext>
          </c:extLst>
        </c:ser>
        <c:ser>
          <c:idx val="1"/>
          <c:order val="1"/>
          <c:tx>
            <c:strRef>
              <c:f>Tables!$C$3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Tables!$A$4:$A$7</c:f>
              <c:strCache>
                <c:ptCount val="3"/>
                <c:pt idx="0">
                  <c:v>Furniture</c:v>
                </c:pt>
                <c:pt idx="1">
                  <c:v>Office Supplies</c:v>
                </c:pt>
                <c:pt idx="2">
                  <c:v>Technology</c:v>
                </c:pt>
              </c:strCache>
            </c:strRef>
          </c:cat>
          <c:val>
            <c:numRef>
              <c:f>Tables!$C$4:$C$7</c:f>
              <c:numCache>
                <c:formatCode>General</c:formatCode>
                <c:ptCount val="3"/>
                <c:pt idx="0">
                  <c:v>897606.9</c:v>
                </c:pt>
                <c:pt idx="1">
                  <c:v>963887.75000000023</c:v>
                </c:pt>
                <c:pt idx="2">
                  <c:v>990040.99999999942</c:v>
                </c:pt>
              </c:numCache>
            </c:numRef>
          </c:val>
          <c:extLst>
            <c:ext xmlns:c16="http://schemas.microsoft.com/office/drawing/2014/chart" uri="{C3380CC4-5D6E-409C-BE32-E72D297353CC}">
              <c16:uniqueId val="{00000001-9269-4E3C-BB39-48659209D42E}"/>
            </c:ext>
          </c:extLst>
        </c:ser>
        <c:dLbls>
          <c:dLblPos val="outEnd"/>
          <c:showLegendKey val="0"/>
          <c:showVal val="1"/>
          <c:showCatName val="0"/>
          <c:showSerName val="0"/>
          <c:showPercent val="0"/>
          <c:showBubbleSize val="0"/>
        </c:dLbls>
        <c:gapWidth val="219"/>
        <c:overlap val="-27"/>
        <c:axId val="643538016"/>
        <c:axId val="643539816"/>
      </c:barChart>
      <c:catAx>
        <c:axId val="64353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539816"/>
        <c:crosses val="autoZero"/>
        <c:auto val="1"/>
        <c:lblAlgn val="ctr"/>
        <c:lblOffset val="100"/>
        <c:noMultiLvlLbl val="0"/>
      </c:catAx>
      <c:valAx>
        <c:axId val="643539816"/>
        <c:scaling>
          <c:orientation val="minMax"/>
        </c:scaling>
        <c:delete val="1"/>
        <c:axPos val="l"/>
        <c:numFmt formatCode="General" sourceLinked="1"/>
        <c:majorTickMark val="none"/>
        <c:minorTickMark val="none"/>
        <c:tickLblPos val="nextTo"/>
        <c:crossAx val="64353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a:t>
            </a:r>
            <a:r>
              <a:rPr lang="en-US" b="1" baseline="0"/>
              <a:t> Mode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Tables!$H$4:$H$8</c:f>
              <c:strCache>
                <c:ptCount val="4"/>
                <c:pt idx="0">
                  <c:v>First Class</c:v>
                </c:pt>
                <c:pt idx="1">
                  <c:v>Same Day</c:v>
                </c:pt>
                <c:pt idx="2">
                  <c:v>Second Class</c:v>
                </c:pt>
                <c:pt idx="3">
                  <c:v>Standard</c:v>
                </c:pt>
              </c:strCache>
            </c:strRef>
          </c:cat>
          <c:val>
            <c:numRef>
              <c:f>Tables!$I$4:$I$8</c:f>
              <c:numCache>
                <c:formatCode>General</c:formatCode>
                <c:ptCount val="4"/>
                <c:pt idx="0">
                  <c:v>5923354.9000000004</c:v>
                </c:pt>
                <c:pt idx="1">
                  <c:v>6585563.7599999979</c:v>
                </c:pt>
                <c:pt idx="2">
                  <c:v>6596471.1099999994</c:v>
                </c:pt>
                <c:pt idx="3">
                  <c:v>5864665.0799999963</c:v>
                </c:pt>
              </c:numCache>
            </c:numRef>
          </c:val>
          <c:extLst>
            <c:ext xmlns:c16="http://schemas.microsoft.com/office/drawing/2014/chart" uri="{C3380CC4-5D6E-409C-BE32-E72D297353CC}">
              <c16:uniqueId val="{00000000-E67C-411C-845C-CEA296286E35}"/>
            </c:ext>
          </c:extLst>
        </c:ser>
        <c:dLbls>
          <c:dLblPos val="outEnd"/>
          <c:showLegendKey val="0"/>
          <c:showVal val="1"/>
          <c:showCatName val="0"/>
          <c:showSerName val="0"/>
          <c:showPercent val="0"/>
          <c:showBubbleSize val="0"/>
        </c:dLbls>
        <c:gapWidth val="219"/>
        <c:axId val="639749792"/>
        <c:axId val="639752672"/>
      </c:barChart>
      <c:catAx>
        <c:axId val="63974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752672"/>
        <c:crosses val="autoZero"/>
        <c:auto val="1"/>
        <c:lblAlgn val="ctr"/>
        <c:lblOffset val="100"/>
        <c:noMultiLvlLbl val="0"/>
      </c:catAx>
      <c:valAx>
        <c:axId val="639752672"/>
        <c:scaling>
          <c:orientation val="minMax"/>
        </c:scaling>
        <c:delete val="1"/>
        <c:axPos val="l"/>
        <c:numFmt formatCode="General" sourceLinked="1"/>
        <c:majorTickMark val="none"/>
        <c:minorTickMark val="none"/>
        <c:tickLblPos val="nextTo"/>
        <c:crossAx val="63974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Tables!$B$21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8-4C0E-932E-275AA15FFF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C8-4C0E-932E-275AA15FFF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C8-4C0E-932E-275AA15FFF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C8-4C0E-932E-275AA15FFF9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Tables!$A$22:$A$26</c:f>
              <c:strCache>
                <c:ptCount val="4"/>
                <c:pt idx="0">
                  <c:v>East</c:v>
                </c:pt>
                <c:pt idx="1">
                  <c:v>North</c:v>
                </c:pt>
                <c:pt idx="2">
                  <c:v>South</c:v>
                </c:pt>
                <c:pt idx="3">
                  <c:v>West</c:v>
                </c:pt>
              </c:strCache>
            </c:strRef>
          </c:cat>
          <c:val>
            <c:numRef>
              <c:f>Tables!$B$22:$B$26</c:f>
              <c:numCache>
                <c:formatCode>General</c:formatCode>
                <c:ptCount val="4"/>
                <c:pt idx="0">
                  <c:v>4598753.8600000003</c:v>
                </c:pt>
                <c:pt idx="1">
                  <c:v>9933920.7599999979</c:v>
                </c:pt>
                <c:pt idx="2">
                  <c:v>5205019.669999999</c:v>
                </c:pt>
                <c:pt idx="3">
                  <c:v>5232360.5599999968</c:v>
                </c:pt>
              </c:numCache>
            </c:numRef>
          </c:val>
          <c:extLst>
            <c:ext xmlns:c16="http://schemas.microsoft.com/office/drawing/2014/chart" uri="{C3380CC4-5D6E-409C-BE32-E72D297353CC}">
              <c16:uniqueId val="{00000008-67C8-4C0E-932E-275AA15FFF9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dashboard.xlsx]Tables!PivotTable16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Tables!$H$11:$H$21</c:f>
              <c:strCache>
                <c:ptCount val="10"/>
                <c:pt idx="0">
                  <c:v>Storage Model 12</c:v>
                </c:pt>
                <c:pt idx="1">
                  <c:v>Phones Model 7</c:v>
                </c:pt>
                <c:pt idx="2">
                  <c:v>Binders Model 7</c:v>
                </c:pt>
                <c:pt idx="3">
                  <c:v>Tables Model 9</c:v>
                </c:pt>
                <c:pt idx="4">
                  <c:v>Laptops Model 8</c:v>
                </c:pt>
                <c:pt idx="5">
                  <c:v>Laptops Model 6</c:v>
                </c:pt>
                <c:pt idx="6">
                  <c:v>Tables Model 17</c:v>
                </c:pt>
                <c:pt idx="7">
                  <c:v>Phones Model 15</c:v>
                </c:pt>
                <c:pt idx="8">
                  <c:v>Chairs Model 20</c:v>
                </c:pt>
                <c:pt idx="9">
                  <c:v>Paper Model 11</c:v>
                </c:pt>
              </c:strCache>
            </c:strRef>
          </c:cat>
          <c:val>
            <c:numRef>
              <c:f>Tables!$I$11:$I$21</c:f>
              <c:numCache>
                <c:formatCode>General</c:formatCode>
                <c:ptCount val="10"/>
                <c:pt idx="0">
                  <c:v>264495.43</c:v>
                </c:pt>
                <c:pt idx="1">
                  <c:v>265632.76</c:v>
                </c:pt>
                <c:pt idx="2">
                  <c:v>268183.79000000004</c:v>
                </c:pt>
                <c:pt idx="3">
                  <c:v>289538.39</c:v>
                </c:pt>
                <c:pt idx="4">
                  <c:v>290750.23</c:v>
                </c:pt>
                <c:pt idx="5">
                  <c:v>291866.48</c:v>
                </c:pt>
                <c:pt idx="6">
                  <c:v>331551.95999999996</c:v>
                </c:pt>
                <c:pt idx="7">
                  <c:v>345423.84</c:v>
                </c:pt>
                <c:pt idx="8">
                  <c:v>350959.72</c:v>
                </c:pt>
                <c:pt idx="9">
                  <c:v>356350.93</c:v>
                </c:pt>
              </c:numCache>
            </c:numRef>
          </c:val>
          <c:extLst>
            <c:ext xmlns:c16="http://schemas.microsoft.com/office/drawing/2014/chart" uri="{C3380CC4-5D6E-409C-BE32-E72D297353CC}">
              <c16:uniqueId val="{00000000-BCBC-4850-9D45-0AC9FA53D66C}"/>
            </c:ext>
          </c:extLst>
        </c:ser>
        <c:dLbls>
          <c:dLblPos val="outEnd"/>
          <c:showLegendKey val="0"/>
          <c:showVal val="1"/>
          <c:showCatName val="0"/>
          <c:showSerName val="0"/>
          <c:showPercent val="0"/>
          <c:showBubbleSize val="0"/>
        </c:dLbls>
        <c:gapWidth val="182"/>
        <c:axId val="639738992"/>
        <c:axId val="639748352"/>
      </c:barChart>
      <c:catAx>
        <c:axId val="63973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748352"/>
        <c:crosses val="autoZero"/>
        <c:auto val="1"/>
        <c:lblAlgn val="ctr"/>
        <c:lblOffset val="100"/>
        <c:noMultiLvlLbl val="0"/>
      </c:catAx>
      <c:valAx>
        <c:axId val="639748352"/>
        <c:scaling>
          <c:orientation val="minMax"/>
        </c:scaling>
        <c:delete val="1"/>
        <c:axPos val="b"/>
        <c:numFmt formatCode="General" sourceLinked="1"/>
        <c:majorTickMark val="none"/>
        <c:minorTickMark val="none"/>
        <c:tickLblPos val="nextTo"/>
        <c:crossAx val="63973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53340</xdr:rowOff>
    </xdr:from>
    <xdr:to>
      <xdr:col>5</xdr:col>
      <xdr:colOff>15240</xdr:colOff>
      <xdr:row>23</xdr:row>
      <xdr:rowOff>53340</xdr:rowOff>
    </xdr:to>
    <xdr:graphicFrame macro="">
      <xdr:nvGraphicFramePr>
        <xdr:cNvPr id="2" name="Chart 1">
          <a:extLst>
            <a:ext uri="{FF2B5EF4-FFF2-40B4-BE49-F238E27FC236}">
              <a16:creationId xmlns:a16="http://schemas.microsoft.com/office/drawing/2014/main" id="{5E4DDDD9-1961-44B7-9F07-92AAD529A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23</xdr:row>
      <xdr:rowOff>114300</xdr:rowOff>
    </xdr:from>
    <xdr:to>
      <xdr:col>5</xdr:col>
      <xdr:colOff>83820</xdr:colOff>
      <xdr:row>38</xdr:row>
      <xdr:rowOff>114300</xdr:rowOff>
    </xdr:to>
    <xdr:graphicFrame macro="">
      <xdr:nvGraphicFramePr>
        <xdr:cNvPr id="3" name="Chart 2">
          <a:extLst>
            <a:ext uri="{FF2B5EF4-FFF2-40B4-BE49-F238E27FC236}">
              <a16:creationId xmlns:a16="http://schemas.microsoft.com/office/drawing/2014/main" id="{B0D3CBA4-DD82-42D2-BFFC-58EAA47EE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281940</xdr:colOff>
      <xdr:row>8</xdr:row>
      <xdr:rowOff>60960</xdr:rowOff>
    </xdr:from>
    <xdr:to>
      <xdr:col>18</xdr:col>
      <xdr:colOff>38100</xdr:colOff>
      <xdr:row>38</xdr:row>
      <xdr:rowOff>99060</xdr:rowOff>
    </xdr:to>
    <xdr:graphicFrame macro="">
      <xdr:nvGraphicFramePr>
        <xdr:cNvPr id="4" name="Chart 3">
          <a:extLst>
            <a:ext uri="{FF2B5EF4-FFF2-40B4-BE49-F238E27FC236}">
              <a16:creationId xmlns:a16="http://schemas.microsoft.com/office/drawing/2014/main" id="{D74B8AA2-EC9D-4445-9239-7B87954FE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8</xdr:row>
      <xdr:rowOff>53340</xdr:rowOff>
    </xdr:from>
    <xdr:to>
      <xdr:col>10</xdr:col>
      <xdr:colOff>30480</xdr:colOff>
      <xdr:row>23</xdr:row>
      <xdr:rowOff>53340</xdr:rowOff>
    </xdr:to>
    <xdr:graphicFrame macro="">
      <xdr:nvGraphicFramePr>
        <xdr:cNvPr id="5" name="Chart 4">
          <a:extLst>
            <a:ext uri="{FF2B5EF4-FFF2-40B4-BE49-F238E27FC236}">
              <a16:creationId xmlns:a16="http://schemas.microsoft.com/office/drawing/2014/main" id="{6F37AFFE-0CFD-494C-BA44-2C0881B77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22860</xdr:colOff>
      <xdr:row>8</xdr:row>
      <xdr:rowOff>60960</xdr:rowOff>
    </xdr:from>
    <xdr:to>
      <xdr:col>14</xdr:col>
      <xdr:colOff>289560</xdr:colOff>
      <xdr:row>23</xdr:row>
      <xdr:rowOff>60960</xdr:rowOff>
    </xdr:to>
    <xdr:graphicFrame macro="">
      <xdr:nvGraphicFramePr>
        <xdr:cNvPr id="6" name="Chart 5">
          <a:extLst>
            <a:ext uri="{FF2B5EF4-FFF2-40B4-BE49-F238E27FC236}">
              <a16:creationId xmlns:a16="http://schemas.microsoft.com/office/drawing/2014/main" id="{7F0315C7-AEC9-4910-893F-9B0F8291C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68580</xdr:colOff>
      <xdr:row>23</xdr:row>
      <xdr:rowOff>114300</xdr:rowOff>
    </xdr:from>
    <xdr:to>
      <xdr:col>9</xdr:col>
      <xdr:colOff>114300</xdr:colOff>
      <xdr:row>38</xdr:row>
      <xdr:rowOff>114300</xdr:rowOff>
    </xdr:to>
    <xdr:graphicFrame macro="">
      <xdr:nvGraphicFramePr>
        <xdr:cNvPr id="7" name="Chart 6">
          <a:extLst>
            <a:ext uri="{FF2B5EF4-FFF2-40B4-BE49-F238E27FC236}">
              <a16:creationId xmlns:a16="http://schemas.microsoft.com/office/drawing/2014/main" id="{287E099A-1F50-4D6A-A92E-DB78A0515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91440</xdr:colOff>
      <xdr:row>23</xdr:row>
      <xdr:rowOff>114300</xdr:rowOff>
    </xdr:from>
    <xdr:to>
      <xdr:col>14</xdr:col>
      <xdr:colOff>289560</xdr:colOff>
      <xdr:row>38</xdr:row>
      <xdr:rowOff>114300</xdr:rowOff>
    </xdr:to>
    <xdr:graphicFrame macro="">
      <xdr:nvGraphicFramePr>
        <xdr:cNvPr id="8" name="Chart 7">
          <a:extLst>
            <a:ext uri="{FF2B5EF4-FFF2-40B4-BE49-F238E27FC236}">
              <a16:creationId xmlns:a16="http://schemas.microsoft.com/office/drawing/2014/main" id="{A26F3C30-3B67-4FA6-B50C-371109F6B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91440</xdr:colOff>
      <xdr:row>23</xdr:row>
      <xdr:rowOff>45721</xdr:rowOff>
    </xdr:from>
    <xdr:to>
      <xdr:col>19</xdr:col>
      <xdr:colOff>601980</xdr:colOff>
      <xdr:row>29</xdr:row>
      <xdr:rowOff>160021</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B9FD1331-306C-0F71-C1DD-70493C3BBA3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915900" y="4076701"/>
              <a:ext cx="11811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8</xdr:row>
      <xdr:rowOff>53341</xdr:rowOff>
    </xdr:from>
    <xdr:to>
      <xdr:col>19</xdr:col>
      <xdr:colOff>571500</xdr:colOff>
      <xdr:row>16</xdr:row>
      <xdr:rowOff>53340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39AA414E-5633-B89C-7C37-D8B9C990CE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900660" y="1455421"/>
              <a:ext cx="116586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16</xdr:row>
      <xdr:rowOff>83821</xdr:rowOff>
    </xdr:from>
    <xdr:to>
      <xdr:col>19</xdr:col>
      <xdr:colOff>586740</xdr:colOff>
      <xdr:row>23</xdr:row>
      <xdr:rowOff>15241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20C8F48E-9BB5-2DD2-DD0C-370712567A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00660" y="2887981"/>
              <a:ext cx="11811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99060</xdr:colOff>
      <xdr:row>30</xdr:row>
      <xdr:rowOff>22861</xdr:rowOff>
    </xdr:from>
    <xdr:to>
      <xdr:col>19</xdr:col>
      <xdr:colOff>586740</xdr:colOff>
      <xdr:row>38</xdr:row>
      <xdr:rowOff>38101</xdr:rowOff>
    </xdr:to>
    <mc:AlternateContent xmlns:mc="http://schemas.openxmlformats.org/markup-compatibility/2006">
      <mc:Choice xmlns:a14="http://schemas.microsoft.com/office/drawing/2010/main" Requires="a14">
        <xdr:graphicFrame macro="">
          <xdr:nvGraphicFramePr>
            <xdr:cNvPr id="13" name="Ship Mode">
              <a:extLst>
                <a:ext uri="{FF2B5EF4-FFF2-40B4-BE49-F238E27FC236}">
                  <a16:creationId xmlns:a16="http://schemas.microsoft.com/office/drawing/2014/main" id="{0325611E-B716-BE8E-F949-9CE3BF12817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923520" y="5280661"/>
              <a:ext cx="11582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579120</xdr:colOff>
      <xdr:row>1</xdr:row>
      <xdr:rowOff>30480</xdr:rowOff>
    </xdr:from>
    <xdr:to>
      <xdr:col>19</xdr:col>
      <xdr:colOff>563880</xdr:colOff>
      <xdr:row>7</xdr:row>
      <xdr:rowOff>121920</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A61979ED-4B00-FC1B-489D-47BBDE82766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391900" y="205740"/>
              <a:ext cx="266700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121920</xdr:colOff>
      <xdr:row>0</xdr:row>
      <xdr:rowOff>30480</xdr:rowOff>
    </xdr:from>
    <xdr:to>
      <xdr:col>6</xdr:col>
      <xdr:colOff>15240</xdr:colOff>
      <xdr:row>7</xdr:row>
      <xdr:rowOff>129540</xdr:rowOff>
    </xdr:to>
    <xdr:sp macro="" textlink="">
      <xdr:nvSpPr>
        <xdr:cNvPr id="15" name="Scroll: Horizontal 14">
          <a:extLst>
            <a:ext uri="{FF2B5EF4-FFF2-40B4-BE49-F238E27FC236}">
              <a16:creationId xmlns:a16="http://schemas.microsoft.com/office/drawing/2014/main" id="{71EF6CC6-6B7F-E113-0782-A718F05ABB81}"/>
            </a:ext>
          </a:extLst>
        </xdr:cNvPr>
        <xdr:cNvSpPr/>
      </xdr:nvSpPr>
      <xdr:spPr>
        <a:xfrm>
          <a:off x="121920" y="30480"/>
          <a:ext cx="3916680" cy="1325880"/>
        </a:xfrm>
        <a:prstGeom prst="horizontalScroll">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latin typeface="+mj-lt"/>
            </a:rPr>
            <a:t>RETAIL SALES</a:t>
          </a:r>
          <a:r>
            <a:rPr lang="en-IN" sz="2800" b="1" baseline="0">
              <a:solidFill>
                <a:schemeClr val="tx1"/>
              </a:solidFill>
              <a:latin typeface="+mj-lt"/>
            </a:rPr>
            <a:t> DASHBOARD</a:t>
          </a:r>
          <a:endParaRPr lang="en-IN" sz="2800" b="1">
            <a:solidFill>
              <a:schemeClr val="tx1"/>
            </a:solidFill>
            <a:latin typeface="+mj-lt"/>
          </a:endParaRPr>
        </a:p>
      </xdr:txBody>
    </xdr:sp>
    <xdr:clientData/>
  </xdr:twoCellAnchor>
  <xdr:twoCellAnchor>
    <xdr:from>
      <xdr:col>6</xdr:col>
      <xdr:colOff>563880</xdr:colOff>
      <xdr:row>2</xdr:row>
      <xdr:rowOff>7620</xdr:rowOff>
    </xdr:from>
    <xdr:to>
      <xdr:col>8</xdr:col>
      <xdr:colOff>830580</xdr:colOff>
      <xdr:row>5</xdr:row>
      <xdr:rowOff>137160</xdr:rowOff>
    </xdr:to>
    <xdr:sp macro="" textlink="Tables!K6">
      <xdr:nvSpPr>
        <xdr:cNvPr id="39" name="Rectangle: Diagonal Corners Snipped 38">
          <a:extLst>
            <a:ext uri="{FF2B5EF4-FFF2-40B4-BE49-F238E27FC236}">
              <a16:creationId xmlns:a16="http://schemas.microsoft.com/office/drawing/2014/main" id="{9F669377-4D1F-1F5C-144A-CD670C92018E}"/>
            </a:ext>
          </a:extLst>
        </xdr:cNvPr>
        <xdr:cNvSpPr/>
      </xdr:nvSpPr>
      <xdr:spPr>
        <a:xfrm>
          <a:off x="4587240" y="358140"/>
          <a:ext cx="2042160" cy="655320"/>
        </a:xfrm>
        <a:prstGeom prst="snip2DiagRect">
          <a:avLst/>
        </a:prstGeom>
        <a:solidFill>
          <a:schemeClr val="accent1">
            <a:lumMod val="20000"/>
            <a:lumOff val="80000"/>
          </a:schemeClr>
        </a:solidFill>
        <a:ln>
          <a:solidFill>
            <a:schemeClr val="accent1">
              <a:lumMod val="60000"/>
              <a:lumOff val="40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1" u="none" strike="noStrike">
              <a:solidFill>
                <a:srgbClr val="000000"/>
              </a:solidFill>
              <a:latin typeface="Arial"/>
              <a:cs typeface="Arial"/>
            </a:rPr>
            <a:t>Total</a:t>
          </a:r>
          <a:r>
            <a:rPr lang="en-US" sz="1100" b="0" i="1" u="none" strike="noStrike" baseline="0">
              <a:solidFill>
                <a:srgbClr val="000000"/>
              </a:solidFill>
              <a:latin typeface="Arial"/>
              <a:cs typeface="Arial"/>
            </a:rPr>
            <a:t> Sales</a:t>
          </a:r>
        </a:p>
        <a:p>
          <a:pPr algn="ctr"/>
          <a:fld id="{43186914-D450-4134-99F7-0A0EFEE5654A}" type="TxLink">
            <a:rPr lang="en-US" sz="1100" b="0" i="1" u="none" strike="noStrike">
              <a:solidFill>
                <a:srgbClr val="000000"/>
              </a:solidFill>
              <a:latin typeface="Arial"/>
              <a:cs typeface="Arial"/>
            </a:rPr>
            <a:pPr algn="ctr"/>
            <a:t>₹ 2,49,70,054.85</a:t>
          </a:fld>
          <a:endParaRPr lang="en-IN" sz="1100" i="1"/>
        </a:p>
      </xdr:txBody>
    </xdr:sp>
    <xdr:clientData/>
  </xdr:twoCellAnchor>
  <xdr:twoCellAnchor>
    <xdr:from>
      <xdr:col>9</xdr:col>
      <xdr:colOff>99060</xdr:colOff>
      <xdr:row>2</xdr:row>
      <xdr:rowOff>7620</xdr:rowOff>
    </xdr:from>
    <xdr:to>
      <xdr:col>12</xdr:col>
      <xdr:colOff>129540</xdr:colOff>
      <xdr:row>5</xdr:row>
      <xdr:rowOff>137160</xdr:rowOff>
    </xdr:to>
    <xdr:sp macro="" textlink="Tables!L6">
      <xdr:nvSpPr>
        <xdr:cNvPr id="40" name="Rectangle: Diagonal Corners Snipped 39">
          <a:extLst>
            <a:ext uri="{FF2B5EF4-FFF2-40B4-BE49-F238E27FC236}">
              <a16:creationId xmlns:a16="http://schemas.microsoft.com/office/drawing/2014/main" id="{21F2E96D-E5F9-450D-A772-3FD96882FF57}"/>
            </a:ext>
          </a:extLst>
        </xdr:cNvPr>
        <xdr:cNvSpPr/>
      </xdr:nvSpPr>
      <xdr:spPr>
        <a:xfrm>
          <a:off x="6888480" y="358140"/>
          <a:ext cx="2042160" cy="655320"/>
        </a:xfrm>
        <a:prstGeom prst="snip2DiagRect">
          <a:avLst/>
        </a:prstGeom>
        <a:solidFill>
          <a:schemeClr val="accent1">
            <a:lumMod val="20000"/>
            <a:lumOff val="80000"/>
          </a:schemeClr>
        </a:solidFill>
        <a:ln>
          <a:solidFill>
            <a:schemeClr val="accent1">
              <a:lumMod val="60000"/>
              <a:lumOff val="40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1" u="none" strike="noStrike">
              <a:solidFill>
                <a:srgbClr val="000000"/>
              </a:solidFill>
              <a:latin typeface="Arial"/>
              <a:cs typeface="Arial"/>
            </a:rPr>
            <a:t>Total Profit</a:t>
          </a:r>
        </a:p>
        <a:p>
          <a:pPr algn="ctr"/>
          <a:fld id="{36A394A1-3C88-4EBB-91EA-2A2E868DB308}" type="TxLink">
            <a:rPr lang="en-US" sz="1100" b="0" i="1" u="none" strike="noStrike">
              <a:solidFill>
                <a:srgbClr val="000000"/>
              </a:solidFill>
              <a:latin typeface="Arial"/>
              <a:cs typeface="Arial"/>
            </a:rPr>
            <a:pPr algn="ctr"/>
            <a:t> ₹ 28,51,535.65 </a:t>
          </a:fld>
          <a:endParaRPr lang="en-IN" sz="1100" i="1"/>
        </a:p>
      </xdr:txBody>
    </xdr:sp>
    <xdr:clientData/>
  </xdr:twoCellAnchor>
  <xdr:twoCellAnchor>
    <xdr:from>
      <xdr:col>12</xdr:col>
      <xdr:colOff>320040</xdr:colOff>
      <xdr:row>2</xdr:row>
      <xdr:rowOff>38100</xdr:rowOff>
    </xdr:from>
    <xdr:to>
      <xdr:col>15</xdr:col>
      <xdr:colOff>350520</xdr:colOff>
      <xdr:row>5</xdr:row>
      <xdr:rowOff>167640</xdr:rowOff>
    </xdr:to>
    <xdr:sp macro="" textlink="Tables!M6">
      <xdr:nvSpPr>
        <xdr:cNvPr id="41" name="Rectangle: Diagonal Corners Snipped 40">
          <a:extLst>
            <a:ext uri="{FF2B5EF4-FFF2-40B4-BE49-F238E27FC236}">
              <a16:creationId xmlns:a16="http://schemas.microsoft.com/office/drawing/2014/main" id="{74573AA5-B473-4C8C-9A4E-AFA425E574B2}"/>
            </a:ext>
          </a:extLst>
        </xdr:cNvPr>
        <xdr:cNvSpPr/>
      </xdr:nvSpPr>
      <xdr:spPr>
        <a:xfrm>
          <a:off x="9121140" y="388620"/>
          <a:ext cx="2042160" cy="655320"/>
        </a:xfrm>
        <a:prstGeom prst="snip2DiagRect">
          <a:avLst/>
        </a:prstGeom>
        <a:solidFill>
          <a:schemeClr val="accent1">
            <a:lumMod val="20000"/>
            <a:lumOff val="80000"/>
          </a:schemeClr>
        </a:solidFill>
        <a:ln>
          <a:solidFill>
            <a:schemeClr val="accent1">
              <a:lumMod val="60000"/>
              <a:lumOff val="40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Arial"/>
              <a:cs typeface="Arial"/>
            </a:rPr>
            <a:t>Total orders</a:t>
          </a:r>
        </a:p>
        <a:p>
          <a:pPr algn="ctr"/>
          <a:fld id="{BFEA286D-FA2E-4D67-B63B-0386A831DAEC}" type="TxLink">
            <a:rPr lang="en-US" sz="1100" b="1" i="0" u="none" strike="noStrike">
              <a:solidFill>
                <a:srgbClr val="000000"/>
              </a:solidFill>
              <a:latin typeface="Arial"/>
              <a:cs typeface="Arial"/>
            </a:rPr>
            <a:pPr algn="ctr"/>
            <a:t>1001</a:t>
          </a:fld>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9.432973726849" createdVersion="8" refreshedVersion="8" minRefreshableVersion="3" recordCount="1001" xr:uid="{2F56B8A2-FCF6-4B27-B8E3-9028EFADCA52}">
  <cacheSource type="worksheet">
    <worksheetSource name="Retail_data"/>
  </cacheSource>
  <cacheFields count="24">
    <cacheField name="Order ID" numFmtId="0">
      <sharedItems/>
    </cacheField>
    <cacheField name="Year" numFmtId="0">
      <sharedItems containsSemiMixedTypes="0" containsString="0" containsNumber="1" containsInteger="1" minValue="2025" maxValue="2028" count="4">
        <n v="2025"/>
        <n v="2026"/>
        <n v="2027"/>
        <n v="2028"/>
      </sharedItems>
    </cacheField>
    <cacheField name="Month Name" numFmtId="0">
      <sharedItems count="12">
        <s v="September"/>
        <s v="October"/>
        <s v="November"/>
        <s v="December"/>
        <s v="January"/>
        <s v="February"/>
        <s v="March"/>
        <s v="April"/>
        <s v="May"/>
        <s v="June"/>
        <s v="July"/>
        <s v="August"/>
      </sharedItems>
    </cacheField>
    <cacheField name="Month Number" numFmtId="0">
      <sharedItems containsSemiMixedTypes="0" containsString="0" containsNumber="1" containsInteger="1" minValue="1" maxValue="12"/>
    </cacheField>
    <cacheField name="Quarter" numFmtId="0">
      <sharedItems/>
    </cacheField>
    <cacheField name="Order Date" numFmtId="14">
      <sharedItems containsSemiMixedTypes="0" containsNonDate="0" containsDate="1" containsString="0" minDate="2025-09-22T00:00:00" maxDate="2028-06-19T00:00:00" count="1001">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sharedItems>
    </cacheField>
    <cacheField name="Ship Date" numFmtId="14">
      <sharedItems containsSemiMixedTypes="0" containsNonDate="0" containsDate="1" containsString="0" minDate="2025-09-26T00:00:00" maxDate="2028-06-23T00:00:00"/>
    </cacheField>
    <cacheField name="Customer ID" numFmtId="0">
      <sharedItems/>
    </cacheField>
    <cacheField name="Customer Name" numFmtId="0">
      <sharedItems count="1001">
        <s v="Customer 0"/>
        <s v="Customer 1"/>
        <s v="Customer 2"/>
        <s v="Customer 3"/>
        <s v="Customer 4"/>
        <s v="Customer 5"/>
        <s v="Customer 6"/>
        <s v="Customer 7"/>
        <s v="Customer 8"/>
        <s v="Customer 9"/>
        <s v="Customer 10"/>
        <s v="Customer 11"/>
        <s v="Customer 12"/>
        <s v="Customer 13"/>
        <s v="Customer 14"/>
        <s v="Customer 15"/>
        <s v="Customer 16"/>
        <s v="Customer 17"/>
        <s v="Customer 18"/>
        <s v="Customer 19"/>
        <s v="Customer 20"/>
        <s v="Customer 21"/>
        <s v="Customer 22"/>
        <s v="Customer 23"/>
        <s v="Customer 24"/>
        <s v="Customer 25"/>
        <s v="Customer 26"/>
        <s v="Customer 27"/>
        <s v="Customer 28"/>
        <s v="Customer 29"/>
        <s v="Customer 30"/>
        <s v="Customer 31"/>
        <s v="Customer 32"/>
        <s v="Customer 33"/>
        <s v="Customer 34"/>
        <s v="Customer 35"/>
        <s v="Customer 36"/>
        <s v="Customer 37"/>
        <s v="Customer 38"/>
        <s v="Customer 39"/>
        <s v="Customer 40"/>
        <s v="Customer 41"/>
        <s v="Customer 42"/>
        <s v="Customer 43"/>
        <s v="Customer 44"/>
        <s v="Customer 45"/>
        <s v="Customer 46"/>
        <s v="Customer 47"/>
        <s v="Customer 48"/>
        <s v="Customer 49"/>
        <s v="Customer 50"/>
        <s v="Customer 51"/>
        <s v="Customer 52"/>
        <s v="Customer 53"/>
        <s v="Customer 54"/>
        <s v="Customer 55"/>
        <s v="Customer 56"/>
        <s v="Customer 57"/>
        <s v="Customer 58"/>
        <s v="Customer 59"/>
        <s v="Customer 60"/>
        <s v="Customer 61"/>
        <s v="Customer 62"/>
        <s v="Customer 63"/>
        <s v="Customer 64"/>
        <s v="Customer 65"/>
        <s v="Customer 66"/>
        <s v="Customer 67"/>
        <s v="Customer 68"/>
        <s v="Customer 69"/>
        <s v="Customer 70"/>
        <s v="Customer 71"/>
        <s v="Customer 72"/>
        <s v="Customer 73"/>
        <s v="Customer 74"/>
        <s v="Customer 75"/>
        <s v="Customer 76"/>
        <s v="Customer 77"/>
        <s v="Customer 78"/>
        <s v="Customer 79"/>
        <s v="Customer 80"/>
        <s v="Customer 81"/>
        <s v="Customer 82"/>
        <s v="Customer 83"/>
        <s v="Customer 84"/>
        <s v="Customer 85"/>
        <s v="Customer 86"/>
        <s v="Customer 87"/>
        <s v="Customer 88"/>
        <s v="Customer 89"/>
        <s v="Customer 90"/>
        <s v="Customer 91"/>
        <s v="Customer 92"/>
        <s v="Customer 93"/>
        <s v="Customer 94"/>
        <s v="Customer 95"/>
        <s v="Customer 96"/>
        <s v="Customer 97"/>
        <s v="Customer 98"/>
        <s v="Customer 99"/>
        <s v="Customer 100"/>
        <s v="Customer 101"/>
        <s v="Customer 102"/>
        <s v="Customer 103"/>
        <s v="Customer 104"/>
        <s v="Customer 105"/>
        <s v="Customer 106"/>
        <s v="Customer 107"/>
        <s v="Customer 108"/>
        <s v="Customer 109"/>
        <s v="Customer 110"/>
        <s v="Customer 111"/>
        <s v="Customer 112"/>
        <s v="Customer 113"/>
        <s v="Customer 114"/>
        <s v="Customer 115"/>
        <s v="Customer 116"/>
        <s v="Customer 117"/>
        <s v="Customer 118"/>
        <s v="Customer 119"/>
        <s v="Customer 120"/>
        <s v="Customer 121"/>
        <s v="Customer 122"/>
        <s v="Customer 123"/>
        <s v="Customer 124"/>
        <s v="Customer 125"/>
        <s v="Customer 126"/>
        <s v="Customer 127"/>
        <s v="Customer 128"/>
        <s v="Customer 129"/>
        <s v="Customer 130"/>
        <s v="Customer 131"/>
        <s v="Customer 132"/>
        <s v="Customer 133"/>
        <s v="Customer 134"/>
        <s v="Customer 135"/>
        <s v="Customer 136"/>
        <s v="Customer 137"/>
        <s v="Customer 138"/>
        <s v="Customer 139"/>
        <s v="Customer 140"/>
        <s v="Customer 141"/>
        <s v="Customer 142"/>
        <s v="Customer 143"/>
        <s v="Customer 144"/>
        <s v="Customer 145"/>
        <s v="Customer 146"/>
        <s v="Customer 147"/>
        <s v="Customer 148"/>
        <s v="Customer 149"/>
        <s v="Customer 150"/>
        <s v="Customer 151"/>
        <s v="Customer 152"/>
        <s v="Customer 153"/>
        <s v="Customer 154"/>
        <s v="Customer 155"/>
        <s v="Customer 156"/>
        <s v="Customer 157"/>
        <s v="Customer 158"/>
        <s v="Customer 159"/>
        <s v="Customer 160"/>
        <s v="Customer 161"/>
        <s v="Customer 162"/>
        <s v="Customer 163"/>
        <s v="Customer 164"/>
        <s v="Customer 165"/>
        <s v="Customer 166"/>
        <s v="Customer 167"/>
        <s v="Customer 168"/>
        <s v="Customer 169"/>
        <s v="Customer 170"/>
        <s v="Customer 171"/>
        <s v="Customer 172"/>
        <s v="Customer 173"/>
        <s v="Customer 174"/>
        <s v="Customer 175"/>
        <s v="Customer 176"/>
        <s v="Customer 177"/>
        <s v="Customer 178"/>
        <s v="Customer 179"/>
        <s v="Customer 180"/>
        <s v="Customer 181"/>
        <s v="Customer 182"/>
        <s v="Customer 183"/>
        <s v="Customer 184"/>
        <s v="Customer 185"/>
        <s v="Customer 186"/>
        <s v="Customer 187"/>
        <s v="Customer 188"/>
        <s v="Customer 189"/>
        <s v="Customer 190"/>
        <s v="Customer 191"/>
        <s v="Customer 192"/>
        <s v="Customer 193"/>
        <s v="Customer 194"/>
        <s v="Customer 195"/>
        <s v="Customer 196"/>
        <s v="Customer 197"/>
        <s v="Customer 198"/>
        <s v="Customer 199"/>
        <s v="Customer 200"/>
        <s v="Customer 201"/>
        <s v="Customer 202"/>
        <s v="Customer 203"/>
        <s v="Customer 204"/>
        <s v="Customer 205"/>
        <s v="Customer 206"/>
        <s v="Customer 207"/>
        <s v="Customer 208"/>
        <s v="Customer 209"/>
        <s v="Customer 210"/>
        <s v="Customer 211"/>
        <s v="Customer 212"/>
        <s v="Customer 213"/>
        <s v="Customer 214"/>
        <s v="Customer 215"/>
        <s v="Customer 216"/>
        <s v="Customer 217"/>
        <s v="Customer 218"/>
        <s v="Customer 219"/>
        <s v="Customer 220"/>
        <s v="Customer 221"/>
        <s v="Customer 222"/>
        <s v="Customer 223"/>
        <s v="Customer 224"/>
        <s v="Customer 225"/>
        <s v="Customer 226"/>
        <s v="Customer 227"/>
        <s v="Customer 228"/>
        <s v="Customer 229"/>
        <s v="Customer 230"/>
        <s v="Customer 231"/>
        <s v="Customer 232"/>
        <s v="Customer 233"/>
        <s v="Customer 234"/>
        <s v="Customer 235"/>
        <s v="Customer 236"/>
        <s v="Customer 237"/>
        <s v="Customer 238"/>
        <s v="Customer 239"/>
        <s v="Customer 240"/>
        <s v="Customer 241"/>
        <s v="Customer 242"/>
        <s v="Customer 243"/>
        <s v="Customer 244"/>
        <s v="Customer 245"/>
        <s v="Customer 246"/>
        <s v="Customer 247"/>
        <s v="Customer 248"/>
        <s v="Customer 249"/>
        <s v="Customer 250"/>
        <s v="Customer 251"/>
        <s v="Customer 252"/>
        <s v="Customer 253"/>
        <s v="Customer 254"/>
        <s v="Customer 255"/>
        <s v="Customer 256"/>
        <s v="Customer 257"/>
        <s v="Customer 258"/>
        <s v="Customer 259"/>
        <s v="Customer 260"/>
        <s v="Customer 261"/>
        <s v="Customer 262"/>
        <s v="Customer 263"/>
        <s v="Customer 264"/>
        <s v="Customer 265"/>
        <s v="Customer 266"/>
        <s v="Customer 267"/>
        <s v="Customer 268"/>
        <s v="Customer 269"/>
        <s v="Customer 270"/>
        <s v="Customer 271"/>
        <s v="Customer 272"/>
        <s v="Customer 273"/>
        <s v="Customer 274"/>
        <s v="Customer 275"/>
        <s v="Customer 276"/>
        <s v="Customer 277"/>
        <s v="Customer 278"/>
        <s v="Customer 279"/>
        <s v="Customer 280"/>
        <s v="Customer 281"/>
        <s v="Customer 282"/>
        <s v="Customer 283"/>
        <s v="Customer 284"/>
        <s v="Customer 285"/>
        <s v="Customer 286"/>
        <s v="Customer 287"/>
        <s v="Customer 288"/>
        <s v="Customer 289"/>
        <s v="Customer 290"/>
        <s v="Customer 291"/>
        <s v="Customer 292"/>
        <s v="Customer 293"/>
        <s v="Customer 294"/>
        <s v="Customer 295"/>
        <s v="Customer 296"/>
        <s v="Customer 297"/>
        <s v="Customer 298"/>
        <s v="Customer 299"/>
        <s v="Customer 300"/>
        <s v="Customer 301"/>
        <s v="Customer 302"/>
        <s v="Customer 303"/>
        <s v="Customer 304"/>
        <s v="Customer 305"/>
        <s v="Customer 306"/>
        <s v="Customer 307"/>
        <s v="Customer 308"/>
        <s v="Customer 309"/>
        <s v="Customer 310"/>
        <s v="Customer 311"/>
        <s v="Customer 312"/>
        <s v="Customer 313"/>
        <s v="Customer 314"/>
        <s v="Customer 315"/>
        <s v="Customer 316"/>
        <s v="Customer 317"/>
        <s v="Customer 318"/>
        <s v="Customer 319"/>
        <s v="Customer 320"/>
        <s v="Customer 321"/>
        <s v="Customer 322"/>
        <s v="Customer 323"/>
        <s v="Customer 324"/>
        <s v="Customer 325"/>
        <s v="Customer 326"/>
        <s v="Customer 327"/>
        <s v="Customer 328"/>
        <s v="Customer 329"/>
        <s v="Customer 330"/>
        <s v="Customer 331"/>
        <s v="Customer 332"/>
        <s v="Customer 333"/>
        <s v="Customer 334"/>
        <s v="Customer 335"/>
        <s v="Customer 336"/>
        <s v="Customer 337"/>
        <s v="Customer 338"/>
        <s v="Customer 339"/>
        <s v="Customer 340"/>
        <s v="Customer 341"/>
        <s v="Customer 342"/>
        <s v="Customer 343"/>
        <s v="Customer 344"/>
        <s v="Customer 345"/>
        <s v="Customer 346"/>
        <s v="Customer 347"/>
        <s v="Customer 348"/>
        <s v="Customer 349"/>
        <s v="Customer 350"/>
        <s v="Customer 351"/>
        <s v="Customer 352"/>
        <s v="Customer 353"/>
        <s v="Customer 354"/>
        <s v="Customer 355"/>
        <s v="Customer 356"/>
        <s v="Customer 357"/>
        <s v="Customer 358"/>
        <s v="Customer 359"/>
        <s v="Customer 360"/>
        <s v="Customer 361"/>
        <s v="Customer 362"/>
        <s v="Customer 363"/>
        <s v="Customer 364"/>
        <s v="Customer 365"/>
        <s v="Customer 366"/>
        <s v="Customer 367"/>
        <s v="Customer 368"/>
        <s v="Customer 369"/>
        <s v="Customer 370"/>
        <s v="Customer 371"/>
        <s v="Customer 372"/>
        <s v="Customer 373"/>
        <s v="Customer 374"/>
        <s v="Customer 375"/>
        <s v="Customer 376"/>
        <s v="Customer 377"/>
        <s v="Customer 378"/>
        <s v="Customer 379"/>
        <s v="Customer 380"/>
        <s v="Customer 381"/>
        <s v="Customer 382"/>
        <s v="Customer 383"/>
        <s v="Customer 384"/>
        <s v="Customer 385"/>
        <s v="Customer 386"/>
        <s v="Customer 387"/>
        <s v="Customer 388"/>
        <s v="Customer 389"/>
        <s v="Customer 390"/>
        <s v="Customer 391"/>
        <s v="Customer 392"/>
        <s v="Customer 393"/>
        <s v="Customer 394"/>
        <s v="Customer 395"/>
        <s v="Customer 396"/>
        <s v="Customer 397"/>
        <s v="Customer 398"/>
        <s v="Customer 399"/>
        <s v="Customer 400"/>
        <s v="Customer 401"/>
        <s v="Customer 402"/>
        <s v="Customer 403"/>
        <s v="Customer 404"/>
        <s v="Customer 405"/>
        <s v="Customer 406"/>
        <s v="Customer 407"/>
        <s v="Customer 408"/>
        <s v="Customer 409"/>
        <s v="Customer 410"/>
        <s v="Customer 411"/>
        <s v="Customer 412"/>
        <s v="Customer 413"/>
        <s v="Customer 414"/>
        <s v="Customer 415"/>
        <s v="Customer 416"/>
        <s v="Customer 417"/>
        <s v="Customer 418"/>
        <s v="Customer 419"/>
        <s v="Customer 420"/>
        <s v="Customer 421"/>
        <s v="Customer 422"/>
        <s v="Customer 423"/>
        <s v="Customer 424"/>
        <s v="Customer 425"/>
        <s v="Customer 426"/>
        <s v="Customer 427"/>
        <s v="Customer 428"/>
        <s v="Customer 429"/>
        <s v="Customer 430"/>
        <s v="Customer 431"/>
        <s v="Customer 432"/>
        <s v="Customer 433"/>
        <s v="Customer 434"/>
        <s v="Customer 435"/>
        <s v="Customer 436"/>
        <s v="Customer 437"/>
        <s v="Customer 438"/>
        <s v="Customer 439"/>
        <s v="Customer 440"/>
        <s v="Customer 441"/>
        <s v="Customer 442"/>
        <s v="Customer 443"/>
        <s v="Customer 444"/>
        <s v="Customer 445"/>
        <s v="Customer 446"/>
        <s v="Customer 447"/>
        <s v="Customer 448"/>
        <s v="Customer 449"/>
        <s v="Customer 450"/>
        <s v="Customer 451"/>
        <s v="Customer 452"/>
        <s v="Customer 453"/>
        <s v="Customer 454"/>
        <s v="Customer 455"/>
        <s v="Customer 456"/>
        <s v="Customer 457"/>
        <s v="Customer 458"/>
        <s v="Customer 459"/>
        <s v="Customer 460"/>
        <s v="Customer 461"/>
        <s v="Customer 462"/>
        <s v="Customer 463"/>
        <s v="Customer 464"/>
        <s v="Customer 465"/>
        <s v="Customer 466"/>
        <s v="Customer 467"/>
        <s v="Customer 468"/>
        <s v="Customer 469"/>
        <s v="Customer 470"/>
        <s v="Customer 471"/>
        <s v="Customer 472"/>
        <s v="Customer 473"/>
        <s v="Customer 474"/>
        <s v="Customer 475"/>
        <s v="Customer 476"/>
        <s v="Customer 477"/>
        <s v="Customer 478"/>
        <s v="Customer 479"/>
        <s v="Customer 480"/>
        <s v="Customer 481"/>
        <s v="Customer 482"/>
        <s v="Customer 483"/>
        <s v="Customer 484"/>
        <s v="Customer 485"/>
        <s v="Customer 486"/>
        <s v="Customer 487"/>
        <s v="Customer 488"/>
        <s v="Customer 489"/>
        <s v="Customer 490"/>
        <s v="Customer 491"/>
        <s v="Customer 492"/>
        <s v="Customer 493"/>
        <s v="Customer 494"/>
        <s v="Customer 495"/>
        <s v="Customer 496"/>
        <s v="Customer 497"/>
        <s v="Customer 498"/>
        <s v="Customer 499"/>
        <s v="Customer 500"/>
        <s v="Customer 501"/>
        <s v="Customer 502"/>
        <s v="Customer 503"/>
        <s v="Customer 504"/>
        <s v="Customer 505"/>
        <s v="Customer 506"/>
        <s v="Customer 507"/>
        <s v="Customer 508"/>
        <s v="Customer 509"/>
        <s v="Customer 510"/>
        <s v="Customer 511"/>
        <s v="Customer 512"/>
        <s v="Customer 513"/>
        <s v="Customer 514"/>
        <s v="Customer 515"/>
        <s v="Customer 516"/>
        <s v="Customer 517"/>
        <s v="Customer 518"/>
        <s v="Customer 519"/>
        <s v="Customer 520"/>
        <s v="Customer 521"/>
        <s v="Customer 522"/>
        <s v="Customer 523"/>
        <s v="Customer 524"/>
        <s v="Customer 525"/>
        <s v="Customer 526"/>
        <s v="Customer 527"/>
        <s v="Customer 528"/>
        <s v="Customer 529"/>
        <s v="Customer 530"/>
        <s v="Customer 531"/>
        <s v="Customer 532"/>
        <s v="Customer 533"/>
        <s v="Customer 534"/>
        <s v="Customer 535"/>
        <s v="Customer 536"/>
        <s v="Customer 537"/>
        <s v="Customer 538"/>
        <s v="Customer 539"/>
        <s v="Customer 540"/>
        <s v="Customer 541"/>
        <s v="Customer 542"/>
        <s v="Customer 543"/>
        <s v="Customer 544"/>
        <s v="Customer 545"/>
        <s v="Customer 546"/>
        <s v="Customer 547"/>
        <s v="Customer 548"/>
        <s v="Customer 549"/>
        <s v="Customer 550"/>
        <s v="Customer 551"/>
        <s v="Customer 552"/>
        <s v="Customer 553"/>
        <s v="Customer 554"/>
        <s v="Customer 555"/>
        <s v="Customer 556"/>
        <s v="Customer 557"/>
        <s v="Customer 558"/>
        <s v="Customer 559"/>
        <s v="Customer 560"/>
        <s v="Customer 561"/>
        <s v="Customer 562"/>
        <s v="Customer 563"/>
        <s v="Customer 564"/>
        <s v="Customer 565"/>
        <s v="Customer 566"/>
        <s v="Customer 567"/>
        <s v="Customer 568"/>
        <s v="Customer 569"/>
        <s v="Customer 570"/>
        <s v="Customer 571"/>
        <s v="Customer 572"/>
        <s v="Customer 573"/>
        <s v="Customer 574"/>
        <s v="Customer 575"/>
        <s v="Customer 576"/>
        <s v="Customer 577"/>
        <s v="Customer 578"/>
        <s v="Customer 579"/>
        <s v="Customer 580"/>
        <s v="Customer 581"/>
        <s v="Customer 582"/>
        <s v="Customer 583"/>
        <s v="Customer 584"/>
        <s v="Customer 585"/>
        <s v="Customer 586"/>
        <s v="Customer 587"/>
        <s v="Customer 588"/>
        <s v="Customer 589"/>
        <s v="Customer 590"/>
        <s v="Customer 591"/>
        <s v="Customer 592"/>
        <s v="Customer 593"/>
        <s v="Customer 594"/>
        <s v="Customer 595"/>
        <s v="Customer 596"/>
        <s v="Customer 597"/>
        <s v="Customer 598"/>
        <s v="Customer 599"/>
        <s v="Customer 600"/>
        <s v="Customer 601"/>
        <s v="Customer 602"/>
        <s v="Customer 603"/>
        <s v="Customer 604"/>
        <s v="Customer 605"/>
        <s v="Customer 606"/>
        <s v="Customer 607"/>
        <s v="Customer 608"/>
        <s v="Customer 609"/>
        <s v="Customer 610"/>
        <s v="Customer 611"/>
        <s v="Customer 612"/>
        <s v="Customer 613"/>
        <s v="Customer 614"/>
        <s v="Customer 615"/>
        <s v="Customer 616"/>
        <s v="Customer 617"/>
        <s v="Customer 618"/>
        <s v="Customer 619"/>
        <s v="Customer 620"/>
        <s v="Customer 621"/>
        <s v="Customer 622"/>
        <s v="Customer 623"/>
        <s v="Customer 624"/>
        <s v="Customer 625"/>
        <s v="Customer 626"/>
        <s v="Customer 627"/>
        <s v="Customer 628"/>
        <s v="Customer 629"/>
        <s v="Customer 630"/>
        <s v="Customer 631"/>
        <s v="Customer 632"/>
        <s v="Customer 633"/>
        <s v="Customer 634"/>
        <s v="Customer 635"/>
        <s v="Customer 636"/>
        <s v="Customer 637"/>
        <s v="Customer 638"/>
        <s v="Customer 639"/>
        <s v="Customer 640"/>
        <s v="Customer 641"/>
        <s v="Customer 642"/>
        <s v="Customer 643"/>
        <s v="Customer 644"/>
        <s v="Customer 645"/>
        <s v="Customer 646"/>
        <s v="Customer 647"/>
        <s v="Customer 648"/>
        <s v="Customer 649"/>
        <s v="Customer 650"/>
        <s v="Customer 651"/>
        <s v="Customer 652"/>
        <s v="Customer 653"/>
        <s v="Customer 654"/>
        <s v="Customer 655"/>
        <s v="Customer 656"/>
        <s v="Customer 657"/>
        <s v="Customer 658"/>
        <s v="Customer 659"/>
        <s v="Customer 660"/>
        <s v="Customer 661"/>
        <s v="Customer 662"/>
        <s v="Customer 663"/>
        <s v="Customer 664"/>
        <s v="Customer 665"/>
        <s v="Customer 666"/>
        <s v="Customer 667"/>
        <s v="Customer 668"/>
        <s v="Customer 669"/>
        <s v="Customer 670"/>
        <s v="Customer 671"/>
        <s v="Customer 672"/>
        <s v="Customer 673"/>
        <s v="Customer 674"/>
        <s v="Customer 675"/>
        <s v="Customer 676"/>
        <s v="Customer 677"/>
        <s v="Customer 678"/>
        <s v="Customer 679"/>
        <s v="Customer 680"/>
        <s v="Customer 681"/>
        <s v="Customer 682"/>
        <s v="Customer 683"/>
        <s v="Customer 684"/>
        <s v="Customer 685"/>
        <s v="Customer 686"/>
        <s v="Customer 687"/>
        <s v="Customer 688"/>
        <s v="Customer 689"/>
        <s v="Customer 690"/>
        <s v="Customer 691"/>
        <s v="Customer 692"/>
        <s v="Customer 693"/>
        <s v="Customer 694"/>
        <s v="Customer 695"/>
        <s v="Customer 696"/>
        <s v="Customer 697"/>
        <s v="Customer 698"/>
        <s v="Customer 699"/>
        <s v="Customer 700"/>
        <s v="Customer 701"/>
        <s v="Customer 702"/>
        <s v="Customer 703"/>
        <s v="Customer 704"/>
        <s v="Customer 705"/>
        <s v="Customer 706"/>
        <s v="Customer 707"/>
        <s v="Customer 708"/>
        <s v="Customer 709"/>
        <s v="Customer 710"/>
        <s v="Customer 711"/>
        <s v="Customer 712"/>
        <s v="Customer 713"/>
        <s v="Customer 714"/>
        <s v="Customer 715"/>
        <s v="Customer 716"/>
        <s v="Customer 717"/>
        <s v="Customer 718"/>
        <s v="Customer 719"/>
        <s v="Customer 720"/>
        <s v="Customer 721"/>
        <s v="Customer 722"/>
        <s v="Customer 723"/>
        <s v="Customer 724"/>
        <s v="Customer 725"/>
        <s v="Customer 726"/>
        <s v="Customer 727"/>
        <s v="Customer 728"/>
        <s v="Customer 729"/>
        <s v="Customer 730"/>
        <s v="Customer 731"/>
        <s v="Customer 732"/>
        <s v="Customer 733"/>
        <s v="Customer 734"/>
        <s v="Customer 735"/>
        <s v="Customer 736"/>
        <s v="Customer 737"/>
        <s v="Customer 738"/>
        <s v="Customer 739"/>
        <s v="Customer 740"/>
        <s v="Customer 741"/>
        <s v="Customer 742"/>
        <s v="Customer 743"/>
        <s v="Customer 744"/>
        <s v="Customer 745"/>
        <s v="Customer 746"/>
        <s v="Customer 747"/>
        <s v="Customer 748"/>
        <s v="Customer 749"/>
        <s v="Customer 750"/>
        <s v="Customer 751"/>
        <s v="Customer 752"/>
        <s v="Customer 753"/>
        <s v="Customer 754"/>
        <s v="Customer 755"/>
        <s v="Customer 756"/>
        <s v="Customer 757"/>
        <s v="Customer 758"/>
        <s v="Customer 759"/>
        <s v="Customer 760"/>
        <s v="Customer 761"/>
        <s v="Customer 762"/>
        <s v="Customer 763"/>
        <s v="Customer 764"/>
        <s v="Customer 765"/>
        <s v="Customer 766"/>
        <s v="Customer 767"/>
        <s v="Customer 768"/>
        <s v="Customer 769"/>
        <s v="Customer 770"/>
        <s v="Customer 771"/>
        <s v="Customer 772"/>
        <s v="Customer 773"/>
        <s v="Customer 774"/>
        <s v="Customer 775"/>
        <s v="Customer 776"/>
        <s v="Customer 777"/>
        <s v="Customer 778"/>
        <s v="Customer 779"/>
        <s v="Customer 780"/>
        <s v="Customer 781"/>
        <s v="Customer 782"/>
        <s v="Customer 783"/>
        <s v="Customer 784"/>
        <s v="Customer 785"/>
        <s v="Customer 786"/>
        <s v="Customer 787"/>
        <s v="Customer 788"/>
        <s v="Customer 789"/>
        <s v="Customer 790"/>
        <s v="Customer 791"/>
        <s v="Customer 792"/>
        <s v="Customer 793"/>
        <s v="Customer 794"/>
        <s v="Customer 795"/>
        <s v="Customer 796"/>
        <s v="Customer 797"/>
        <s v="Customer 798"/>
        <s v="Customer 799"/>
        <s v="Customer 800"/>
        <s v="Customer 801"/>
        <s v="Customer 802"/>
        <s v="Customer 803"/>
        <s v="Customer 804"/>
        <s v="Customer 805"/>
        <s v="Customer 806"/>
        <s v="Customer 807"/>
        <s v="Customer 808"/>
        <s v="Customer 809"/>
        <s v="Customer 810"/>
        <s v="Customer 811"/>
        <s v="Customer 812"/>
        <s v="Customer 813"/>
        <s v="Customer 814"/>
        <s v="Customer 815"/>
        <s v="Customer 816"/>
        <s v="Customer 817"/>
        <s v="Customer 818"/>
        <s v="Customer 819"/>
        <s v="Customer 820"/>
        <s v="Customer 821"/>
        <s v="Customer 822"/>
        <s v="Customer 823"/>
        <s v="Customer 824"/>
        <s v="Customer 825"/>
        <s v="Customer 826"/>
        <s v="Customer 827"/>
        <s v="Customer 828"/>
        <s v="Customer 829"/>
        <s v="Customer 830"/>
        <s v="Customer 831"/>
        <s v="Customer 832"/>
        <s v="Customer 833"/>
        <s v="Customer 834"/>
        <s v="Customer 835"/>
        <s v="Customer 836"/>
        <s v="Customer 837"/>
        <s v="Customer 838"/>
        <s v="Customer 839"/>
        <s v="Customer 840"/>
        <s v="Customer 841"/>
        <s v="Customer 842"/>
        <s v="Customer 843"/>
        <s v="Customer 844"/>
        <s v="Customer 845"/>
        <s v="Customer 846"/>
        <s v="Customer 847"/>
        <s v="Customer 848"/>
        <s v="Customer 849"/>
        <s v="Customer 850"/>
        <s v="Customer 851"/>
        <s v="Customer 852"/>
        <s v="Customer 853"/>
        <s v="Customer 854"/>
        <s v="Customer 855"/>
        <s v="Customer 856"/>
        <s v="Customer 857"/>
        <s v="Customer 858"/>
        <s v="Customer 859"/>
        <s v="Customer 860"/>
        <s v="Customer 861"/>
        <s v="Customer 862"/>
        <s v="Customer 863"/>
        <s v="Customer 864"/>
        <s v="Customer 865"/>
        <s v="Customer 866"/>
        <s v="Customer 867"/>
        <s v="Customer 868"/>
        <s v="Customer 869"/>
        <s v="Customer 870"/>
        <s v="Customer 871"/>
        <s v="Customer 872"/>
        <s v="Customer 873"/>
        <s v="Customer 874"/>
        <s v="Customer 875"/>
        <s v="Customer 876"/>
        <s v="Customer 877"/>
        <s v="Customer 878"/>
        <s v="Customer 879"/>
        <s v="Customer 880"/>
        <s v="Customer 881"/>
        <s v="Customer 882"/>
        <s v="Customer 883"/>
        <s v="Customer 884"/>
        <s v="Customer 885"/>
        <s v="Customer 886"/>
        <s v="Customer 887"/>
        <s v="Customer 888"/>
        <s v="Customer 889"/>
        <s v="Customer 890"/>
        <s v="Customer 891"/>
        <s v="Customer 892"/>
        <s v="Customer 893"/>
        <s v="Customer 894"/>
        <s v="Customer 895"/>
        <s v="Customer 896"/>
        <s v="Customer 897"/>
        <s v="Customer 898"/>
        <s v="Customer 899"/>
        <s v="Customer 900"/>
        <s v="Customer 901"/>
        <s v="Customer 902"/>
        <s v="Customer 903"/>
        <s v="Customer 904"/>
        <s v="Customer 905"/>
        <s v="Customer 906"/>
        <s v="Customer 907"/>
        <s v="Customer 908"/>
        <s v="Customer 909"/>
        <s v="Customer 910"/>
        <s v="Customer 911"/>
        <s v="Customer 912"/>
        <s v="Customer 913"/>
        <s v="Customer 914"/>
        <s v="Customer 915"/>
        <s v="Customer 916"/>
        <s v="Customer 917"/>
        <s v="Customer 918"/>
        <s v="Customer 919"/>
        <s v="Customer 920"/>
        <s v="Customer 921"/>
        <s v="Customer 922"/>
        <s v="Customer 923"/>
        <s v="Customer 924"/>
        <s v="Customer 925"/>
        <s v="Customer 926"/>
        <s v="Customer 927"/>
        <s v="Customer 928"/>
        <s v="Customer 929"/>
        <s v="Customer 930"/>
        <s v="Customer 931"/>
        <s v="Customer 932"/>
        <s v="Customer 933"/>
        <s v="Customer 934"/>
        <s v="Customer 935"/>
        <s v="Customer 936"/>
        <s v="Customer 937"/>
        <s v="Customer 938"/>
        <s v="Customer 939"/>
        <s v="Customer 940"/>
        <s v="Customer 941"/>
        <s v="Customer 942"/>
        <s v="Customer 943"/>
        <s v="Customer 944"/>
        <s v="Customer 945"/>
        <s v="Customer 946"/>
        <s v="Customer 947"/>
        <s v="Customer 948"/>
        <s v="Customer 949"/>
        <s v="Customer 950"/>
        <s v="Customer 951"/>
        <s v="Customer 952"/>
        <s v="Customer 953"/>
        <s v="Customer 954"/>
        <s v="Customer 955"/>
        <s v="Customer 956"/>
        <s v="Customer 957"/>
        <s v="Customer 958"/>
        <s v="Customer 959"/>
        <s v="Customer 960"/>
        <s v="Customer 961"/>
        <s v="Customer 962"/>
        <s v="Customer 963"/>
        <s v="Customer 964"/>
        <s v="Customer 965"/>
        <s v="Customer 966"/>
        <s v="Customer 967"/>
        <s v="Customer 968"/>
        <s v="Customer 969"/>
        <s v="Customer 970"/>
        <s v="Customer 971"/>
        <s v="Customer 972"/>
        <s v="Customer 973"/>
        <s v="Customer 974"/>
        <s v="Customer 975"/>
        <s v="Customer 976"/>
        <s v="Customer 977"/>
        <s v="Customer 978"/>
        <s v="Customer 979"/>
        <s v="Customer 980"/>
        <s v="Customer 981"/>
        <s v="Customer 982"/>
        <s v="Customer 983"/>
        <s v="Customer 984"/>
        <s v="Customer 985"/>
        <s v="Customer 986"/>
        <s v="Customer 987"/>
        <s v="Customer 988"/>
        <s v="Customer 989"/>
        <s v="Customer 990"/>
        <s v="Customer 991"/>
        <s v="Customer 992"/>
        <s v="Customer 993"/>
        <s v="Customer 994"/>
        <s v="Customer 995"/>
        <s v="Customer 996"/>
        <s v="Customer 997"/>
        <s v="Customer 998"/>
        <s v="Customer 999"/>
        <s v="Customer 1000"/>
      </sharedItems>
    </cacheField>
    <cacheField name="Segment" numFmtId="0">
      <sharedItems count="3">
        <s v="Home Office"/>
        <s v="Corporate"/>
        <s v="Consumer"/>
      </sharedItems>
    </cacheField>
    <cacheField name="Country" numFmtId="0">
      <sharedItems/>
    </cacheField>
    <cacheField name="State" numFmtId="0">
      <sharedItems/>
    </cacheField>
    <cacheField name="City" numFmtId="0">
      <sharedItems/>
    </cacheField>
    <cacheField name="Region" numFmtId="0">
      <sharedItems count="4">
        <s v="North"/>
        <s v="South"/>
        <s v="West"/>
        <s v="East"/>
      </sharedItems>
    </cacheField>
    <cacheField name="Category" numFmtId="0">
      <sharedItems count="3">
        <s v="Furniture"/>
        <s v="Office Supplies"/>
        <s v="Technology"/>
      </sharedItems>
    </cacheField>
    <cacheField name="Sub-Category" numFmtId="0">
      <sharedItems count="9">
        <s v="Bookcases"/>
        <s v="Binders"/>
        <s v="Storage"/>
        <s v="Paper"/>
        <s v="Laptops"/>
        <s v="Tables"/>
        <s v="Accessories"/>
        <s v="Chairs"/>
        <s v="Phones"/>
      </sharedItems>
    </cacheField>
    <cacheField name="Product Name" numFmtId="0">
      <sharedItems count="180">
        <s v="Bookcases Model 20"/>
        <s v="Binders Model 9"/>
        <s v="Storage Model 9"/>
        <s v="Paper Model 6"/>
        <s v="Laptops Model 6"/>
        <s v="Laptops Model 15"/>
        <s v="Tables Model 13"/>
        <s v="Tables Model 18"/>
        <s v="Accessories Model 8"/>
        <s v="Accessories Model 20"/>
        <s v="Chairs Model 19"/>
        <s v="Laptops Model 3"/>
        <s v="Paper Model 17"/>
        <s v="Storage Model 13"/>
        <s v="Chairs Model 9"/>
        <s v="Accessories Model 10"/>
        <s v="Tables Model 17"/>
        <s v="Chairs Model 18"/>
        <s v="Laptops Model 4"/>
        <s v="Storage Model 12"/>
        <s v="Tables Model 2"/>
        <s v="Accessories Model 6"/>
        <s v="Accessories Model 9"/>
        <s v="Binders Model 17"/>
        <s v="Phones Model 1"/>
        <s v="Phones Model 13"/>
        <s v="Tables Model 11"/>
        <s v="Bookcases Model 7"/>
        <s v="Storage Model 1"/>
        <s v="Phones Model 8"/>
        <s v="Tables Model 10"/>
        <s v="Paper Model 14"/>
        <s v="Laptops Model 11"/>
        <s v="Paper Model 20"/>
        <s v="Storage Model 4"/>
        <s v="Paper Model 12"/>
        <s v="Phones Model 20"/>
        <s v="Bookcases Model 6"/>
        <s v="Phones Model 7"/>
        <s v="Tables Model 9"/>
        <s v="Chairs Model 10"/>
        <s v="Tables Model 3"/>
        <s v="Chairs Model 2"/>
        <s v="Laptops Model 7"/>
        <s v="Accessories Model 12"/>
        <s v="Accessories Model 17"/>
        <s v="Phones Model 15"/>
        <s v="Bookcases Model 5"/>
        <s v="Binders Model 5"/>
        <s v="Bookcases Model 4"/>
        <s v="Laptops Model 20"/>
        <s v="Bookcases Model 15"/>
        <s v="Paper Model 7"/>
        <s v="Chairs Model 11"/>
        <s v="Laptops Model 8"/>
        <s v="Tables Model 15"/>
        <s v="Storage Model 2"/>
        <s v="Tables Model 20"/>
        <s v="Paper Model 13"/>
        <s v="Paper Model 5"/>
        <s v="Binders Model 6"/>
        <s v="Chairs Model 6"/>
        <s v="Bookcases Model 17"/>
        <s v="Accessories Model 7"/>
        <s v="Paper Model 11"/>
        <s v="Phones Model 16"/>
        <s v="Phones Model 9"/>
        <s v="Accessories Model 3"/>
        <s v="Binders Model 19"/>
        <s v="Laptops Model 18"/>
        <s v="Storage Model 14"/>
        <s v="Accessories Model 13"/>
        <s v="Phones Model 14"/>
        <s v="Bookcases Model 18"/>
        <s v="Phones Model 18"/>
        <s v="Binders Model 7"/>
        <s v="Chairs Model 13"/>
        <s v="Laptops Model 16"/>
        <s v="Storage Model 19"/>
        <s v="Chairs Model 5"/>
        <s v="Bookcases Model 10"/>
        <s v="Phones Model 17"/>
        <s v="Binders Model 18"/>
        <s v="Phones Model 10"/>
        <s v="Storage Model 5"/>
        <s v="Laptops Model 5"/>
        <s v="Chairs Model 15"/>
        <s v="Accessories Model 16"/>
        <s v="Bookcases Model 12"/>
        <s v="Chairs Model 1"/>
        <s v="Tables Model 1"/>
        <s v="Bookcases Model 19"/>
        <s v="Phones Model 12"/>
        <s v="Accessories Model 14"/>
        <s v="Phones Model 2"/>
        <s v="Laptops Model 9"/>
        <s v="Laptops Model 13"/>
        <s v="Chairs Model 8"/>
        <s v="Storage Model 3"/>
        <s v="Chairs Model 20"/>
        <s v="Bookcases Model 11"/>
        <s v="Storage Model 18"/>
        <s v="Paper Model 4"/>
        <s v="Binders Model 10"/>
        <s v="Bookcases Model 3"/>
        <s v="Bookcases Model 9"/>
        <s v="Chairs Model 14"/>
        <s v="Paper Model 10"/>
        <s v="Accessories Model 11"/>
        <s v="Binders Model 12"/>
        <s v="Chairs Model 17"/>
        <s v="Bookcases Model 13"/>
        <s v="Binders Model 15"/>
        <s v="Tables Model 6"/>
        <s v="Phones Model 19"/>
        <s v="Storage Model 8"/>
        <s v="Binders Model 8"/>
        <s v="Paper Model 8"/>
        <s v="Binders Model 13"/>
        <s v="Laptops Model 12"/>
        <s v="Storage Model 11"/>
        <s v="Paper Model 2"/>
        <s v="Chairs Model 4"/>
        <s v="Phones Model 11"/>
        <s v="Tables Model 12"/>
        <s v="Storage Model 10"/>
        <s v="Chairs Model 3"/>
        <s v="Laptops Model 1"/>
        <s v="Accessories Model 4"/>
        <s v="Chairs Model 16"/>
        <s v="Phones Model 3"/>
        <s v="Bookcases Model 14"/>
        <s v="Storage Model 6"/>
        <s v="Paper Model 19"/>
        <s v="Accessories Model 18"/>
        <s v="Binders Model 4"/>
        <s v="Bookcases Model 16"/>
        <s v="Laptops Model 19"/>
        <s v="Binders Model 3"/>
        <s v="Binders Model 2"/>
        <s v="Storage Model 17"/>
        <s v="Storage Model 7"/>
        <s v="Tables Model 14"/>
        <s v="Binders Model 14"/>
        <s v="Chairs Model 7"/>
        <s v="Binders Model 20"/>
        <s v="Paper Model 1"/>
        <s v="Paper Model 15"/>
        <s v="Laptops Model 14"/>
        <s v="Accessories Model 5"/>
        <s v="Accessories Model 15"/>
        <s v="Laptops Model 2"/>
        <s v="Binders Model 16"/>
        <s v="Binders Model 1"/>
        <s v="Laptops Model 17"/>
        <s v="Accessories Model 2"/>
        <s v="Paper Model 18"/>
        <s v="Tables Model 7"/>
        <s v="Tables Model 19"/>
        <s v="Tables Model 4"/>
        <s v="Storage Model 16"/>
        <s v="Tables Model 16"/>
        <s v="Binders Model 11"/>
        <s v="Tables Model 8"/>
        <s v="Bookcases Model 8"/>
        <s v="Laptops Model 10"/>
        <s v="Storage Model 20"/>
        <s v="Accessories Model 1"/>
        <s v="Phones Model 6"/>
        <s v="Bookcases Model 2"/>
        <s v="Storage Model 15"/>
        <s v="Tables Model 5"/>
        <s v="Paper Model 16"/>
        <s v="Paper Model 3"/>
        <s v="Paper Model 9"/>
        <s v="Phones Model 4"/>
        <s v="Bookcases Model 1"/>
        <s v="Chairs Model 12"/>
        <s v="Phones Model 5"/>
        <s v="Accessories Model 19"/>
      </sharedItems>
    </cacheField>
    <cacheField name="Sales" numFmtId="0">
      <sharedItems containsSemiMixedTypes="0" containsString="0" containsNumber="1" minValue="590.23" maxValue="49993.73"/>
    </cacheField>
    <cacheField name="Quantity" numFmtId="0">
      <sharedItems containsSemiMixedTypes="0" containsString="0" containsNumber="1" containsInteger="1" minValue="1" maxValue="8"/>
    </cacheField>
    <cacheField name="Discount" numFmtId="0">
      <sharedItems containsSemiMixedTypes="0" containsString="0" containsNumber="1" minValue="0" maxValue="0.3" count="4">
        <n v="0.2"/>
        <n v="0.3"/>
        <n v="0"/>
        <n v="0.1"/>
      </sharedItems>
    </cacheField>
    <cacheField name="Order size" numFmtId="0">
      <sharedItems/>
    </cacheField>
    <cacheField name="Profit margin %" numFmtId="9">
      <sharedItems containsSemiMixedTypes="0" containsString="0" containsNumber="1" minValue="-6.9888170823119475E-2" maxValue="0.29864254823840175"/>
    </cacheField>
    <cacheField name="Profit" numFmtId="0">
      <sharedItems containsSemiMixedTypes="0" containsString="0" containsNumber="1" minValue="-3116.03" maxValue="14172.99" count="1001">
        <n v="1964.2"/>
        <n v="1020.47"/>
        <n v="411.17"/>
        <n v="-1297.5999999999999"/>
        <n v="6836.45"/>
        <n v="391.88"/>
        <n v="474.51"/>
        <n v="8083.11"/>
        <n v="5733.2"/>
        <n v="5891.31"/>
        <n v="3157.91"/>
        <n v="3318.56"/>
        <n v="1488.29"/>
        <n v="11817.11"/>
        <n v="7637.67"/>
        <n v="3324.27"/>
        <n v="9442.89"/>
        <n v="5079.7"/>
        <n v="126.47"/>
        <n v="2853.89"/>
        <n v="350.9"/>
        <n v="4995.4799999999996"/>
        <n v="5332.23"/>
        <n v="1407.2"/>
        <n v="2570.63"/>
        <n v="-413.53"/>
        <n v="3410.47"/>
        <n v="5876.49"/>
        <n v="10818.91"/>
        <n v="9622.07"/>
        <n v="1295.72"/>
        <n v="3317.63"/>
        <n v="2313.6799999999998"/>
        <n v="564.16999999999996"/>
        <n v="1399.98"/>
        <n v="13.29"/>
        <n v="1087"/>
        <n v="3181.28"/>
        <n v="667.34"/>
        <n v="-904.4"/>
        <n v="851.23"/>
        <n v="306.55"/>
        <n v="3024.59"/>
        <n v="-674.83"/>
        <n v="2536.17"/>
        <n v="4762.49"/>
        <n v="14172.99"/>
        <n v="3718.01"/>
        <n v="400.11"/>
        <n v="2846.37"/>
        <n v="454.72"/>
        <n v="1169.8499999999999"/>
        <n v="4049.65"/>
        <n v="718.42"/>
        <n v="10995.91"/>
        <n v="-119.99"/>
        <n v="629.75"/>
        <n v="1133.05"/>
        <n v="1956.41"/>
        <n v="1842.88"/>
        <n v="2693.8"/>
        <n v="1620.62"/>
        <n v="1890.78"/>
        <n v="561.71"/>
        <n v="4494.5"/>
        <n v="5312.28"/>
        <n v="7842.52"/>
        <n v="6802.24"/>
        <n v="5082.12"/>
        <n v="1489.2"/>
        <n v="3052.8"/>
        <n v="5714.02"/>
        <n v="3870.09"/>
        <n v="-19.39"/>
        <n v="2347.62"/>
        <n v="494.11"/>
        <n v="3489.18"/>
        <n v="6555.34"/>
        <n v="3073.97"/>
        <n v="-28.58"/>
        <n v="5116.5"/>
        <n v="1512.41"/>
        <n v="285.33999999999997"/>
        <n v="4765.7"/>
        <n v="2678.55"/>
        <n v="2937.84"/>
        <n v="1641.36"/>
        <n v="1691.6"/>
        <n v="3783.52"/>
        <n v="3557.23"/>
        <n v="6332.72"/>
        <n v="2580.21"/>
        <n v="3531.28"/>
        <n v="4630.8100000000004"/>
        <n v="459.71"/>
        <n v="2807.01"/>
        <n v="4523.16"/>
        <n v="970.29"/>
        <n v="1786.77"/>
        <n v="618.73"/>
        <n v="6321.21"/>
        <n v="4.63"/>
        <n v="7908.85"/>
        <n v="-977.8"/>
        <n v="472.73"/>
        <n v="-189.63"/>
        <n v="156.19"/>
        <n v="2645.08"/>
        <n v="5862.01"/>
        <n v="6597.53"/>
        <n v="-79.849999999999994"/>
        <n v="1506.76"/>
        <n v="3996.6"/>
        <n v="1957.3"/>
        <n v="3525.63"/>
        <n v="6207.57"/>
        <n v="1825.79"/>
        <n v="1811.54"/>
        <n v="1116.03"/>
        <n v="6121.26"/>
        <n v="-233.3"/>
        <n v="4083.28"/>
        <n v="5601.52"/>
        <n v="2969.66"/>
        <n v="-1474.15"/>
        <n v="5405.56"/>
        <n v="4841.53"/>
        <n v="4336.88"/>
        <n v="1790.65"/>
        <n v="10400.18"/>
        <n v="3307.08"/>
        <n v="1717.1"/>
        <n v="3962.74"/>
        <n v="2006.87"/>
        <n v="801.03"/>
        <n v="5021.0600000000004"/>
        <n v="342.5"/>
        <n v="6346.74"/>
        <n v="3141.79"/>
        <n v="-2653.78"/>
        <n v="1442.02"/>
        <n v="1902.03"/>
        <n v="3645.28"/>
        <n v="6425.8"/>
        <n v="211.15"/>
        <n v="183.08"/>
        <n v="4227.04"/>
        <n v="1353.2"/>
        <n v="651.72"/>
        <n v="4299.8999999999996"/>
        <n v="421.12"/>
        <n v="1053.49"/>
        <n v="2672.71"/>
        <n v="1105.01"/>
        <n v="2256.86"/>
        <n v="5114.3100000000004"/>
        <n v="2152.16"/>
        <n v="4651.22"/>
        <n v="8412.59"/>
        <n v="4260.0200000000004"/>
        <n v="776.69"/>
        <n v="2521.2800000000002"/>
        <n v="4144.2299999999996"/>
        <n v="-438.67"/>
        <n v="2783.4"/>
        <n v="-279.39"/>
        <n v="-489.05"/>
        <n v="633.21"/>
        <n v="3219.33"/>
        <n v="1751.58"/>
        <n v="6124.88"/>
        <n v="7529.58"/>
        <n v="2425.06"/>
        <n v="6319.11"/>
        <n v="-3116.03"/>
        <n v="2265.1999999999998"/>
        <n v="10479.52"/>
        <n v="2350.83"/>
        <n v="3347.51"/>
        <n v="1544.3"/>
        <n v="3756.82"/>
        <n v="1629.64"/>
        <n v="175.31"/>
        <n v="2449.5700000000002"/>
        <n v="4382.87"/>
        <n v="8757.91"/>
        <n v="1874.11"/>
        <n v="1205.95"/>
        <n v="1498.61"/>
        <n v="5247.23"/>
        <n v="2469.52"/>
        <n v="1669.98"/>
        <n v="1017.05"/>
        <n v="5515.33"/>
        <n v="4114.75"/>
        <n v="3964.22"/>
        <n v="-227.33"/>
        <n v="343.49"/>
        <n v="12012.48"/>
        <n v="3874.3"/>
        <n v="1516.21"/>
        <n v="180.74"/>
        <n v="10609.12"/>
        <n v="792.8"/>
        <n v="2564.08"/>
        <n v="13890.35"/>
        <n v="1396.31"/>
        <n v="817.29"/>
        <n v="2619.69"/>
        <n v="40.69"/>
        <n v="6140.69"/>
        <n v="7423.05"/>
        <n v="6329.02"/>
        <n v="2419.87"/>
        <n v="5414.67"/>
        <n v="630.20000000000005"/>
        <n v="3457.78"/>
        <n v="5295.06"/>
        <n v="475.15"/>
        <n v="792.45"/>
        <n v="1295"/>
        <n v="-1488.73"/>
        <n v="6473.38"/>
        <n v="-420"/>
        <n v="377.16"/>
        <n v="416.22"/>
        <n v="423.1"/>
        <n v="3154.82"/>
        <n v="3040.29"/>
        <n v="14151.32"/>
        <n v="4796.32"/>
        <n v="-188.43"/>
        <n v="6950.31"/>
        <n v="-53.38"/>
        <n v="9248.33"/>
        <n v="279.72000000000003"/>
        <n v="1554.02"/>
        <n v="445.78"/>
        <n v="321.95999999999998"/>
        <n v="3534.78"/>
        <n v="42.52"/>
        <n v="4448.21"/>
        <n v="2032.07"/>
        <n v="3723.83"/>
        <n v="7738.43"/>
        <n v="268.67"/>
        <n v="10033.67"/>
        <n v="7714.94"/>
        <n v="2352.61"/>
        <n v="1436.23"/>
        <n v="2955.17"/>
        <n v="1406.4"/>
        <n v="4352.8100000000004"/>
        <n v="323.58"/>
        <n v="4240.93"/>
        <n v="2287.4899999999998"/>
        <n v="-480.51"/>
        <n v="1564.44"/>
        <n v="744.5"/>
        <n v="1203.81"/>
        <n v="7395.01"/>
        <n v="6528.88"/>
        <n v="3828.47"/>
        <n v="7158.45"/>
        <n v="7579.79"/>
        <n v="3410.59"/>
        <n v="2402.62"/>
        <n v="436.89"/>
        <n v="2152.59"/>
        <n v="3978.96"/>
        <n v="321.17"/>
        <n v="3993.58"/>
        <n v="4808.54"/>
        <n v="-1358.22"/>
        <n v="-1342.99"/>
        <n v="-1204.83"/>
        <n v="5466.54"/>
        <n v="3467.67"/>
        <n v="3936.53"/>
        <n v="1113.25"/>
        <n v="1661.09"/>
        <n v="3725.1"/>
        <n v="857.55"/>
        <n v="153.22999999999999"/>
        <n v="1299.53"/>
        <n v="3091.16"/>
        <n v="745.9"/>
        <n v="1093.8599999999999"/>
        <n v="2647.26"/>
        <n v="5070.3"/>
        <n v="7047.28"/>
        <n v="-954.38"/>
        <n v="8250.7999999999993"/>
        <n v="-758.37"/>
        <n v="5984.18"/>
        <n v="1334.72"/>
        <n v="488.8"/>
        <n v="5222.6000000000004"/>
        <n v="366.17"/>
        <n v="855.2"/>
        <n v="1142.06"/>
        <n v="2798.34"/>
        <n v="587.85"/>
        <n v="225.02"/>
        <n v="514.11"/>
        <n v="-172.97"/>
        <n v="3502.54"/>
        <n v="-318.97000000000003"/>
        <n v="1001.78"/>
        <n v="-325.62"/>
        <n v="7028.74"/>
        <n v="3045.37"/>
        <n v="10264.83"/>
        <n v="569.36"/>
        <n v="922.86"/>
        <n v="1755.96"/>
        <n v="3492.49"/>
        <n v="4786.99"/>
        <n v="967"/>
        <n v="4927.3599999999997"/>
        <n v="5398.11"/>
        <n v="3439.8"/>
        <n v="1973.07"/>
        <n v="116.46"/>
        <n v="1716.95"/>
        <n v="4843.3599999999997"/>
        <n v="416.84"/>
        <n v="1969.62"/>
        <n v="100.59"/>
        <n v="7067.37"/>
        <n v="1147.32"/>
        <n v="8252.7199999999993"/>
        <n v="2911.03"/>
        <n v="8244.94"/>
        <n v="1568.64"/>
        <n v="-438.57"/>
        <n v="3455.48"/>
        <n v="-266.38"/>
        <n v="9488.43"/>
        <n v="597.39"/>
        <n v="11872.63"/>
        <n v="3128.98"/>
        <n v="403.54"/>
        <n v="-38.159999999999997"/>
        <n v="5449.1"/>
        <n v="6232.13"/>
        <n v="11480.17"/>
        <n v="1157.7"/>
        <n v="-973.6"/>
        <n v="-694.37"/>
        <n v="6088.5"/>
        <n v="4424.87"/>
        <n v="2223.81"/>
        <n v="2335.11"/>
        <n v="-413.97"/>
        <n v="-145.37"/>
        <n v="3230.24"/>
        <n v="5836.36"/>
        <n v="5899.7"/>
        <n v="11886.17"/>
        <n v="463.3"/>
        <n v="9156.18"/>
        <n v="5857.7"/>
        <n v="301.57"/>
        <n v="2459.5300000000002"/>
        <n v="657.33"/>
        <n v="7504.3"/>
        <n v="5965.18"/>
        <n v="5442.6"/>
        <n v="800.22"/>
        <n v="2670.71"/>
        <n v="1958.92"/>
        <n v="2820.63"/>
        <n v="7578.16"/>
        <n v="1693.69"/>
        <n v="6475.47"/>
        <n v="996.2"/>
        <n v="598.55999999999995"/>
        <n v="3157.65"/>
        <n v="-147.53"/>
        <n v="3716.62"/>
        <n v="-2397.4499999999998"/>
        <n v="5963.62"/>
        <n v="3062.29"/>
        <n v="2471.0100000000002"/>
        <n v="6338.91"/>
        <n v="8449.89"/>
        <n v="3721.62"/>
        <n v="2077.1"/>
        <n v="3320.61"/>
        <n v="2721.94"/>
        <n v="4738.2299999999996"/>
        <n v="205.34"/>
        <n v="606.80999999999995"/>
        <n v="2736.37"/>
        <n v="40.07"/>
        <n v="1241.3499999999999"/>
        <n v="1393.49"/>
        <n v="4641.53"/>
        <n v="1531.38"/>
        <n v="3289.11"/>
        <n v="-1748.36"/>
        <n v="3428.26"/>
        <n v="4631.57"/>
        <n v="819.49"/>
        <n v="5941.53"/>
        <n v="2568.64"/>
        <n v="5987.97"/>
        <n v="7474.51"/>
        <n v="-308.89"/>
        <n v="11775.81"/>
        <n v="3328.22"/>
        <n v="3394"/>
        <n v="6843.64"/>
        <n v="2493.86"/>
        <n v="1303.4000000000001"/>
        <n v="-635.63"/>
        <n v="468.94"/>
        <n v="1990.16"/>
        <n v="4969.12"/>
        <n v="-885.51"/>
        <n v="630.80999999999995"/>
        <n v="271.08"/>
        <n v="2804.72"/>
        <n v="8120.69"/>
        <n v="925.27"/>
        <n v="-123.77"/>
        <n v="1888.77"/>
        <n v="1800.01"/>
        <n v="-147.07"/>
        <n v="4935.84"/>
        <n v="4892.75"/>
        <n v="6642.51"/>
        <n v="2526.14"/>
        <n v="5137.84"/>
        <n v="2396.9299999999998"/>
        <n v="714.26"/>
        <n v="4819.09"/>
        <n v="470.89"/>
        <n v="1523.15"/>
        <n v="3280.33"/>
        <n v="747.68"/>
        <n v="1421.66"/>
        <n v="3176.64"/>
        <n v="935.07"/>
        <n v="1487.04"/>
        <n v="-412.47"/>
        <n v="52.41"/>
        <n v="-2739.26"/>
        <n v="2174.79"/>
        <n v="1819.01"/>
        <n v="2898.9"/>
        <n v="7066.92"/>
        <n v="3165.35"/>
        <n v="2652.58"/>
        <n v="-202.31"/>
        <n v="295.10000000000002"/>
        <n v="402.89"/>
        <n v="1349.55"/>
        <n v="4482.26"/>
        <n v="12361.04"/>
        <n v="241.89"/>
        <n v="3750.06"/>
        <n v="6301.96"/>
        <n v="1464.61"/>
        <n v="1456.9"/>
        <n v="1270.3900000000001"/>
        <n v="1452.71"/>
        <n v="6754.24"/>
        <n v="4042.69"/>
        <n v="4543.12"/>
        <n v="744.7"/>
        <n v="9310.1299999999992"/>
        <n v="9709.59"/>
        <n v="2950.93"/>
        <n v="3383.53"/>
        <n v="1332.99"/>
        <n v="-921.38"/>
        <n v="1881.39"/>
        <n v="-341.89"/>
        <n v="754.41"/>
        <n v="744.71"/>
        <n v="3530.72"/>
        <n v="4626.87"/>
        <n v="5850.52"/>
        <n v="6433.56"/>
        <n v="3890.75"/>
        <n v="810.85"/>
        <n v="511.36"/>
        <n v="1127.6400000000001"/>
        <n v="3840.74"/>
        <n v="1568.77"/>
        <n v="-1236.05"/>
        <n v="2910.77"/>
        <n v="8146.04"/>
        <n v="2191.19"/>
        <n v="502.41"/>
        <n v="-1169.3499999999999"/>
        <n v="498.71"/>
        <n v="3221.45"/>
        <n v="2977.49"/>
        <n v="4512.6899999999996"/>
        <n v="2567.79"/>
        <n v="6406.94"/>
        <n v="202.08"/>
        <n v="2468.7800000000002"/>
        <n v="3920.56"/>
        <n v="896.66"/>
        <n v="1482.24"/>
        <n v="2542.5500000000002"/>
        <n v="1355.14"/>
        <n v="1033.8"/>
        <n v="108.52"/>
        <n v="-1076.1600000000001"/>
        <n v="8841.86"/>
        <n v="5406.4"/>
        <n v="1236.5899999999999"/>
        <n v="4971.8500000000004"/>
        <n v="-949.23"/>
        <n v="2968.28"/>
        <n v="4297.12"/>
        <n v="9064.2099999999991"/>
        <n v="4857.55"/>
        <n v="199.11"/>
        <n v="776.73"/>
        <n v="3717.98"/>
        <n v="551.35"/>
        <n v="306.29000000000002"/>
        <n v="-1613.5"/>
        <n v="187.09"/>
        <n v="10178.469999999999"/>
        <n v="627.34"/>
        <n v="2228.23"/>
        <n v="3774.89"/>
        <n v="4204.46"/>
        <n v="1745"/>
        <n v="5972.4"/>
        <n v="4690.88"/>
        <n v="1163.54"/>
        <n v="1225.76"/>
        <n v="1559.99"/>
        <n v="820.72"/>
        <n v="6916.78"/>
        <n v="4386.38"/>
        <n v="-448.08"/>
        <n v="2575.44"/>
        <n v="4158.34"/>
        <n v="-70.86"/>
        <n v="2067.84"/>
        <n v="-2013.38"/>
        <n v="13805.85"/>
        <n v="6918.94"/>
        <n v="2118.71"/>
        <n v="-188.27"/>
        <n v="3061.98"/>
        <n v="2183.85"/>
        <n v="6569.38"/>
        <n v="1921.11"/>
        <n v="-1035.0999999999999"/>
        <n v="2357.3000000000002"/>
        <n v="2199.42"/>
        <n v="2078.58"/>
        <n v="6117.18"/>
        <n v="1784.63"/>
        <n v="1743.21"/>
        <n v="1751.84"/>
        <n v="873.55"/>
        <n v="5015.7299999999996"/>
        <n v="2250.19"/>
        <n v="1664.46"/>
        <n v="2522.13"/>
        <n v="2933.04"/>
        <n v="1241.96"/>
        <n v="6809.11"/>
        <n v="150.57"/>
        <n v="515.29999999999995"/>
        <n v="-1421.88"/>
        <n v="-607.01"/>
        <n v="771.46"/>
        <n v="112.81"/>
        <n v="7869.28"/>
        <n v="3798.5"/>
        <n v="827.56"/>
        <n v="1713.04"/>
        <n v="1239.5"/>
        <n v="713.59"/>
        <n v="4312.38"/>
        <n v="2484.0500000000002"/>
        <n v="2428.73"/>
        <n v="3112.89"/>
        <n v="3907.82"/>
        <n v="5614.94"/>
        <n v="2524.94"/>
        <n v="8329.2900000000009"/>
        <n v="-261.97000000000003"/>
        <n v="8555.77"/>
        <n v="1922"/>
        <n v="196.95"/>
        <n v="-125.62"/>
        <n v="78.72"/>
        <n v="2341.2600000000002"/>
        <n v="1194.3699999999999"/>
        <n v="2473.37"/>
        <n v="3145.78"/>
        <n v="-1509.39"/>
        <n v="4487.62"/>
        <n v="2112.75"/>
        <n v="8821.25"/>
        <n v="1551.28"/>
        <n v="2202.0500000000002"/>
        <n v="-2228.58"/>
        <n v="-536.88"/>
        <n v="1318.15"/>
        <n v="861.85"/>
        <n v="2616.63"/>
        <n v="10352.68"/>
        <n v="1830.17"/>
        <n v="118.84"/>
        <n v="609.38"/>
        <n v="2672.6"/>
        <n v="7658.61"/>
        <n v="12620.14"/>
        <n v="5607.2"/>
        <n v="6502.54"/>
        <n v="380.6"/>
        <n v="6397.59"/>
        <n v="367.72"/>
        <n v="2123.83"/>
        <n v="3387.88"/>
        <n v="3353.99"/>
        <n v="-2592.96"/>
        <n v="4157.78"/>
        <n v="331.32"/>
        <n v="3496.49"/>
        <n v="38.01"/>
        <n v="665.81"/>
        <n v="7023.26"/>
        <n v="409.5"/>
        <n v="233.12"/>
        <n v="-1482.93"/>
        <n v="1290.92"/>
        <n v="3312.44"/>
        <n v="353.06"/>
        <n v="3424.62"/>
        <n v="3111.71"/>
        <n v="655.88"/>
        <n v="2940.55"/>
        <n v="2602.8000000000002"/>
        <n v="12.83"/>
        <n v="710.39"/>
        <n v="778.85"/>
        <n v="-9.8800000000000008"/>
        <n v="172.85"/>
        <n v="2979.72"/>
        <n v="6068"/>
        <n v="6308.58"/>
        <n v="4250.93"/>
        <n v="719.92"/>
        <n v="104.7"/>
        <n v="5904.59"/>
        <n v="5170.55"/>
        <n v="4370.33"/>
        <n v="80.66"/>
        <n v="4534.79"/>
        <n v="6825"/>
        <n v="277.92"/>
        <n v="6424.25"/>
        <n v="6918.08"/>
        <n v="5960.48"/>
        <n v="517.25"/>
        <n v="10439.15"/>
        <n v="1601"/>
        <n v="1803.36"/>
        <n v="10332.89"/>
        <n v="685.82"/>
        <n v="4114.6400000000003"/>
        <n v="-1396.31"/>
        <n v="840.96"/>
        <n v="1770.11"/>
        <n v="2761.84"/>
        <n v="-21.21"/>
        <n v="1191.6400000000001"/>
        <n v="12616.99"/>
        <n v="-340.18"/>
        <n v="1063.83"/>
        <n v="4965.6899999999996"/>
        <n v="4571.3900000000003"/>
        <n v="1760.91"/>
        <n v="1157.92"/>
        <n v="1974.01"/>
        <n v="6329.88"/>
        <n v="1201.33"/>
        <n v="-498.93"/>
        <n v="6066.78"/>
        <n v="6390.46"/>
        <n v="129.66"/>
        <n v="3817.32"/>
        <n v="2078.65"/>
        <n v="4174.4399999999996"/>
        <n v="880.34"/>
        <n v="7191.23"/>
        <n v="773.38"/>
        <n v="1299.3"/>
        <n v="1204.98"/>
        <n v="2280.52"/>
        <n v="3080.72"/>
        <n v="1250.77"/>
        <n v="159.76"/>
        <n v="3794.29"/>
        <n v="422.49"/>
        <n v="2662.26"/>
        <n v="-1904.79"/>
        <n v="3277.51"/>
        <n v="4025.07"/>
        <n v="1078.94"/>
        <n v="1047.22"/>
        <n v="1740.56"/>
        <n v="4464.72"/>
        <n v="1062.81"/>
        <n v="108.65"/>
        <n v="286.11"/>
        <n v="-617.72"/>
        <n v="1900.35"/>
        <n v="-320.42"/>
        <n v="-4.38"/>
        <n v="1880.39"/>
        <n v="4212.58"/>
        <n v="1884"/>
        <n v="586.71"/>
        <n v="2848.25"/>
        <n v="121.56"/>
        <n v="6229.31"/>
        <n v="3562.11"/>
        <n v="-718.08"/>
        <n v="4544.67"/>
        <n v="1038.97"/>
        <n v="3681.5"/>
        <n v="571.91"/>
        <n v="1874.15"/>
        <n v="8771.68"/>
        <n v="705.67"/>
        <n v="3196.04"/>
        <n v="3754.51"/>
        <n v="6986.12"/>
        <n v="206.96"/>
        <n v="1009.92"/>
        <n v="6764.96"/>
        <n v="500.11"/>
        <n v="5811.37"/>
        <n v="2844.52"/>
        <n v="1007.86"/>
        <n v="396.97"/>
        <n v="9092.2099999999991"/>
        <n v="-2131.46"/>
        <n v="9424.3700000000008"/>
        <n v="7477.56"/>
        <n v="5604.74"/>
        <n v="9455.4599999999991"/>
        <n v="211.85"/>
        <n v="881.93"/>
        <n v="1436.09"/>
        <n v="6873.15"/>
        <n v="8553.42"/>
        <n v="3811.75"/>
        <n v="1903.58"/>
        <n v="1496.07"/>
        <n v="316.44"/>
        <n v="-289.95"/>
        <n v="2271.5100000000002"/>
        <n v="46.83"/>
        <n v="7409.29"/>
        <n v="1181.2"/>
        <n v="821.81"/>
        <n v="17.57"/>
        <n v="-788.57"/>
        <n v="4657.07"/>
        <n v="3969.75"/>
        <n v="1315.8"/>
        <n v="13771.94"/>
        <n v="-862.63"/>
        <n v="2583.84"/>
        <n v="5552.5"/>
        <n v="6601.65"/>
        <n v="11112.78"/>
        <n v="4220.13"/>
        <n v="5698.8"/>
        <n v="9928.2199999999993"/>
        <n v="2347.5500000000002"/>
        <n v="7847.68"/>
        <n v="285.88"/>
        <n v="684.39"/>
        <n v="3749.3"/>
        <n v="-316.63"/>
        <n v="9669.3799999999992"/>
        <n v="345.09"/>
        <n v="-55.19"/>
        <n v="3929.01"/>
        <n v="1818.35"/>
        <n v="2296.79"/>
        <n v="378.43"/>
        <n v="2937.77"/>
        <n v="4670.0600000000004"/>
        <n v="1701.68"/>
        <n v="2563.06"/>
        <n v="6670.45"/>
        <n v="1849.32"/>
        <n v="3601.83"/>
        <n v="1370.51"/>
        <n v="2094.9499999999998"/>
        <n v="4921.26"/>
        <n v="1036.03"/>
        <n v="4290.54"/>
        <n v="1459.75"/>
        <n v="1089.51"/>
        <n v="4343.58"/>
        <n v="-1639.63"/>
        <n v="2766.52"/>
        <n v="-1331.99"/>
        <n v="4732.45"/>
        <n v="902.95"/>
        <n v="12537.02"/>
        <n v="1142.3800000000001"/>
        <n v="798.26"/>
        <n v="3951.75"/>
        <n v="265.89999999999998"/>
        <n v="3717.89"/>
        <n v="425.95"/>
        <n v="5449.81"/>
        <n v="5864.83"/>
        <n v="3549.57"/>
        <n v="508.05"/>
        <n v="-2099.79"/>
        <n v="963.84"/>
        <n v="9531.0400000000009"/>
        <n v="2508.0300000000002"/>
        <n v="168.15"/>
        <n v="-980.43"/>
        <n v="2179.64"/>
        <n v="5169.6499999999996"/>
        <n v="-466.47"/>
        <n v="5437.8"/>
        <n v="1886.34"/>
        <n v="289.56"/>
        <n v="-305.89999999999998"/>
        <n v="2311.5300000000002"/>
        <n v="7751.46"/>
        <n v="68"/>
        <n v="3114.74"/>
        <n v="3550.42"/>
        <n v="1164.57"/>
        <n v="2978.2"/>
        <n v="6749.78"/>
        <n v="3427.86"/>
        <n v="4034.93"/>
        <n v="1973.41"/>
        <n v="8378.1200000000008"/>
        <n v="1467.58"/>
        <n v="3706.42"/>
        <n v="3063.97"/>
        <n v="1024.49"/>
        <n v="32.58"/>
        <n v="5766.44"/>
        <n v="1628.86"/>
        <n v="2248.12"/>
        <n v="2600.8000000000002"/>
        <n v="1475.35"/>
        <n v="471.72"/>
        <n v="1552.93"/>
        <n v="166.84"/>
        <n v="3851.15"/>
        <n v="2294.62"/>
        <n v="9844.2099999999991"/>
        <n v="3552.58"/>
        <n v="1948.89"/>
        <n v="398.52"/>
        <n v="3617.75"/>
        <n v="142.38999999999999"/>
        <n v="1668.59"/>
        <n v="3454.29"/>
        <n v="2186.0700000000002"/>
        <n v="3851.89"/>
        <n v="32.94"/>
        <n v="2228.9299999999998"/>
        <n v="1465.5"/>
        <n v="5253.01"/>
        <n v="8262.15"/>
        <n v="2547.0700000000002"/>
        <n v="7435.96"/>
        <n v="961.28"/>
        <n v="622.84"/>
        <n v="4480.9399999999996"/>
        <n v="1537.67"/>
        <n v="2841.99"/>
        <n v="1892.18"/>
        <n v="959.24"/>
        <n v="103.25"/>
        <n v="905.45"/>
        <n v="483.47"/>
        <n v="241.46"/>
        <n v="1906.42"/>
        <n v="510.91"/>
        <n v="3331.87"/>
        <n v="650.78"/>
        <n v="1835.8"/>
        <n v="-479.72"/>
        <n v="-762.55"/>
        <n v="-2085.09"/>
        <n v="1753.14"/>
        <n v="10488.61"/>
        <n v="4379.03"/>
        <n v="3003.36"/>
        <n v="-1002.66"/>
        <n v="5328.69"/>
        <n v="2142.87"/>
        <n v="2903.79"/>
        <n v="4869.6099999999997"/>
        <n v="519.70000000000005"/>
        <n v="5746.83"/>
        <n v="5052.58"/>
        <n v="11740.75"/>
        <n v="5237.47"/>
        <n v="4167.9399999999996"/>
        <n v="154.76"/>
        <n v="85.06"/>
        <n v="2468.3200000000002"/>
        <n v="140.13"/>
        <n v="1099.4000000000001"/>
        <n v="3542.81"/>
        <n v="4875.5"/>
        <n v="-2296.62"/>
        <n v="1460.82"/>
        <n v="3933.54"/>
        <n v="1676.09"/>
        <n v="-1287.94"/>
        <n v="8241.57"/>
        <n v="3858.45"/>
        <n v="96.31"/>
        <n v="427.16"/>
        <n v="1429.08"/>
        <n v="54.23"/>
        <n v="4013.38"/>
        <n v="1964.16"/>
        <n v="5064.13"/>
        <n v="2125.2800000000002"/>
        <n v="2279.6799999999998"/>
        <n v="619.52"/>
        <n v="1996.84"/>
        <n v="48.71"/>
        <n v="5463.27"/>
        <n v="500.5"/>
        <n v="6901.82"/>
        <n v="3424.52"/>
        <n v="1799.44"/>
        <n v="775.86"/>
        <n v="1352.11"/>
        <n v="1061.8"/>
        <n v="53.2"/>
        <n v="2288.56"/>
        <n v="6902.31"/>
        <n v="1111.3599999999999"/>
        <n v="2307.08"/>
        <n v="919.21"/>
        <n v="1834.29"/>
        <n v="1461.67"/>
        <n v="6310.22"/>
        <n v="1322.3"/>
        <n v="2690.19"/>
        <n v="5417.75"/>
        <n v="9715.6"/>
        <n v="6464.25"/>
        <n v="-536.99"/>
        <n v="1354.79"/>
        <n v="7142.15"/>
        <n v="2738.06"/>
        <n v="895.87"/>
        <n v="363.06"/>
        <n v="7215.67"/>
        <n v="6029.54"/>
        <n v="2706.48"/>
        <n v="5658.53"/>
        <n v="-224.68"/>
        <n v="349.71"/>
        <n v="2110.2399999999998"/>
        <n v="1263.56"/>
        <n v="422.17"/>
        <n v="306.33999999999997"/>
        <n v="1375.63"/>
        <n v="2267.5"/>
        <n v="114.45"/>
        <n v="-79.64"/>
        <n v="6850.4"/>
        <n v="2395.69"/>
        <n v="-2812.91"/>
        <n v="220.56"/>
        <n v="8813.85"/>
        <n v="3145.4"/>
        <n v="332.96"/>
        <n v="6527.49"/>
        <n v="254.06"/>
        <n v="-1175.96"/>
        <n v="5611.7"/>
      </sharedItems>
    </cacheField>
    <cacheField name="Ship Mode" numFmtId="0">
      <sharedItems count="4">
        <s v="Second Class"/>
        <s v="Standard"/>
        <s v="Same Day"/>
        <s v="First Class"/>
      </sharedItems>
    </cacheField>
  </cacheFields>
  <extLst>
    <ext xmlns:x14="http://schemas.microsoft.com/office/spreadsheetml/2009/9/main" uri="{725AE2AE-9491-48be-B2B4-4EB974FC3084}">
      <x14:pivotCacheDefinition pivotCacheId="1896657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10000"/>
    <x v="0"/>
    <x v="0"/>
    <n v="9"/>
    <s v="Q3"/>
    <x v="0"/>
    <d v="2025-09-26T00:00:00"/>
    <s v="C1000"/>
    <x v="0"/>
    <x v="0"/>
    <s v="India"/>
    <s v="Haryana"/>
    <s v="Gurugram"/>
    <x v="0"/>
    <x v="0"/>
    <x v="0"/>
    <x v="0"/>
    <n v="11552.92"/>
    <n v="2"/>
    <x v="0"/>
    <s v="Medium"/>
    <n v="0.17001762325022593"/>
    <x v="0"/>
    <x v="0"/>
  </r>
  <r>
    <s v="ORD10001"/>
    <x v="0"/>
    <x v="0"/>
    <n v="9"/>
    <s v="Q3"/>
    <x v="1"/>
    <d v="2025-09-27T00:00:00"/>
    <s v="C1001"/>
    <x v="1"/>
    <x v="1"/>
    <s v="India"/>
    <s v="Karnataka"/>
    <s v="Bengaluru"/>
    <x v="1"/>
    <x v="1"/>
    <x v="1"/>
    <x v="1"/>
    <n v="24217.34"/>
    <n v="5"/>
    <x v="0"/>
    <s v="Medium"/>
    <n v="4.2137988730389056E-2"/>
    <x v="1"/>
    <x v="1"/>
  </r>
  <r>
    <s v="ORD10002"/>
    <x v="0"/>
    <x v="0"/>
    <n v="9"/>
    <s v="Q3"/>
    <x v="2"/>
    <d v="2025-09-28T00:00:00"/>
    <s v="C1002"/>
    <x v="2"/>
    <x v="2"/>
    <s v="India"/>
    <s v="Delhi"/>
    <s v="Delhi"/>
    <x v="0"/>
    <x v="1"/>
    <x v="2"/>
    <x v="2"/>
    <n v="2895"/>
    <n v="3"/>
    <x v="0"/>
    <s v="Low"/>
    <n v="0.14202763385146805"/>
    <x v="2"/>
    <x v="2"/>
  </r>
  <r>
    <s v="ORD10003"/>
    <x v="0"/>
    <x v="0"/>
    <n v="9"/>
    <s v="Q3"/>
    <x v="3"/>
    <d v="2025-09-29T00:00:00"/>
    <s v="C1003"/>
    <x v="3"/>
    <x v="1"/>
    <s v="India"/>
    <s v="Delhi"/>
    <s v="Delhi"/>
    <x v="0"/>
    <x v="1"/>
    <x v="3"/>
    <x v="3"/>
    <n v="30619.61"/>
    <n v="8"/>
    <x v="1"/>
    <s v="High"/>
    <n v="-4.237807078535618E-2"/>
    <x v="3"/>
    <x v="2"/>
  </r>
  <r>
    <s v="ORD10004"/>
    <x v="0"/>
    <x v="0"/>
    <n v="9"/>
    <s v="Q3"/>
    <x v="4"/>
    <d v="2025-09-30T00:00:00"/>
    <s v="C1004"/>
    <x v="4"/>
    <x v="0"/>
    <s v="India"/>
    <s v="Karnataka"/>
    <s v="Bengaluru"/>
    <x v="1"/>
    <x v="2"/>
    <x v="4"/>
    <x v="4"/>
    <n v="48234.8"/>
    <n v="5"/>
    <x v="1"/>
    <s v="High"/>
    <n v="0.14173273238408782"/>
    <x v="4"/>
    <x v="1"/>
  </r>
  <r>
    <s v="ORD10005"/>
    <x v="0"/>
    <x v="0"/>
    <n v="9"/>
    <s v="Q3"/>
    <x v="5"/>
    <d v="2025-10-01T00:00:00"/>
    <s v="C1005"/>
    <x v="5"/>
    <x v="2"/>
    <s v="India"/>
    <s v="Delhi"/>
    <s v="Delhi"/>
    <x v="0"/>
    <x v="2"/>
    <x v="4"/>
    <x v="5"/>
    <n v="4611.8599999999997"/>
    <n v="8"/>
    <x v="1"/>
    <s v="Low"/>
    <n v="8.4972223788232951E-2"/>
    <x v="5"/>
    <x v="1"/>
  </r>
  <r>
    <s v="ORD10006"/>
    <x v="0"/>
    <x v="0"/>
    <n v="9"/>
    <s v="Q3"/>
    <x v="6"/>
    <d v="2025-10-02T00:00:00"/>
    <s v="C1006"/>
    <x v="6"/>
    <x v="0"/>
    <s v="India"/>
    <s v="Maharashtra"/>
    <s v="Mumbai"/>
    <x v="2"/>
    <x v="0"/>
    <x v="5"/>
    <x v="6"/>
    <n v="3249.11"/>
    <n v="8"/>
    <x v="2"/>
    <s v="Low"/>
    <n v="0.14604307025616245"/>
    <x v="6"/>
    <x v="0"/>
  </r>
  <r>
    <s v="ORD10007"/>
    <x v="0"/>
    <x v="0"/>
    <n v="9"/>
    <s v="Q3"/>
    <x v="7"/>
    <d v="2025-10-03T00:00:00"/>
    <s v="C1007"/>
    <x v="7"/>
    <x v="1"/>
    <s v="India"/>
    <s v="Delhi"/>
    <s v="Delhi"/>
    <x v="0"/>
    <x v="0"/>
    <x v="5"/>
    <x v="7"/>
    <n v="30787.31"/>
    <n v="3"/>
    <x v="2"/>
    <s v="High"/>
    <n v="0.26254680905866734"/>
    <x v="7"/>
    <x v="1"/>
  </r>
  <r>
    <s v="ORD10008"/>
    <x v="0"/>
    <x v="0"/>
    <n v="9"/>
    <s v="Q3"/>
    <x v="8"/>
    <d v="2025-10-04T00:00:00"/>
    <s v="C1008"/>
    <x v="8"/>
    <x v="1"/>
    <s v="India"/>
    <s v="Karnataka"/>
    <s v="Bengaluru"/>
    <x v="1"/>
    <x v="2"/>
    <x v="6"/>
    <x v="8"/>
    <n v="23340.5"/>
    <n v="1"/>
    <x v="2"/>
    <s v="Medium"/>
    <n v="0.24563312696814549"/>
    <x v="8"/>
    <x v="3"/>
  </r>
  <r>
    <s v="ORD10009"/>
    <x v="0"/>
    <x v="1"/>
    <n v="10"/>
    <s v="Q4"/>
    <x v="9"/>
    <d v="2025-10-05T00:00:00"/>
    <s v="C1009"/>
    <x v="9"/>
    <x v="2"/>
    <s v="India"/>
    <s v="West Bengal"/>
    <s v="Kolkata"/>
    <x v="3"/>
    <x v="2"/>
    <x v="6"/>
    <x v="9"/>
    <n v="28532"/>
    <n v="6"/>
    <x v="0"/>
    <s v="Medium"/>
    <n v="0.20648079349502316"/>
    <x v="9"/>
    <x v="1"/>
  </r>
  <r>
    <s v="ORD10010"/>
    <x v="0"/>
    <x v="1"/>
    <n v="10"/>
    <s v="Q4"/>
    <x v="10"/>
    <d v="2025-10-06T00:00:00"/>
    <s v="C1010"/>
    <x v="10"/>
    <x v="2"/>
    <s v="India"/>
    <s v="West Bengal"/>
    <s v="Kolkata"/>
    <x v="3"/>
    <x v="0"/>
    <x v="7"/>
    <x v="10"/>
    <n v="14706.45"/>
    <n v="5"/>
    <x v="3"/>
    <s v="Medium"/>
    <n v="0.21472959143777048"/>
    <x v="10"/>
    <x v="1"/>
  </r>
  <r>
    <s v="ORD10011"/>
    <x v="0"/>
    <x v="1"/>
    <n v="10"/>
    <s v="Q4"/>
    <x v="11"/>
    <d v="2025-10-07T00:00:00"/>
    <s v="C1011"/>
    <x v="11"/>
    <x v="1"/>
    <s v="India"/>
    <s v="West Bengal"/>
    <s v="Kolkata"/>
    <x v="3"/>
    <x v="2"/>
    <x v="4"/>
    <x v="11"/>
    <n v="22473.25"/>
    <n v="7"/>
    <x v="1"/>
    <s v="Medium"/>
    <n v="0.14766711534824736"/>
    <x v="11"/>
    <x v="3"/>
  </r>
  <r>
    <s v="ORD10012"/>
    <x v="0"/>
    <x v="1"/>
    <n v="10"/>
    <s v="Q4"/>
    <x v="12"/>
    <d v="2025-10-08T00:00:00"/>
    <s v="C1012"/>
    <x v="12"/>
    <x v="0"/>
    <s v="India"/>
    <s v="Delhi"/>
    <s v="Delhi"/>
    <x v="0"/>
    <x v="1"/>
    <x v="3"/>
    <x v="12"/>
    <n v="39521.49"/>
    <n v="8"/>
    <x v="3"/>
    <s v="High"/>
    <n v="3.7657740130749122E-2"/>
    <x v="12"/>
    <x v="0"/>
  </r>
  <r>
    <s v="ORD10013"/>
    <x v="0"/>
    <x v="1"/>
    <n v="10"/>
    <s v="Q4"/>
    <x v="13"/>
    <d v="2025-10-09T00:00:00"/>
    <s v="C1013"/>
    <x v="13"/>
    <x v="1"/>
    <s v="India"/>
    <s v="Haryana"/>
    <s v="Gurugram"/>
    <x v="0"/>
    <x v="1"/>
    <x v="2"/>
    <x v="13"/>
    <n v="46709.75"/>
    <n v="4"/>
    <x v="3"/>
    <s v="High"/>
    <n v="0.2529902215276254"/>
    <x v="13"/>
    <x v="0"/>
  </r>
  <r>
    <s v="ORD10014"/>
    <x v="0"/>
    <x v="1"/>
    <n v="10"/>
    <s v="Q4"/>
    <x v="14"/>
    <d v="2025-10-10T00:00:00"/>
    <s v="C1014"/>
    <x v="14"/>
    <x v="1"/>
    <s v="India"/>
    <s v="Delhi"/>
    <s v="Delhi"/>
    <x v="0"/>
    <x v="0"/>
    <x v="7"/>
    <x v="14"/>
    <n v="34875.89"/>
    <n v="2"/>
    <x v="3"/>
    <s v="High"/>
    <n v="0.2189957016150699"/>
    <x v="14"/>
    <x v="2"/>
  </r>
  <r>
    <s v="ORD10015"/>
    <x v="0"/>
    <x v="1"/>
    <n v="10"/>
    <s v="Q4"/>
    <x v="15"/>
    <d v="2025-10-11T00:00:00"/>
    <s v="C1015"/>
    <x v="15"/>
    <x v="0"/>
    <s v="India"/>
    <s v="West Bengal"/>
    <s v="Kolkata"/>
    <x v="3"/>
    <x v="2"/>
    <x v="6"/>
    <x v="15"/>
    <n v="17075.63"/>
    <n v="6"/>
    <x v="0"/>
    <s v="Medium"/>
    <n v="0.19467920070884645"/>
    <x v="15"/>
    <x v="0"/>
  </r>
  <r>
    <s v="ORD10016"/>
    <x v="0"/>
    <x v="1"/>
    <n v="10"/>
    <s v="Q4"/>
    <x v="16"/>
    <d v="2025-10-12T00:00:00"/>
    <s v="C1016"/>
    <x v="16"/>
    <x v="1"/>
    <s v="India"/>
    <s v="Delhi"/>
    <s v="Delhi"/>
    <x v="0"/>
    <x v="0"/>
    <x v="5"/>
    <x v="16"/>
    <n v="44511.09"/>
    <n v="8"/>
    <x v="3"/>
    <s v="High"/>
    <n v="0.21214690541166259"/>
    <x v="16"/>
    <x v="1"/>
  </r>
  <r>
    <s v="ORD10017"/>
    <x v="0"/>
    <x v="1"/>
    <n v="10"/>
    <s v="Q4"/>
    <x v="17"/>
    <d v="2025-10-13T00:00:00"/>
    <s v="C1017"/>
    <x v="17"/>
    <x v="2"/>
    <s v="India"/>
    <s v="Delhi"/>
    <s v="Delhi"/>
    <x v="0"/>
    <x v="0"/>
    <x v="7"/>
    <x v="17"/>
    <n v="43484.26"/>
    <n v="5"/>
    <x v="1"/>
    <s v="High"/>
    <n v="0.1168169815928798"/>
    <x v="17"/>
    <x v="3"/>
  </r>
  <r>
    <s v="ORD10018"/>
    <x v="0"/>
    <x v="1"/>
    <n v="10"/>
    <s v="Q4"/>
    <x v="18"/>
    <d v="2025-10-14T00:00:00"/>
    <s v="C1018"/>
    <x v="18"/>
    <x v="1"/>
    <s v="India"/>
    <s v="Maharashtra"/>
    <s v="Mumbai"/>
    <x v="2"/>
    <x v="2"/>
    <x v="4"/>
    <x v="18"/>
    <n v="2258.19"/>
    <n v="8"/>
    <x v="1"/>
    <s v="Low"/>
    <n v="5.6005030577586469E-2"/>
    <x v="18"/>
    <x v="3"/>
  </r>
  <r>
    <s v="ORD10019"/>
    <x v="0"/>
    <x v="1"/>
    <n v="10"/>
    <s v="Q4"/>
    <x v="19"/>
    <d v="2025-10-15T00:00:00"/>
    <s v="C1019"/>
    <x v="19"/>
    <x v="1"/>
    <s v="India"/>
    <s v="Haryana"/>
    <s v="Gurugram"/>
    <x v="0"/>
    <x v="1"/>
    <x v="2"/>
    <x v="19"/>
    <n v="16739.95"/>
    <n v="6"/>
    <x v="0"/>
    <s v="Medium"/>
    <n v="0.17048378280699761"/>
    <x v="19"/>
    <x v="0"/>
  </r>
  <r>
    <s v="ORD10020"/>
    <x v="0"/>
    <x v="1"/>
    <n v="10"/>
    <s v="Q4"/>
    <x v="20"/>
    <d v="2025-10-16T00:00:00"/>
    <s v="C1020"/>
    <x v="20"/>
    <x v="0"/>
    <s v="India"/>
    <s v="West Bengal"/>
    <s v="Kolkata"/>
    <x v="3"/>
    <x v="0"/>
    <x v="5"/>
    <x v="20"/>
    <n v="1791.77"/>
    <n v="8"/>
    <x v="2"/>
    <s v="Low"/>
    <n v="0.19583986784018037"/>
    <x v="20"/>
    <x v="2"/>
  </r>
  <r>
    <s v="ORD10021"/>
    <x v="0"/>
    <x v="1"/>
    <n v="10"/>
    <s v="Q4"/>
    <x v="21"/>
    <d v="2025-10-17T00:00:00"/>
    <s v="C1021"/>
    <x v="21"/>
    <x v="1"/>
    <s v="India"/>
    <s v="Delhi"/>
    <s v="Delhi"/>
    <x v="0"/>
    <x v="2"/>
    <x v="6"/>
    <x v="21"/>
    <n v="34797.800000000003"/>
    <n v="5"/>
    <x v="2"/>
    <s v="High"/>
    <n v="0.143557351326808"/>
    <x v="21"/>
    <x v="0"/>
  </r>
  <r>
    <s v="ORD10022"/>
    <x v="0"/>
    <x v="1"/>
    <n v="10"/>
    <s v="Q4"/>
    <x v="22"/>
    <d v="2025-10-18T00:00:00"/>
    <s v="C1022"/>
    <x v="22"/>
    <x v="2"/>
    <s v="India"/>
    <s v="Delhi"/>
    <s v="Delhi"/>
    <x v="0"/>
    <x v="2"/>
    <x v="6"/>
    <x v="22"/>
    <n v="31740.13"/>
    <n v="8"/>
    <x v="1"/>
    <s v="High"/>
    <n v="0.16799647638494233"/>
    <x v="22"/>
    <x v="1"/>
  </r>
  <r>
    <s v="ORD10023"/>
    <x v="0"/>
    <x v="1"/>
    <n v="10"/>
    <s v="Q4"/>
    <x v="23"/>
    <d v="2025-10-19T00:00:00"/>
    <s v="C1023"/>
    <x v="23"/>
    <x v="2"/>
    <s v="India"/>
    <s v="Karnataka"/>
    <s v="Bengaluru"/>
    <x v="1"/>
    <x v="1"/>
    <x v="1"/>
    <x v="23"/>
    <n v="6318.56"/>
    <n v="5"/>
    <x v="2"/>
    <s v="Low"/>
    <n v="0.22270897166442985"/>
    <x v="23"/>
    <x v="2"/>
  </r>
  <r>
    <s v="ORD10024"/>
    <x v="0"/>
    <x v="1"/>
    <n v="10"/>
    <s v="Q4"/>
    <x v="24"/>
    <d v="2025-10-20T00:00:00"/>
    <s v="C1024"/>
    <x v="24"/>
    <x v="2"/>
    <s v="India"/>
    <s v="Haryana"/>
    <s v="Gurugram"/>
    <x v="0"/>
    <x v="2"/>
    <x v="8"/>
    <x v="24"/>
    <n v="22873.919999999998"/>
    <n v="1"/>
    <x v="0"/>
    <s v="Medium"/>
    <n v="0.11238257369091088"/>
    <x v="24"/>
    <x v="1"/>
  </r>
  <r>
    <s v="ORD10025"/>
    <x v="0"/>
    <x v="1"/>
    <n v="10"/>
    <s v="Q4"/>
    <x v="25"/>
    <d v="2025-10-21T00:00:00"/>
    <s v="C1025"/>
    <x v="25"/>
    <x v="2"/>
    <s v="India"/>
    <s v="Karnataka"/>
    <s v="Bengaluru"/>
    <x v="1"/>
    <x v="0"/>
    <x v="5"/>
    <x v="6"/>
    <n v="23816.33"/>
    <n v="4"/>
    <x v="1"/>
    <s v="Medium"/>
    <n v="-1.7363296528054489E-2"/>
    <x v="25"/>
    <x v="0"/>
  </r>
  <r>
    <s v="ORD10026"/>
    <x v="0"/>
    <x v="1"/>
    <n v="10"/>
    <s v="Q4"/>
    <x v="26"/>
    <d v="2025-10-22T00:00:00"/>
    <s v="C1026"/>
    <x v="26"/>
    <x v="0"/>
    <s v="India"/>
    <s v="Haryana"/>
    <s v="Gurugram"/>
    <x v="0"/>
    <x v="2"/>
    <x v="8"/>
    <x v="25"/>
    <n v="24590.67"/>
    <n v="1"/>
    <x v="1"/>
    <s v="Medium"/>
    <n v="0.13868959243485435"/>
    <x v="26"/>
    <x v="1"/>
  </r>
  <r>
    <s v="ORD10027"/>
    <x v="0"/>
    <x v="1"/>
    <n v="10"/>
    <s v="Q4"/>
    <x v="27"/>
    <d v="2025-10-23T00:00:00"/>
    <s v="C1027"/>
    <x v="27"/>
    <x v="2"/>
    <s v="India"/>
    <s v="Maharashtra"/>
    <s v="Mumbai"/>
    <x v="2"/>
    <x v="0"/>
    <x v="5"/>
    <x v="26"/>
    <n v="33924.699999999997"/>
    <n v="4"/>
    <x v="1"/>
    <s v="High"/>
    <n v="0.17322157601983218"/>
    <x v="27"/>
    <x v="0"/>
  </r>
  <r>
    <s v="ORD10028"/>
    <x v="0"/>
    <x v="1"/>
    <n v="10"/>
    <s v="Q4"/>
    <x v="28"/>
    <d v="2025-10-24T00:00:00"/>
    <s v="C1028"/>
    <x v="28"/>
    <x v="0"/>
    <s v="India"/>
    <s v="Karnataka"/>
    <s v="Bengaluru"/>
    <x v="1"/>
    <x v="0"/>
    <x v="5"/>
    <x v="20"/>
    <n v="45862.59"/>
    <n v="2"/>
    <x v="3"/>
    <s v="High"/>
    <n v="0.23589836509451387"/>
    <x v="28"/>
    <x v="0"/>
  </r>
  <r>
    <s v="ORD10029"/>
    <x v="0"/>
    <x v="1"/>
    <n v="10"/>
    <s v="Q4"/>
    <x v="29"/>
    <d v="2025-10-25T00:00:00"/>
    <s v="C1029"/>
    <x v="29"/>
    <x v="1"/>
    <s v="India"/>
    <s v="West Bengal"/>
    <s v="Kolkata"/>
    <x v="3"/>
    <x v="0"/>
    <x v="0"/>
    <x v="27"/>
    <n v="47492.09"/>
    <n v="2"/>
    <x v="2"/>
    <s v="High"/>
    <n v="0.20260363357350666"/>
    <x v="29"/>
    <x v="2"/>
  </r>
  <r>
    <s v="ORD10030"/>
    <x v="0"/>
    <x v="1"/>
    <n v="10"/>
    <s v="Q4"/>
    <x v="30"/>
    <d v="2025-10-26T00:00:00"/>
    <s v="C1030"/>
    <x v="30"/>
    <x v="1"/>
    <s v="India"/>
    <s v="Karnataka"/>
    <s v="Bengaluru"/>
    <x v="1"/>
    <x v="1"/>
    <x v="2"/>
    <x v="28"/>
    <n v="24853.1"/>
    <n v="2"/>
    <x v="3"/>
    <s v="Medium"/>
    <n v="5.2135146118592858E-2"/>
    <x v="30"/>
    <x v="0"/>
  </r>
  <r>
    <s v="ORD10031"/>
    <x v="0"/>
    <x v="1"/>
    <n v="10"/>
    <s v="Q4"/>
    <x v="31"/>
    <d v="2025-10-27T00:00:00"/>
    <s v="C1031"/>
    <x v="31"/>
    <x v="1"/>
    <s v="India"/>
    <s v="Karnataka"/>
    <s v="Bengaluru"/>
    <x v="1"/>
    <x v="2"/>
    <x v="8"/>
    <x v="29"/>
    <n v="37393.06"/>
    <n v="6"/>
    <x v="2"/>
    <s v="High"/>
    <n v="8.8723148092186094E-2"/>
    <x v="31"/>
    <x v="1"/>
  </r>
  <r>
    <s v="ORD10032"/>
    <x v="0"/>
    <x v="1"/>
    <n v="10"/>
    <s v="Q4"/>
    <x v="32"/>
    <d v="2025-10-28T00:00:00"/>
    <s v="C1032"/>
    <x v="32"/>
    <x v="0"/>
    <s v="India"/>
    <s v="Karnataka"/>
    <s v="Bengaluru"/>
    <x v="1"/>
    <x v="0"/>
    <x v="5"/>
    <x v="30"/>
    <n v="42511.51"/>
    <n v="6"/>
    <x v="0"/>
    <s v="High"/>
    <n v="5.442478989807701E-2"/>
    <x v="32"/>
    <x v="3"/>
  </r>
  <r>
    <s v="ORD10033"/>
    <x v="0"/>
    <x v="1"/>
    <n v="10"/>
    <s v="Q4"/>
    <x v="33"/>
    <d v="2025-10-29T00:00:00"/>
    <s v="C1033"/>
    <x v="33"/>
    <x v="1"/>
    <s v="India"/>
    <s v="West Bengal"/>
    <s v="Kolkata"/>
    <x v="3"/>
    <x v="1"/>
    <x v="3"/>
    <x v="31"/>
    <n v="6247.65"/>
    <n v="8"/>
    <x v="2"/>
    <s v="Low"/>
    <n v="9.0301153233615844E-2"/>
    <x v="33"/>
    <x v="2"/>
  </r>
  <r>
    <s v="ORD10034"/>
    <x v="0"/>
    <x v="1"/>
    <n v="10"/>
    <s v="Q4"/>
    <x v="34"/>
    <d v="2025-10-30T00:00:00"/>
    <s v="C1034"/>
    <x v="34"/>
    <x v="2"/>
    <s v="India"/>
    <s v="Karnataka"/>
    <s v="Bengaluru"/>
    <x v="1"/>
    <x v="2"/>
    <x v="4"/>
    <x v="32"/>
    <n v="22531.37"/>
    <n v="2"/>
    <x v="3"/>
    <s v="Medium"/>
    <n v="6.2134703748595851E-2"/>
    <x v="34"/>
    <x v="1"/>
  </r>
  <r>
    <s v="ORD10035"/>
    <x v="0"/>
    <x v="1"/>
    <n v="10"/>
    <s v="Q4"/>
    <x v="35"/>
    <d v="2025-10-31T00:00:00"/>
    <s v="C1035"/>
    <x v="35"/>
    <x v="2"/>
    <s v="India"/>
    <s v="Delhi"/>
    <s v="Delhi"/>
    <x v="0"/>
    <x v="1"/>
    <x v="2"/>
    <x v="2"/>
    <n v="14905.84"/>
    <n v="3"/>
    <x v="1"/>
    <s v="Medium"/>
    <n v="8.9159685063035688E-4"/>
    <x v="35"/>
    <x v="1"/>
  </r>
  <r>
    <s v="ORD10036"/>
    <x v="0"/>
    <x v="1"/>
    <n v="10"/>
    <s v="Q4"/>
    <x v="36"/>
    <d v="2025-11-01T00:00:00"/>
    <s v="C1036"/>
    <x v="36"/>
    <x v="2"/>
    <s v="India"/>
    <s v="West Bengal"/>
    <s v="Kolkata"/>
    <x v="3"/>
    <x v="2"/>
    <x v="6"/>
    <x v="22"/>
    <n v="13743.87"/>
    <n v="5"/>
    <x v="3"/>
    <s v="Medium"/>
    <n v="7.908980512766782E-2"/>
    <x v="36"/>
    <x v="2"/>
  </r>
  <r>
    <s v="ORD10037"/>
    <x v="0"/>
    <x v="1"/>
    <n v="10"/>
    <s v="Q4"/>
    <x v="37"/>
    <d v="2025-11-02T00:00:00"/>
    <s v="C1037"/>
    <x v="37"/>
    <x v="1"/>
    <s v="India"/>
    <s v="Delhi"/>
    <s v="Delhi"/>
    <x v="0"/>
    <x v="1"/>
    <x v="3"/>
    <x v="33"/>
    <n v="14008.57"/>
    <n v="7"/>
    <x v="3"/>
    <s v="Medium"/>
    <n v="0.2270952709662728"/>
    <x v="37"/>
    <x v="2"/>
  </r>
  <r>
    <s v="ORD10038"/>
    <x v="0"/>
    <x v="1"/>
    <n v="10"/>
    <s v="Q4"/>
    <x v="38"/>
    <d v="2025-11-03T00:00:00"/>
    <s v="C1038"/>
    <x v="38"/>
    <x v="0"/>
    <s v="India"/>
    <s v="Karnataka"/>
    <s v="Bengaluru"/>
    <x v="1"/>
    <x v="1"/>
    <x v="2"/>
    <x v="34"/>
    <n v="10617.15"/>
    <n v="5"/>
    <x v="0"/>
    <s v="Medium"/>
    <n v="6.2854909274146081E-2"/>
    <x v="38"/>
    <x v="2"/>
  </r>
  <r>
    <s v="ORD10039"/>
    <x v="0"/>
    <x v="1"/>
    <n v="10"/>
    <s v="Q4"/>
    <x v="39"/>
    <d v="2025-11-04T00:00:00"/>
    <s v="C1039"/>
    <x v="39"/>
    <x v="1"/>
    <s v="India"/>
    <s v="West Bengal"/>
    <s v="Kolkata"/>
    <x v="3"/>
    <x v="1"/>
    <x v="3"/>
    <x v="35"/>
    <n v="31514.91"/>
    <n v="8"/>
    <x v="0"/>
    <s v="High"/>
    <n v="-2.8697527614706817E-2"/>
    <x v="39"/>
    <x v="0"/>
  </r>
  <r>
    <s v="ORD10040"/>
    <x v="0"/>
    <x v="2"/>
    <n v="11"/>
    <s v="Q4"/>
    <x v="40"/>
    <d v="2025-11-05T00:00:00"/>
    <s v="C1040"/>
    <x v="40"/>
    <x v="0"/>
    <s v="India"/>
    <s v="Karnataka"/>
    <s v="Bengaluru"/>
    <x v="1"/>
    <x v="2"/>
    <x v="8"/>
    <x v="36"/>
    <n v="31578.560000000001"/>
    <n v="1"/>
    <x v="3"/>
    <s v="High"/>
    <n v="2.6955947326287203E-2"/>
    <x v="40"/>
    <x v="2"/>
  </r>
  <r>
    <s v="ORD10041"/>
    <x v="0"/>
    <x v="2"/>
    <n v="11"/>
    <s v="Q4"/>
    <x v="41"/>
    <d v="2025-11-06T00:00:00"/>
    <s v="C1041"/>
    <x v="41"/>
    <x v="2"/>
    <s v="India"/>
    <s v="Delhi"/>
    <s v="Delhi"/>
    <x v="0"/>
    <x v="0"/>
    <x v="0"/>
    <x v="37"/>
    <n v="10197.49"/>
    <n v="2"/>
    <x v="0"/>
    <s v="Medium"/>
    <n v="3.0061319010854633E-2"/>
    <x v="41"/>
    <x v="1"/>
  </r>
  <r>
    <s v="ORD10042"/>
    <x v="0"/>
    <x v="2"/>
    <n v="11"/>
    <s v="Q4"/>
    <x v="42"/>
    <d v="2025-11-07T00:00:00"/>
    <s v="C1042"/>
    <x v="42"/>
    <x v="0"/>
    <s v="India"/>
    <s v="Delhi"/>
    <s v="Delhi"/>
    <x v="0"/>
    <x v="2"/>
    <x v="6"/>
    <x v="8"/>
    <n v="19893.599999999999"/>
    <n v="8"/>
    <x v="2"/>
    <s v="Medium"/>
    <n v="0.15203834399002697"/>
    <x v="42"/>
    <x v="0"/>
  </r>
  <r>
    <s v="ORD10043"/>
    <x v="0"/>
    <x v="2"/>
    <n v="11"/>
    <s v="Q4"/>
    <x v="43"/>
    <d v="2025-11-08T00:00:00"/>
    <s v="C1043"/>
    <x v="43"/>
    <x v="0"/>
    <s v="India"/>
    <s v="Karnataka"/>
    <s v="Bengaluru"/>
    <x v="1"/>
    <x v="0"/>
    <x v="5"/>
    <x v="20"/>
    <n v="12792.37"/>
    <n v="4"/>
    <x v="1"/>
    <s v="Medium"/>
    <n v="-5.2752539208919064E-2"/>
    <x v="43"/>
    <x v="1"/>
  </r>
  <r>
    <s v="ORD10044"/>
    <x v="0"/>
    <x v="2"/>
    <n v="11"/>
    <s v="Q4"/>
    <x v="44"/>
    <d v="2025-11-09T00:00:00"/>
    <s v="C1044"/>
    <x v="44"/>
    <x v="2"/>
    <s v="India"/>
    <s v="Delhi"/>
    <s v="Delhi"/>
    <x v="0"/>
    <x v="0"/>
    <x v="0"/>
    <x v="27"/>
    <n v="13079.43"/>
    <n v="6"/>
    <x v="0"/>
    <s v="Medium"/>
    <n v="0.19390523898977249"/>
    <x v="44"/>
    <x v="2"/>
  </r>
  <r>
    <s v="ORD10045"/>
    <x v="0"/>
    <x v="2"/>
    <n v="11"/>
    <s v="Q4"/>
    <x v="45"/>
    <d v="2025-11-10T00:00:00"/>
    <s v="C1045"/>
    <x v="45"/>
    <x v="1"/>
    <s v="India"/>
    <s v="Haryana"/>
    <s v="Gurugram"/>
    <x v="0"/>
    <x v="2"/>
    <x v="8"/>
    <x v="38"/>
    <n v="43602.27"/>
    <n v="8"/>
    <x v="3"/>
    <s v="High"/>
    <n v="0.10922573526561806"/>
    <x v="45"/>
    <x v="2"/>
  </r>
  <r>
    <s v="ORD10046"/>
    <x v="0"/>
    <x v="2"/>
    <n v="11"/>
    <s v="Q4"/>
    <x v="46"/>
    <d v="2025-11-11T00:00:00"/>
    <s v="C1046"/>
    <x v="46"/>
    <x v="0"/>
    <s v="India"/>
    <s v="Maharashtra"/>
    <s v="Mumbai"/>
    <x v="2"/>
    <x v="0"/>
    <x v="5"/>
    <x v="39"/>
    <n v="47458.04"/>
    <n v="5"/>
    <x v="2"/>
    <s v="High"/>
    <n v="0.29864254823840175"/>
    <x v="46"/>
    <x v="1"/>
  </r>
  <r>
    <s v="ORD10047"/>
    <x v="0"/>
    <x v="2"/>
    <n v="11"/>
    <s v="Q4"/>
    <x v="47"/>
    <d v="2025-11-12T00:00:00"/>
    <s v="C1047"/>
    <x v="47"/>
    <x v="2"/>
    <s v="India"/>
    <s v="West Bengal"/>
    <s v="Kolkata"/>
    <x v="3"/>
    <x v="0"/>
    <x v="7"/>
    <x v="40"/>
    <n v="21886.58"/>
    <n v="1"/>
    <x v="3"/>
    <s v="Medium"/>
    <n v="0.16987624379871136"/>
    <x v="47"/>
    <x v="3"/>
  </r>
  <r>
    <s v="ORD10048"/>
    <x v="0"/>
    <x v="2"/>
    <n v="11"/>
    <s v="Q4"/>
    <x v="48"/>
    <d v="2025-11-13T00:00:00"/>
    <s v="C1048"/>
    <x v="48"/>
    <x v="0"/>
    <s v="India"/>
    <s v="West Bengal"/>
    <s v="Kolkata"/>
    <x v="3"/>
    <x v="0"/>
    <x v="5"/>
    <x v="41"/>
    <n v="46437.08"/>
    <n v="5"/>
    <x v="1"/>
    <s v="High"/>
    <n v="8.616174832698352E-3"/>
    <x v="48"/>
    <x v="2"/>
  </r>
  <r>
    <s v="ORD10049"/>
    <x v="0"/>
    <x v="2"/>
    <n v="11"/>
    <s v="Q4"/>
    <x v="49"/>
    <d v="2025-11-14T00:00:00"/>
    <s v="C1049"/>
    <x v="49"/>
    <x v="2"/>
    <s v="India"/>
    <s v="Delhi"/>
    <s v="Delhi"/>
    <x v="0"/>
    <x v="2"/>
    <x v="8"/>
    <x v="24"/>
    <n v="44565.26"/>
    <n v="4"/>
    <x v="2"/>
    <s v="High"/>
    <n v="6.3869704787989562E-2"/>
    <x v="49"/>
    <x v="0"/>
  </r>
  <r>
    <s v="ORD10050"/>
    <x v="0"/>
    <x v="2"/>
    <n v="11"/>
    <s v="Q4"/>
    <x v="50"/>
    <d v="2025-11-15T00:00:00"/>
    <s v="C1050"/>
    <x v="50"/>
    <x v="0"/>
    <s v="India"/>
    <s v="Delhi"/>
    <s v="Delhi"/>
    <x v="0"/>
    <x v="0"/>
    <x v="7"/>
    <x v="42"/>
    <n v="33250.21"/>
    <n v="2"/>
    <x v="1"/>
    <s v="High"/>
    <n v="1.3675703100822523E-2"/>
    <x v="50"/>
    <x v="3"/>
  </r>
  <r>
    <s v="ORD10051"/>
    <x v="0"/>
    <x v="2"/>
    <n v="11"/>
    <s v="Q4"/>
    <x v="51"/>
    <d v="2025-11-16T00:00:00"/>
    <s v="C1051"/>
    <x v="51"/>
    <x v="0"/>
    <s v="India"/>
    <s v="West Bengal"/>
    <s v="Kolkata"/>
    <x v="3"/>
    <x v="2"/>
    <x v="4"/>
    <x v="43"/>
    <n v="12937.28"/>
    <n v="5"/>
    <x v="3"/>
    <s v="Medium"/>
    <n v="9.0424726062974581E-2"/>
    <x v="51"/>
    <x v="2"/>
  </r>
  <r>
    <s v="ORD10052"/>
    <x v="0"/>
    <x v="2"/>
    <n v="11"/>
    <s v="Q4"/>
    <x v="52"/>
    <d v="2025-11-17T00:00:00"/>
    <s v="C1052"/>
    <x v="52"/>
    <x v="1"/>
    <s v="India"/>
    <s v="West Bengal"/>
    <s v="Kolkata"/>
    <x v="3"/>
    <x v="2"/>
    <x v="6"/>
    <x v="44"/>
    <n v="36522.550000000003"/>
    <n v="3"/>
    <x v="2"/>
    <s v="High"/>
    <n v="0.11088081199149566"/>
    <x v="52"/>
    <x v="1"/>
  </r>
  <r>
    <s v="ORD10053"/>
    <x v="0"/>
    <x v="2"/>
    <n v="11"/>
    <s v="Q4"/>
    <x v="53"/>
    <d v="2025-11-18T00:00:00"/>
    <s v="C1053"/>
    <x v="53"/>
    <x v="0"/>
    <s v="India"/>
    <s v="Karnataka"/>
    <s v="Bengaluru"/>
    <x v="1"/>
    <x v="2"/>
    <x v="6"/>
    <x v="45"/>
    <n v="31060.39"/>
    <n v="8"/>
    <x v="3"/>
    <s v="High"/>
    <n v="2.3129780405204185E-2"/>
    <x v="53"/>
    <x v="0"/>
  </r>
  <r>
    <s v="ORD10054"/>
    <x v="0"/>
    <x v="2"/>
    <n v="11"/>
    <s v="Q4"/>
    <x v="54"/>
    <d v="2025-11-19T00:00:00"/>
    <s v="C1054"/>
    <x v="54"/>
    <x v="2"/>
    <s v="India"/>
    <s v="Haryana"/>
    <s v="Gurugram"/>
    <x v="0"/>
    <x v="2"/>
    <x v="8"/>
    <x v="46"/>
    <n v="37462.94"/>
    <n v="1"/>
    <x v="2"/>
    <s v="High"/>
    <n v="0.29351433710221353"/>
    <x v="54"/>
    <x v="1"/>
  </r>
  <r>
    <s v="ORD10055"/>
    <x v="0"/>
    <x v="2"/>
    <n v="11"/>
    <s v="Q4"/>
    <x v="55"/>
    <d v="2025-11-20T00:00:00"/>
    <s v="C1055"/>
    <x v="55"/>
    <x v="0"/>
    <s v="India"/>
    <s v="Maharashtra"/>
    <s v="Mumbai"/>
    <x v="2"/>
    <x v="0"/>
    <x v="0"/>
    <x v="47"/>
    <n v="15020.31"/>
    <n v="8"/>
    <x v="0"/>
    <s v="Medium"/>
    <n v="-7.9885168814758153E-3"/>
    <x v="55"/>
    <x v="0"/>
  </r>
  <r>
    <s v="ORD10056"/>
    <x v="0"/>
    <x v="2"/>
    <n v="11"/>
    <s v="Q4"/>
    <x v="56"/>
    <d v="2025-11-21T00:00:00"/>
    <s v="C1056"/>
    <x v="56"/>
    <x v="0"/>
    <s v="India"/>
    <s v="West Bengal"/>
    <s v="Kolkata"/>
    <x v="3"/>
    <x v="1"/>
    <x v="1"/>
    <x v="48"/>
    <n v="43902.83"/>
    <n v="8"/>
    <x v="3"/>
    <s v="High"/>
    <n v="1.4344177812683146E-2"/>
    <x v="56"/>
    <x v="3"/>
  </r>
  <r>
    <s v="ORD10057"/>
    <x v="0"/>
    <x v="2"/>
    <n v="11"/>
    <s v="Q4"/>
    <x v="57"/>
    <d v="2025-11-22T00:00:00"/>
    <s v="C1057"/>
    <x v="57"/>
    <x v="1"/>
    <s v="India"/>
    <s v="Karnataka"/>
    <s v="Bengaluru"/>
    <x v="1"/>
    <x v="0"/>
    <x v="0"/>
    <x v="49"/>
    <n v="17498.07"/>
    <n v="3"/>
    <x v="1"/>
    <s v="Medium"/>
    <n v="6.4752855600646239E-2"/>
    <x v="57"/>
    <x v="3"/>
  </r>
  <r>
    <s v="ORD10058"/>
    <x v="0"/>
    <x v="2"/>
    <n v="11"/>
    <s v="Q4"/>
    <x v="58"/>
    <d v="2025-11-23T00:00:00"/>
    <s v="C1058"/>
    <x v="58"/>
    <x v="1"/>
    <s v="India"/>
    <s v="Delhi"/>
    <s v="Delhi"/>
    <x v="0"/>
    <x v="2"/>
    <x v="4"/>
    <x v="50"/>
    <n v="29449.119999999999"/>
    <n v="1"/>
    <x v="2"/>
    <s v="Medium"/>
    <n v="6.6433564058960004E-2"/>
    <x v="58"/>
    <x v="0"/>
  </r>
  <r>
    <s v="ORD10059"/>
    <x v="0"/>
    <x v="2"/>
    <n v="11"/>
    <s v="Q4"/>
    <x v="59"/>
    <d v="2025-11-24T00:00:00"/>
    <s v="C1059"/>
    <x v="59"/>
    <x v="1"/>
    <s v="India"/>
    <s v="Karnataka"/>
    <s v="Bengaluru"/>
    <x v="1"/>
    <x v="0"/>
    <x v="0"/>
    <x v="49"/>
    <n v="23256.93"/>
    <n v="7"/>
    <x v="1"/>
    <s v="Medium"/>
    <n v="7.9240037270611394E-2"/>
    <x v="59"/>
    <x v="2"/>
  </r>
  <r>
    <s v="ORD10060"/>
    <x v="0"/>
    <x v="2"/>
    <n v="11"/>
    <s v="Q4"/>
    <x v="60"/>
    <d v="2025-11-25T00:00:00"/>
    <s v="C1060"/>
    <x v="60"/>
    <x v="1"/>
    <s v="India"/>
    <s v="Haryana"/>
    <s v="Gurugram"/>
    <x v="0"/>
    <x v="0"/>
    <x v="0"/>
    <x v="51"/>
    <n v="19481.23"/>
    <n v="8"/>
    <x v="3"/>
    <s v="Medium"/>
    <n v="0.13827668992152961"/>
    <x v="60"/>
    <x v="0"/>
  </r>
  <r>
    <s v="ORD10061"/>
    <x v="0"/>
    <x v="2"/>
    <n v="11"/>
    <s v="Q4"/>
    <x v="61"/>
    <d v="2025-11-26T00:00:00"/>
    <s v="C1061"/>
    <x v="61"/>
    <x v="2"/>
    <s v="India"/>
    <s v="West Bengal"/>
    <s v="Kolkata"/>
    <x v="3"/>
    <x v="2"/>
    <x v="6"/>
    <x v="8"/>
    <n v="28423.96"/>
    <n v="3"/>
    <x v="3"/>
    <s v="Medium"/>
    <n v="5.7015982290996747E-2"/>
    <x v="61"/>
    <x v="1"/>
  </r>
  <r>
    <s v="ORD10062"/>
    <x v="0"/>
    <x v="2"/>
    <n v="11"/>
    <s v="Q4"/>
    <x v="62"/>
    <d v="2025-11-27T00:00:00"/>
    <s v="C1062"/>
    <x v="62"/>
    <x v="2"/>
    <s v="India"/>
    <s v="Haryana"/>
    <s v="Gurugram"/>
    <x v="0"/>
    <x v="1"/>
    <x v="3"/>
    <x v="52"/>
    <n v="10117.290000000001"/>
    <n v="3"/>
    <x v="0"/>
    <s v="Medium"/>
    <n v="0.18688601394246876"/>
    <x v="62"/>
    <x v="2"/>
  </r>
  <r>
    <s v="ORD10063"/>
    <x v="0"/>
    <x v="2"/>
    <n v="11"/>
    <s v="Q4"/>
    <x v="63"/>
    <d v="2025-11-28T00:00:00"/>
    <s v="C1063"/>
    <x v="63"/>
    <x v="0"/>
    <s v="India"/>
    <s v="Karnataka"/>
    <s v="Bengaluru"/>
    <x v="1"/>
    <x v="0"/>
    <x v="7"/>
    <x v="53"/>
    <n v="8387.43"/>
    <n v="5"/>
    <x v="2"/>
    <s v="Low"/>
    <n v="6.6970454596938511E-2"/>
    <x v="63"/>
    <x v="0"/>
  </r>
  <r>
    <s v="ORD10064"/>
    <x v="0"/>
    <x v="2"/>
    <n v="11"/>
    <s v="Q4"/>
    <x v="64"/>
    <d v="2025-11-29T00:00:00"/>
    <s v="C1064"/>
    <x v="64"/>
    <x v="1"/>
    <s v="India"/>
    <s v="Delhi"/>
    <s v="Delhi"/>
    <x v="0"/>
    <x v="2"/>
    <x v="4"/>
    <x v="18"/>
    <n v="25958.26"/>
    <n v="6"/>
    <x v="0"/>
    <s v="Medium"/>
    <n v="0.17314334627975836"/>
    <x v="64"/>
    <x v="2"/>
  </r>
  <r>
    <s v="ORD10065"/>
    <x v="0"/>
    <x v="2"/>
    <n v="11"/>
    <s v="Q4"/>
    <x v="65"/>
    <d v="2025-11-30T00:00:00"/>
    <s v="C1065"/>
    <x v="65"/>
    <x v="0"/>
    <s v="India"/>
    <s v="West Bengal"/>
    <s v="Kolkata"/>
    <x v="3"/>
    <x v="2"/>
    <x v="4"/>
    <x v="18"/>
    <n v="41040.67"/>
    <n v="2"/>
    <x v="0"/>
    <s v="High"/>
    <n v="0.12943940730012449"/>
    <x v="65"/>
    <x v="0"/>
  </r>
  <r>
    <s v="ORD10066"/>
    <x v="0"/>
    <x v="2"/>
    <n v="11"/>
    <s v="Q4"/>
    <x v="66"/>
    <d v="2025-12-01T00:00:00"/>
    <s v="C1066"/>
    <x v="66"/>
    <x v="1"/>
    <s v="India"/>
    <s v="Maharashtra"/>
    <s v="Mumbai"/>
    <x v="2"/>
    <x v="2"/>
    <x v="8"/>
    <x v="38"/>
    <n v="33239.5"/>
    <n v="2"/>
    <x v="3"/>
    <s v="High"/>
    <n v="0.23593977045382752"/>
    <x v="66"/>
    <x v="3"/>
  </r>
  <r>
    <s v="ORD10067"/>
    <x v="0"/>
    <x v="2"/>
    <n v="11"/>
    <s v="Q4"/>
    <x v="67"/>
    <d v="2025-12-02T00:00:00"/>
    <s v="C1067"/>
    <x v="67"/>
    <x v="2"/>
    <s v="India"/>
    <s v="Haryana"/>
    <s v="Gurugram"/>
    <x v="0"/>
    <x v="2"/>
    <x v="4"/>
    <x v="54"/>
    <n v="37591.11"/>
    <n v="7"/>
    <x v="0"/>
    <s v="High"/>
    <n v="0.18095342223201177"/>
    <x v="67"/>
    <x v="2"/>
  </r>
  <r>
    <s v="ORD10068"/>
    <x v="0"/>
    <x v="2"/>
    <n v="11"/>
    <s v="Q4"/>
    <x v="68"/>
    <d v="2025-12-03T00:00:00"/>
    <s v="C1068"/>
    <x v="68"/>
    <x v="1"/>
    <s v="India"/>
    <s v="Haryana"/>
    <s v="Gurugram"/>
    <x v="0"/>
    <x v="0"/>
    <x v="5"/>
    <x v="30"/>
    <n v="31988.07"/>
    <n v="4"/>
    <x v="3"/>
    <s v="High"/>
    <n v="0.15887548076517277"/>
    <x v="68"/>
    <x v="0"/>
  </r>
  <r>
    <s v="ORD10069"/>
    <x v="0"/>
    <x v="2"/>
    <n v="11"/>
    <s v="Q4"/>
    <x v="69"/>
    <d v="2025-12-04T00:00:00"/>
    <s v="C1069"/>
    <x v="69"/>
    <x v="1"/>
    <s v="India"/>
    <s v="West Bengal"/>
    <s v="Kolkata"/>
    <x v="3"/>
    <x v="0"/>
    <x v="5"/>
    <x v="55"/>
    <n v="14584.43"/>
    <n v="1"/>
    <x v="3"/>
    <s v="Medium"/>
    <n v="0.10210889283982988"/>
    <x v="69"/>
    <x v="0"/>
  </r>
  <r>
    <s v="ORD10070"/>
    <x v="0"/>
    <x v="3"/>
    <n v="12"/>
    <s v="Q4"/>
    <x v="70"/>
    <d v="2025-12-05T00:00:00"/>
    <s v="C1070"/>
    <x v="70"/>
    <x v="2"/>
    <s v="India"/>
    <s v="Maharashtra"/>
    <s v="Mumbai"/>
    <x v="2"/>
    <x v="1"/>
    <x v="2"/>
    <x v="56"/>
    <n v="29434.42"/>
    <n v="7"/>
    <x v="0"/>
    <s v="Medium"/>
    <n v="0.10371531017088159"/>
    <x v="70"/>
    <x v="1"/>
  </r>
  <r>
    <s v="ORD10071"/>
    <x v="0"/>
    <x v="3"/>
    <n v="12"/>
    <s v="Q4"/>
    <x v="71"/>
    <d v="2025-12-06T00:00:00"/>
    <s v="C1071"/>
    <x v="71"/>
    <x v="0"/>
    <s v="India"/>
    <s v="Maharashtra"/>
    <s v="Mumbai"/>
    <x v="2"/>
    <x v="0"/>
    <x v="5"/>
    <x v="57"/>
    <n v="47252.36"/>
    <n v="8"/>
    <x v="1"/>
    <s v="High"/>
    <n v="0.12092560032980364"/>
    <x v="71"/>
    <x v="2"/>
  </r>
  <r>
    <s v="ORD10072"/>
    <x v="0"/>
    <x v="3"/>
    <n v="12"/>
    <s v="Q4"/>
    <x v="72"/>
    <d v="2025-12-07T00:00:00"/>
    <s v="C1072"/>
    <x v="72"/>
    <x v="0"/>
    <s v="India"/>
    <s v="Karnataka"/>
    <s v="Bengaluru"/>
    <x v="1"/>
    <x v="1"/>
    <x v="3"/>
    <x v="58"/>
    <n v="19712.580000000002"/>
    <n v="7"/>
    <x v="2"/>
    <s v="Medium"/>
    <n v="0.19632589950173948"/>
    <x v="72"/>
    <x v="0"/>
  </r>
  <r>
    <s v="ORD10073"/>
    <x v="0"/>
    <x v="3"/>
    <n v="12"/>
    <s v="Q4"/>
    <x v="73"/>
    <d v="2025-12-08T00:00:00"/>
    <s v="C1073"/>
    <x v="73"/>
    <x v="2"/>
    <s v="India"/>
    <s v="Delhi"/>
    <s v="Delhi"/>
    <x v="0"/>
    <x v="2"/>
    <x v="6"/>
    <x v="45"/>
    <n v="599"/>
    <n v="6"/>
    <x v="1"/>
    <s v="Low"/>
    <n v="-3.2370617696160266E-2"/>
    <x v="73"/>
    <x v="0"/>
  </r>
  <r>
    <s v="ORD10074"/>
    <x v="0"/>
    <x v="3"/>
    <n v="12"/>
    <s v="Q4"/>
    <x v="74"/>
    <d v="2025-12-09T00:00:00"/>
    <s v="C1074"/>
    <x v="74"/>
    <x v="0"/>
    <s v="India"/>
    <s v="Karnataka"/>
    <s v="Bengaluru"/>
    <x v="1"/>
    <x v="1"/>
    <x v="3"/>
    <x v="59"/>
    <n v="14340.04"/>
    <n v="5"/>
    <x v="3"/>
    <s v="Medium"/>
    <n v="0.16371084041606576"/>
    <x v="74"/>
    <x v="3"/>
  </r>
  <r>
    <s v="ORD10075"/>
    <x v="0"/>
    <x v="3"/>
    <n v="12"/>
    <s v="Q4"/>
    <x v="75"/>
    <d v="2025-12-10T00:00:00"/>
    <s v="C1075"/>
    <x v="75"/>
    <x v="0"/>
    <s v="India"/>
    <s v="West Bengal"/>
    <s v="Kolkata"/>
    <x v="3"/>
    <x v="1"/>
    <x v="1"/>
    <x v="60"/>
    <n v="14384.05"/>
    <n v="7"/>
    <x v="1"/>
    <s v="Medium"/>
    <n v="3.4351243217313622E-2"/>
    <x v="75"/>
    <x v="2"/>
  </r>
  <r>
    <s v="ORD10076"/>
    <x v="0"/>
    <x v="3"/>
    <n v="12"/>
    <s v="Q4"/>
    <x v="76"/>
    <d v="2025-12-11T00:00:00"/>
    <s v="C1076"/>
    <x v="76"/>
    <x v="0"/>
    <s v="India"/>
    <s v="Delhi"/>
    <s v="Delhi"/>
    <x v="0"/>
    <x v="0"/>
    <x v="7"/>
    <x v="61"/>
    <n v="16318.57"/>
    <n v="8"/>
    <x v="2"/>
    <s v="Medium"/>
    <n v="0.21381652926696396"/>
    <x v="76"/>
    <x v="0"/>
  </r>
  <r>
    <s v="ORD10077"/>
    <x v="0"/>
    <x v="3"/>
    <n v="12"/>
    <s v="Q4"/>
    <x v="77"/>
    <d v="2025-12-12T00:00:00"/>
    <s v="C1077"/>
    <x v="77"/>
    <x v="2"/>
    <s v="India"/>
    <s v="Karnataka"/>
    <s v="Bengaluru"/>
    <x v="1"/>
    <x v="0"/>
    <x v="0"/>
    <x v="62"/>
    <n v="41818.29"/>
    <n v="1"/>
    <x v="2"/>
    <s v="High"/>
    <n v="0.15675772490936382"/>
    <x v="77"/>
    <x v="2"/>
  </r>
  <r>
    <s v="ORD10078"/>
    <x v="0"/>
    <x v="3"/>
    <n v="12"/>
    <s v="Q4"/>
    <x v="78"/>
    <d v="2025-12-13T00:00:00"/>
    <s v="C1078"/>
    <x v="78"/>
    <x v="0"/>
    <s v="India"/>
    <s v="Karnataka"/>
    <s v="Bengaluru"/>
    <x v="1"/>
    <x v="2"/>
    <x v="6"/>
    <x v="63"/>
    <n v="31656.09"/>
    <n v="7"/>
    <x v="1"/>
    <s v="High"/>
    <n v="9.710516996887486E-2"/>
    <x v="78"/>
    <x v="3"/>
  </r>
  <r>
    <s v="ORD10079"/>
    <x v="0"/>
    <x v="3"/>
    <n v="12"/>
    <s v="Q4"/>
    <x v="79"/>
    <d v="2025-12-14T00:00:00"/>
    <s v="C1079"/>
    <x v="79"/>
    <x v="1"/>
    <s v="India"/>
    <s v="West Bengal"/>
    <s v="Kolkata"/>
    <x v="3"/>
    <x v="2"/>
    <x v="6"/>
    <x v="9"/>
    <n v="4908.38"/>
    <n v="5"/>
    <x v="1"/>
    <s v="Low"/>
    <n v="-5.8226950643593201E-3"/>
    <x v="79"/>
    <x v="3"/>
  </r>
  <r>
    <s v="ORD10080"/>
    <x v="0"/>
    <x v="3"/>
    <n v="12"/>
    <s v="Q4"/>
    <x v="80"/>
    <d v="2025-12-15T00:00:00"/>
    <s v="C1080"/>
    <x v="80"/>
    <x v="1"/>
    <s v="India"/>
    <s v="Haryana"/>
    <s v="Gurugram"/>
    <x v="0"/>
    <x v="1"/>
    <x v="3"/>
    <x v="64"/>
    <n v="31381.35"/>
    <n v="2"/>
    <x v="3"/>
    <s v="High"/>
    <n v="0.16304269892786641"/>
    <x v="80"/>
    <x v="2"/>
  </r>
  <r>
    <s v="ORD10081"/>
    <x v="0"/>
    <x v="3"/>
    <n v="12"/>
    <s v="Q4"/>
    <x v="81"/>
    <d v="2025-12-16T00:00:00"/>
    <s v="C1081"/>
    <x v="81"/>
    <x v="0"/>
    <s v="India"/>
    <s v="West Bengal"/>
    <s v="Kolkata"/>
    <x v="3"/>
    <x v="2"/>
    <x v="8"/>
    <x v="65"/>
    <n v="7118.61"/>
    <n v="5"/>
    <x v="2"/>
    <s v="Low"/>
    <n v="0.21245861200430985"/>
    <x v="81"/>
    <x v="3"/>
  </r>
  <r>
    <s v="ORD10082"/>
    <x v="0"/>
    <x v="3"/>
    <n v="12"/>
    <s v="Q4"/>
    <x v="82"/>
    <d v="2025-12-17T00:00:00"/>
    <s v="C1082"/>
    <x v="82"/>
    <x v="1"/>
    <s v="India"/>
    <s v="Haryana"/>
    <s v="Gurugram"/>
    <x v="0"/>
    <x v="2"/>
    <x v="8"/>
    <x v="66"/>
    <n v="4998.6099999999997"/>
    <n v="8"/>
    <x v="3"/>
    <s v="Low"/>
    <n v="5.7083869315669757E-2"/>
    <x v="82"/>
    <x v="1"/>
  </r>
  <r>
    <s v="ORD10083"/>
    <x v="0"/>
    <x v="3"/>
    <n v="12"/>
    <s v="Q4"/>
    <x v="83"/>
    <d v="2025-12-18T00:00:00"/>
    <s v="C1083"/>
    <x v="83"/>
    <x v="1"/>
    <s v="India"/>
    <s v="Haryana"/>
    <s v="Gurugram"/>
    <x v="0"/>
    <x v="2"/>
    <x v="6"/>
    <x v="67"/>
    <n v="32656.71"/>
    <n v="1"/>
    <x v="1"/>
    <s v="High"/>
    <n v="0.14593325537079516"/>
    <x v="83"/>
    <x v="0"/>
  </r>
  <r>
    <s v="ORD10084"/>
    <x v="0"/>
    <x v="3"/>
    <n v="12"/>
    <s v="Q4"/>
    <x v="84"/>
    <d v="2025-12-19T00:00:00"/>
    <s v="C1084"/>
    <x v="84"/>
    <x v="1"/>
    <s v="India"/>
    <s v="West Bengal"/>
    <s v="Kolkata"/>
    <x v="3"/>
    <x v="1"/>
    <x v="3"/>
    <x v="12"/>
    <n v="40163.61"/>
    <n v="1"/>
    <x v="3"/>
    <s v="High"/>
    <n v="6.6690967271119311E-2"/>
    <x v="84"/>
    <x v="1"/>
  </r>
  <r>
    <s v="ORD10085"/>
    <x v="0"/>
    <x v="3"/>
    <n v="12"/>
    <s v="Q4"/>
    <x v="85"/>
    <d v="2025-12-20T00:00:00"/>
    <s v="C1085"/>
    <x v="85"/>
    <x v="0"/>
    <s v="India"/>
    <s v="Karnataka"/>
    <s v="Bengaluru"/>
    <x v="1"/>
    <x v="1"/>
    <x v="1"/>
    <x v="23"/>
    <n v="10579.9"/>
    <n v="1"/>
    <x v="2"/>
    <s v="Medium"/>
    <n v="0.2776812635280107"/>
    <x v="85"/>
    <x v="3"/>
  </r>
  <r>
    <s v="ORD10086"/>
    <x v="0"/>
    <x v="3"/>
    <n v="12"/>
    <s v="Q4"/>
    <x v="86"/>
    <d v="2025-12-21T00:00:00"/>
    <s v="C1086"/>
    <x v="86"/>
    <x v="0"/>
    <s v="India"/>
    <s v="Delhi"/>
    <s v="Delhi"/>
    <x v="0"/>
    <x v="0"/>
    <x v="5"/>
    <x v="41"/>
    <n v="15057.24"/>
    <n v="2"/>
    <x v="3"/>
    <s v="Medium"/>
    <n v="0.10900802537516835"/>
    <x v="86"/>
    <x v="2"/>
  </r>
  <r>
    <s v="ORD10087"/>
    <x v="0"/>
    <x v="3"/>
    <n v="12"/>
    <s v="Q4"/>
    <x v="87"/>
    <d v="2025-12-22T00:00:00"/>
    <s v="C1087"/>
    <x v="87"/>
    <x v="2"/>
    <s v="India"/>
    <s v="Karnataka"/>
    <s v="Bengaluru"/>
    <x v="1"/>
    <x v="1"/>
    <x v="1"/>
    <x v="68"/>
    <n v="12668.44"/>
    <n v="5"/>
    <x v="3"/>
    <s v="Medium"/>
    <n v="0.13352867440663568"/>
    <x v="87"/>
    <x v="1"/>
  </r>
  <r>
    <s v="ORD10088"/>
    <x v="0"/>
    <x v="3"/>
    <n v="12"/>
    <s v="Q4"/>
    <x v="88"/>
    <d v="2025-12-23T00:00:00"/>
    <s v="C1088"/>
    <x v="88"/>
    <x v="0"/>
    <s v="India"/>
    <s v="Karnataka"/>
    <s v="Bengaluru"/>
    <x v="1"/>
    <x v="2"/>
    <x v="4"/>
    <x v="69"/>
    <n v="25536.89"/>
    <n v="1"/>
    <x v="0"/>
    <s v="Medium"/>
    <n v="0.1481589966515108"/>
    <x v="88"/>
    <x v="1"/>
  </r>
  <r>
    <s v="ORD10089"/>
    <x v="0"/>
    <x v="3"/>
    <n v="12"/>
    <s v="Q4"/>
    <x v="89"/>
    <d v="2025-12-24T00:00:00"/>
    <s v="C1089"/>
    <x v="89"/>
    <x v="1"/>
    <s v="India"/>
    <s v="Karnataka"/>
    <s v="Bengaluru"/>
    <x v="1"/>
    <x v="1"/>
    <x v="2"/>
    <x v="70"/>
    <n v="23306.84"/>
    <n v="8"/>
    <x v="1"/>
    <s v="Medium"/>
    <n v="0.15262601021845948"/>
    <x v="89"/>
    <x v="3"/>
  </r>
  <r>
    <s v="ORD10090"/>
    <x v="0"/>
    <x v="3"/>
    <n v="12"/>
    <s v="Q4"/>
    <x v="90"/>
    <d v="2025-12-25T00:00:00"/>
    <s v="C1090"/>
    <x v="90"/>
    <x v="0"/>
    <s v="India"/>
    <s v="West Bengal"/>
    <s v="Kolkata"/>
    <x v="3"/>
    <x v="2"/>
    <x v="6"/>
    <x v="71"/>
    <n v="22953.71"/>
    <n v="2"/>
    <x v="2"/>
    <s v="Medium"/>
    <n v="0.27589091262371096"/>
    <x v="90"/>
    <x v="2"/>
  </r>
  <r>
    <s v="ORD10091"/>
    <x v="0"/>
    <x v="3"/>
    <n v="12"/>
    <s v="Q4"/>
    <x v="91"/>
    <d v="2025-12-26T00:00:00"/>
    <s v="C1091"/>
    <x v="91"/>
    <x v="0"/>
    <s v="India"/>
    <s v="Delhi"/>
    <s v="Delhi"/>
    <x v="0"/>
    <x v="2"/>
    <x v="8"/>
    <x v="72"/>
    <n v="28875.22"/>
    <n v="8"/>
    <x v="2"/>
    <s v="Medium"/>
    <n v="8.9357241260845807E-2"/>
    <x v="91"/>
    <x v="3"/>
  </r>
  <r>
    <s v="ORD10092"/>
    <x v="0"/>
    <x v="3"/>
    <n v="12"/>
    <s v="Q4"/>
    <x v="92"/>
    <d v="2025-12-27T00:00:00"/>
    <s v="C1092"/>
    <x v="92"/>
    <x v="2"/>
    <s v="India"/>
    <s v="Karnataka"/>
    <s v="Bengaluru"/>
    <x v="1"/>
    <x v="0"/>
    <x v="0"/>
    <x v="73"/>
    <n v="39562.94"/>
    <n v="3"/>
    <x v="2"/>
    <s v="High"/>
    <n v="8.9257269555801461E-2"/>
    <x v="92"/>
    <x v="2"/>
  </r>
  <r>
    <s v="ORD10093"/>
    <x v="0"/>
    <x v="3"/>
    <n v="12"/>
    <s v="Q4"/>
    <x v="93"/>
    <d v="2025-12-28T00:00:00"/>
    <s v="C1093"/>
    <x v="93"/>
    <x v="0"/>
    <s v="India"/>
    <s v="Haryana"/>
    <s v="Gurugram"/>
    <x v="0"/>
    <x v="2"/>
    <x v="8"/>
    <x v="74"/>
    <n v="17115.14"/>
    <n v="8"/>
    <x v="2"/>
    <s v="Medium"/>
    <n v="0.27056804677028645"/>
    <x v="93"/>
    <x v="3"/>
  </r>
  <r>
    <s v="ORD10094"/>
    <x v="0"/>
    <x v="3"/>
    <n v="12"/>
    <s v="Q4"/>
    <x v="94"/>
    <d v="2025-12-29T00:00:00"/>
    <s v="C1094"/>
    <x v="94"/>
    <x v="0"/>
    <s v="India"/>
    <s v="West Bengal"/>
    <s v="Kolkata"/>
    <x v="3"/>
    <x v="1"/>
    <x v="1"/>
    <x v="75"/>
    <n v="31110.11"/>
    <n v="1"/>
    <x v="1"/>
    <s v="High"/>
    <n v="1.477686835565673E-2"/>
    <x v="94"/>
    <x v="2"/>
  </r>
  <r>
    <s v="ORD10095"/>
    <x v="0"/>
    <x v="3"/>
    <n v="12"/>
    <s v="Q4"/>
    <x v="95"/>
    <d v="2025-12-30T00:00:00"/>
    <s v="C1095"/>
    <x v="95"/>
    <x v="1"/>
    <s v="India"/>
    <s v="Delhi"/>
    <s v="Delhi"/>
    <x v="0"/>
    <x v="0"/>
    <x v="7"/>
    <x v="76"/>
    <n v="31131.9"/>
    <n v="8"/>
    <x v="3"/>
    <s v="High"/>
    <n v="9.0165071839495819E-2"/>
    <x v="95"/>
    <x v="3"/>
  </r>
  <r>
    <s v="ORD10096"/>
    <x v="0"/>
    <x v="3"/>
    <n v="12"/>
    <s v="Q4"/>
    <x v="96"/>
    <d v="2025-12-31T00:00:00"/>
    <s v="C1096"/>
    <x v="96"/>
    <x v="0"/>
    <s v="India"/>
    <s v="West Bengal"/>
    <s v="Kolkata"/>
    <x v="3"/>
    <x v="2"/>
    <x v="4"/>
    <x v="77"/>
    <n v="40008.720000000001"/>
    <n v="7"/>
    <x v="1"/>
    <s v="High"/>
    <n v="0.11305435415079512"/>
    <x v="96"/>
    <x v="0"/>
  </r>
  <r>
    <s v="ORD10097"/>
    <x v="0"/>
    <x v="3"/>
    <n v="12"/>
    <s v="Q4"/>
    <x v="97"/>
    <d v="2026-01-01T00:00:00"/>
    <s v="C1097"/>
    <x v="97"/>
    <x v="0"/>
    <s v="India"/>
    <s v="Delhi"/>
    <s v="Delhi"/>
    <x v="0"/>
    <x v="1"/>
    <x v="3"/>
    <x v="52"/>
    <n v="16432.21"/>
    <n v="2"/>
    <x v="1"/>
    <s v="Medium"/>
    <n v="5.9048052574790608E-2"/>
    <x v="97"/>
    <x v="0"/>
  </r>
  <r>
    <s v="ORD10098"/>
    <x v="0"/>
    <x v="3"/>
    <n v="12"/>
    <s v="Q4"/>
    <x v="98"/>
    <d v="2026-01-02T00:00:00"/>
    <s v="C1098"/>
    <x v="98"/>
    <x v="2"/>
    <s v="India"/>
    <s v="Haryana"/>
    <s v="Gurugram"/>
    <x v="0"/>
    <x v="1"/>
    <x v="2"/>
    <x v="78"/>
    <n v="26581.1"/>
    <n v="7"/>
    <x v="1"/>
    <s v="Medium"/>
    <n v="6.7219565781702045E-2"/>
    <x v="98"/>
    <x v="3"/>
  </r>
  <r>
    <s v="ORD10099"/>
    <x v="0"/>
    <x v="3"/>
    <n v="12"/>
    <s v="Q4"/>
    <x v="99"/>
    <d v="2026-01-03T00:00:00"/>
    <s v="C1099"/>
    <x v="99"/>
    <x v="1"/>
    <s v="India"/>
    <s v="West Bengal"/>
    <s v="Kolkata"/>
    <x v="3"/>
    <x v="2"/>
    <x v="8"/>
    <x v="38"/>
    <n v="11628.5"/>
    <n v="1"/>
    <x v="1"/>
    <s v="Medium"/>
    <n v="5.3208066388614181E-2"/>
    <x v="99"/>
    <x v="0"/>
  </r>
  <r>
    <s v="ORD10100"/>
    <x v="0"/>
    <x v="3"/>
    <n v="12"/>
    <s v="Q4"/>
    <x v="100"/>
    <d v="2026-01-04T00:00:00"/>
    <s v="C1100"/>
    <x v="100"/>
    <x v="0"/>
    <s v="India"/>
    <s v="Haryana"/>
    <s v="Gurugram"/>
    <x v="0"/>
    <x v="0"/>
    <x v="7"/>
    <x v="79"/>
    <n v="30532.15"/>
    <n v="5"/>
    <x v="2"/>
    <s v="High"/>
    <n v="0.20703455210327473"/>
    <x v="100"/>
    <x v="0"/>
  </r>
  <r>
    <s v="ORD10101"/>
    <x v="1"/>
    <x v="4"/>
    <n v="1"/>
    <s v="Q1"/>
    <x v="101"/>
    <d v="2026-01-05T00:00:00"/>
    <s v="C1101"/>
    <x v="101"/>
    <x v="1"/>
    <s v="India"/>
    <s v="Delhi"/>
    <s v="Delhi"/>
    <x v="0"/>
    <x v="2"/>
    <x v="6"/>
    <x v="8"/>
    <n v="1899.05"/>
    <n v="5"/>
    <x v="1"/>
    <s v="Low"/>
    <n v="2.4380611358310734E-3"/>
    <x v="101"/>
    <x v="3"/>
  </r>
  <r>
    <s v="ORD10102"/>
    <x v="1"/>
    <x v="4"/>
    <n v="1"/>
    <s v="Q1"/>
    <x v="102"/>
    <d v="2026-01-06T00:00:00"/>
    <s v="C1102"/>
    <x v="102"/>
    <x v="0"/>
    <s v="India"/>
    <s v="Maharashtra"/>
    <s v="Mumbai"/>
    <x v="2"/>
    <x v="1"/>
    <x v="1"/>
    <x v="75"/>
    <n v="41123.800000000003"/>
    <n v="5"/>
    <x v="0"/>
    <s v="High"/>
    <n v="0.19231807371886839"/>
    <x v="102"/>
    <x v="0"/>
  </r>
  <r>
    <s v="ORD10103"/>
    <x v="1"/>
    <x v="4"/>
    <n v="1"/>
    <s v="Q1"/>
    <x v="103"/>
    <d v="2026-01-07T00:00:00"/>
    <s v="C1103"/>
    <x v="103"/>
    <x v="0"/>
    <s v="India"/>
    <s v="Maharashtra"/>
    <s v="Mumbai"/>
    <x v="2"/>
    <x v="0"/>
    <x v="5"/>
    <x v="57"/>
    <n v="39672.33"/>
    <n v="6"/>
    <x v="0"/>
    <s v="High"/>
    <n v="-2.4646901253342061E-2"/>
    <x v="103"/>
    <x v="1"/>
  </r>
  <r>
    <s v="ORD10104"/>
    <x v="1"/>
    <x v="4"/>
    <n v="1"/>
    <s v="Q1"/>
    <x v="104"/>
    <d v="2026-01-08T00:00:00"/>
    <s v="C1104"/>
    <x v="104"/>
    <x v="1"/>
    <s v="India"/>
    <s v="Delhi"/>
    <s v="Delhi"/>
    <x v="0"/>
    <x v="0"/>
    <x v="5"/>
    <x v="30"/>
    <n v="5016.84"/>
    <n v="8"/>
    <x v="2"/>
    <s v="Low"/>
    <n v="9.4228637947393182E-2"/>
    <x v="104"/>
    <x v="3"/>
  </r>
  <r>
    <s v="ORD10105"/>
    <x v="1"/>
    <x v="4"/>
    <n v="1"/>
    <s v="Q1"/>
    <x v="105"/>
    <d v="2026-01-09T00:00:00"/>
    <s v="C1105"/>
    <x v="105"/>
    <x v="2"/>
    <s v="India"/>
    <s v="Karnataka"/>
    <s v="Bengaluru"/>
    <x v="1"/>
    <x v="0"/>
    <x v="0"/>
    <x v="80"/>
    <n v="7121.01"/>
    <n v="1"/>
    <x v="1"/>
    <s v="Low"/>
    <n v="-2.6629649445794906E-2"/>
    <x v="105"/>
    <x v="3"/>
  </r>
  <r>
    <s v="ORD10106"/>
    <x v="1"/>
    <x v="4"/>
    <n v="1"/>
    <s v="Q1"/>
    <x v="106"/>
    <d v="2026-01-10T00:00:00"/>
    <s v="C1106"/>
    <x v="106"/>
    <x v="1"/>
    <s v="India"/>
    <s v="Delhi"/>
    <s v="Delhi"/>
    <x v="0"/>
    <x v="2"/>
    <x v="8"/>
    <x v="81"/>
    <n v="654.21"/>
    <n v="6"/>
    <x v="2"/>
    <s v="Low"/>
    <n v="0.23874596841992632"/>
    <x v="106"/>
    <x v="1"/>
  </r>
  <r>
    <s v="ORD10107"/>
    <x v="1"/>
    <x v="4"/>
    <n v="1"/>
    <s v="Q1"/>
    <x v="107"/>
    <d v="2026-01-11T00:00:00"/>
    <s v="C1107"/>
    <x v="107"/>
    <x v="2"/>
    <s v="India"/>
    <s v="Haryana"/>
    <s v="Gurugram"/>
    <x v="0"/>
    <x v="1"/>
    <x v="2"/>
    <x v="13"/>
    <n v="21900.22"/>
    <n v="8"/>
    <x v="2"/>
    <s v="Medium"/>
    <n v="0.12077869537383641"/>
    <x v="107"/>
    <x v="2"/>
  </r>
  <r>
    <s v="ORD10108"/>
    <x v="1"/>
    <x v="4"/>
    <n v="1"/>
    <s v="Q1"/>
    <x v="108"/>
    <d v="2026-01-12T00:00:00"/>
    <s v="C1108"/>
    <x v="108"/>
    <x v="2"/>
    <s v="India"/>
    <s v="Karnataka"/>
    <s v="Bengaluru"/>
    <x v="1"/>
    <x v="1"/>
    <x v="1"/>
    <x v="82"/>
    <n v="31346.65"/>
    <n v="1"/>
    <x v="3"/>
    <s v="High"/>
    <n v="0.18700594800401318"/>
    <x v="108"/>
    <x v="3"/>
  </r>
  <r>
    <s v="ORD10109"/>
    <x v="1"/>
    <x v="4"/>
    <n v="1"/>
    <s v="Q1"/>
    <x v="109"/>
    <d v="2026-01-13T00:00:00"/>
    <s v="C1109"/>
    <x v="109"/>
    <x v="2"/>
    <s v="India"/>
    <s v="Maharashtra"/>
    <s v="Mumbai"/>
    <x v="2"/>
    <x v="2"/>
    <x v="6"/>
    <x v="67"/>
    <n v="34485.93"/>
    <n v="6"/>
    <x v="0"/>
    <s v="High"/>
    <n v="0.19131077514800962"/>
    <x v="109"/>
    <x v="3"/>
  </r>
  <r>
    <s v="ORD10110"/>
    <x v="1"/>
    <x v="4"/>
    <n v="1"/>
    <s v="Q1"/>
    <x v="110"/>
    <d v="2026-01-14T00:00:00"/>
    <s v="C1110"/>
    <x v="110"/>
    <x v="1"/>
    <s v="India"/>
    <s v="West Bengal"/>
    <s v="Kolkata"/>
    <x v="3"/>
    <x v="2"/>
    <x v="8"/>
    <x v="83"/>
    <n v="3290.37"/>
    <n v="6"/>
    <x v="1"/>
    <s v="Low"/>
    <n v="-2.4267787513258386E-2"/>
    <x v="110"/>
    <x v="3"/>
  </r>
  <r>
    <s v="ORD10111"/>
    <x v="1"/>
    <x v="4"/>
    <n v="1"/>
    <s v="Q1"/>
    <x v="111"/>
    <d v="2026-01-15T00:00:00"/>
    <s v="C1111"/>
    <x v="111"/>
    <x v="0"/>
    <s v="India"/>
    <s v="Karnataka"/>
    <s v="Bengaluru"/>
    <x v="1"/>
    <x v="0"/>
    <x v="5"/>
    <x v="7"/>
    <n v="27220.48"/>
    <n v="1"/>
    <x v="0"/>
    <s v="Medium"/>
    <n v="5.5353909997178596E-2"/>
    <x v="111"/>
    <x v="2"/>
  </r>
  <r>
    <s v="ORD10112"/>
    <x v="1"/>
    <x v="4"/>
    <n v="1"/>
    <s v="Q1"/>
    <x v="112"/>
    <d v="2026-01-16T00:00:00"/>
    <s v="C1112"/>
    <x v="112"/>
    <x v="2"/>
    <s v="India"/>
    <s v="Maharashtra"/>
    <s v="Mumbai"/>
    <x v="2"/>
    <x v="1"/>
    <x v="2"/>
    <x v="84"/>
    <n v="37973.440000000002"/>
    <n v="7"/>
    <x v="0"/>
    <s v="High"/>
    <n v="0.10524724649649859"/>
    <x v="112"/>
    <x v="3"/>
  </r>
  <r>
    <s v="ORD10113"/>
    <x v="1"/>
    <x v="4"/>
    <n v="1"/>
    <s v="Q1"/>
    <x v="113"/>
    <d v="2026-01-17T00:00:00"/>
    <s v="C1113"/>
    <x v="113"/>
    <x v="0"/>
    <s v="India"/>
    <s v="Delhi"/>
    <s v="Delhi"/>
    <x v="0"/>
    <x v="1"/>
    <x v="1"/>
    <x v="75"/>
    <n v="11322.24"/>
    <n v="4"/>
    <x v="3"/>
    <s v="Medium"/>
    <n v="0.17287215250692442"/>
    <x v="113"/>
    <x v="3"/>
  </r>
  <r>
    <s v="ORD10114"/>
    <x v="1"/>
    <x v="4"/>
    <n v="1"/>
    <s v="Q1"/>
    <x v="114"/>
    <d v="2026-01-18T00:00:00"/>
    <s v="C1114"/>
    <x v="114"/>
    <x v="2"/>
    <s v="India"/>
    <s v="West Bengal"/>
    <s v="Kolkata"/>
    <x v="3"/>
    <x v="2"/>
    <x v="4"/>
    <x v="85"/>
    <n v="41449.9"/>
    <n v="7"/>
    <x v="3"/>
    <s v="High"/>
    <n v="8.5057623781963285E-2"/>
    <x v="114"/>
    <x v="3"/>
  </r>
  <r>
    <s v="ORD10115"/>
    <x v="1"/>
    <x v="4"/>
    <n v="1"/>
    <s v="Q1"/>
    <x v="115"/>
    <d v="2026-01-19T00:00:00"/>
    <s v="C1115"/>
    <x v="115"/>
    <x v="1"/>
    <s v="India"/>
    <s v="Haryana"/>
    <s v="Gurugram"/>
    <x v="0"/>
    <x v="0"/>
    <x v="7"/>
    <x v="86"/>
    <n v="32476.37"/>
    <n v="8"/>
    <x v="2"/>
    <s v="High"/>
    <n v="0.19114112814948223"/>
    <x v="115"/>
    <x v="2"/>
  </r>
  <r>
    <s v="ORD10116"/>
    <x v="1"/>
    <x v="4"/>
    <n v="1"/>
    <s v="Q1"/>
    <x v="116"/>
    <d v="2026-01-20T00:00:00"/>
    <s v="C1116"/>
    <x v="116"/>
    <x v="2"/>
    <s v="India"/>
    <s v="West Bengal"/>
    <s v="Kolkata"/>
    <x v="3"/>
    <x v="2"/>
    <x v="6"/>
    <x v="87"/>
    <n v="14048.28"/>
    <n v="8"/>
    <x v="2"/>
    <s v="Medium"/>
    <n v="0.12996537654431717"/>
    <x v="116"/>
    <x v="3"/>
  </r>
  <r>
    <s v="ORD10117"/>
    <x v="1"/>
    <x v="4"/>
    <n v="1"/>
    <s v="Q1"/>
    <x v="117"/>
    <d v="2026-01-21T00:00:00"/>
    <s v="C1117"/>
    <x v="117"/>
    <x v="0"/>
    <s v="India"/>
    <s v="Karnataka"/>
    <s v="Bengaluru"/>
    <x v="1"/>
    <x v="0"/>
    <x v="0"/>
    <x v="88"/>
    <n v="28209.79"/>
    <n v="6"/>
    <x v="3"/>
    <s v="Medium"/>
    <n v="6.4216713417575955E-2"/>
    <x v="117"/>
    <x v="0"/>
  </r>
  <r>
    <s v="ORD10118"/>
    <x v="1"/>
    <x v="4"/>
    <n v="1"/>
    <s v="Q1"/>
    <x v="118"/>
    <d v="2026-01-22T00:00:00"/>
    <s v="C1118"/>
    <x v="118"/>
    <x v="1"/>
    <s v="India"/>
    <s v="Delhi"/>
    <s v="Delhi"/>
    <x v="0"/>
    <x v="1"/>
    <x v="3"/>
    <x v="59"/>
    <n v="41716.79"/>
    <n v="1"/>
    <x v="3"/>
    <s v="High"/>
    <n v="2.6752537767167607E-2"/>
    <x v="118"/>
    <x v="3"/>
  </r>
  <r>
    <s v="ORD10119"/>
    <x v="1"/>
    <x v="4"/>
    <n v="1"/>
    <s v="Q1"/>
    <x v="119"/>
    <d v="2026-01-23T00:00:00"/>
    <s v="C1119"/>
    <x v="119"/>
    <x v="0"/>
    <s v="India"/>
    <s v="Haryana"/>
    <s v="Gurugram"/>
    <x v="0"/>
    <x v="2"/>
    <x v="8"/>
    <x v="74"/>
    <n v="30746.44"/>
    <n v="7"/>
    <x v="3"/>
    <s v="High"/>
    <n v="0.1990884147888341"/>
    <x v="119"/>
    <x v="0"/>
  </r>
  <r>
    <s v="ORD10120"/>
    <x v="1"/>
    <x v="4"/>
    <n v="1"/>
    <s v="Q1"/>
    <x v="120"/>
    <d v="2026-01-24T00:00:00"/>
    <s v="C1120"/>
    <x v="120"/>
    <x v="1"/>
    <s v="India"/>
    <s v="Haryana"/>
    <s v="Gurugram"/>
    <x v="0"/>
    <x v="0"/>
    <x v="7"/>
    <x v="89"/>
    <n v="6744.59"/>
    <n v="6"/>
    <x v="1"/>
    <s v="Low"/>
    <n v="-3.4590686757831092E-2"/>
    <x v="120"/>
    <x v="0"/>
  </r>
  <r>
    <s v="ORD10121"/>
    <x v="1"/>
    <x v="4"/>
    <n v="1"/>
    <s v="Q1"/>
    <x v="121"/>
    <d v="2026-01-25T00:00:00"/>
    <s v="C1121"/>
    <x v="121"/>
    <x v="1"/>
    <s v="India"/>
    <s v="Karnataka"/>
    <s v="Bengaluru"/>
    <x v="1"/>
    <x v="0"/>
    <x v="5"/>
    <x v="90"/>
    <n v="20086.93"/>
    <n v="4"/>
    <x v="2"/>
    <s v="Medium"/>
    <n v="0.20328044156075617"/>
    <x v="121"/>
    <x v="3"/>
  </r>
  <r>
    <s v="ORD10122"/>
    <x v="1"/>
    <x v="4"/>
    <n v="1"/>
    <s v="Q1"/>
    <x v="122"/>
    <d v="2026-01-26T00:00:00"/>
    <s v="C1122"/>
    <x v="122"/>
    <x v="2"/>
    <s v="India"/>
    <s v="Haryana"/>
    <s v="Gurugram"/>
    <x v="0"/>
    <x v="0"/>
    <x v="0"/>
    <x v="91"/>
    <n v="24562.38"/>
    <n v="1"/>
    <x v="2"/>
    <s v="Medium"/>
    <n v="0.22805281898578234"/>
    <x v="122"/>
    <x v="3"/>
  </r>
  <r>
    <s v="ORD10123"/>
    <x v="1"/>
    <x v="4"/>
    <n v="1"/>
    <s v="Q1"/>
    <x v="123"/>
    <d v="2026-01-27T00:00:00"/>
    <s v="C1123"/>
    <x v="123"/>
    <x v="1"/>
    <s v="India"/>
    <s v="Maharashtra"/>
    <s v="Mumbai"/>
    <x v="2"/>
    <x v="0"/>
    <x v="7"/>
    <x v="86"/>
    <n v="21906.37"/>
    <n v="6"/>
    <x v="0"/>
    <s v="Medium"/>
    <n v="0.13556148280157782"/>
    <x v="123"/>
    <x v="3"/>
  </r>
  <r>
    <s v="ORD10124"/>
    <x v="1"/>
    <x v="4"/>
    <n v="1"/>
    <s v="Q1"/>
    <x v="124"/>
    <d v="2026-01-28T00:00:00"/>
    <s v="C1124"/>
    <x v="124"/>
    <x v="1"/>
    <s v="India"/>
    <s v="Haryana"/>
    <s v="Gurugram"/>
    <x v="0"/>
    <x v="2"/>
    <x v="4"/>
    <x v="18"/>
    <n v="25403.59"/>
    <n v="3"/>
    <x v="1"/>
    <s v="Medium"/>
    <n v="-5.8029199809948126E-2"/>
    <x v="124"/>
    <x v="0"/>
  </r>
  <r>
    <s v="ORD10125"/>
    <x v="1"/>
    <x v="4"/>
    <n v="1"/>
    <s v="Q1"/>
    <x v="125"/>
    <d v="2026-01-29T00:00:00"/>
    <s v="C1125"/>
    <x v="125"/>
    <x v="0"/>
    <s v="India"/>
    <s v="Haryana"/>
    <s v="Gurugram"/>
    <x v="0"/>
    <x v="2"/>
    <x v="4"/>
    <x v="43"/>
    <n v="36325.699999999997"/>
    <n v="8"/>
    <x v="1"/>
    <s v="High"/>
    <n v="0.1488081440963285"/>
    <x v="125"/>
    <x v="2"/>
  </r>
  <r>
    <s v="ORD10126"/>
    <x v="1"/>
    <x v="4"/>
    <n v="1"/>
    <s v="Q1"/>
    <x v="126"/>
    <d v="2026-01-30T00:00:00"/>
    <s v="C1126"/>
    <x v="126"/>
    <x v="1"/>
    <s v="India"/>
    <s v="West Bengal"/>
    <s v="Kolkata"/>
    <x v="3"/>
    <x v="2"/>
    <x v="4"/>
    <x v="50"/>
    <n v="28195.02"/>
    <n v="1"/>
    <x v="0"/>
    <s v="Medium"/>
    <n v="0.17171578526988099"/>
    <x v="126"/>
    <x v="3"/>
  </r>
  <r>
    <s v="ORD10127"/>
    <x v="1"/>
    <x v="4"/>
    <n v="1"/>
    <s v="Q1"/>
    <x v="127"/>
    <d v="2026-01-31T00:00:00"/>
    <s v="C1127"/>
    <x v="127"/>
    <x v="2"/>
    <s v="India"/>
    <s v="Haryana"/>
    <s v="Gurugram"/>
    <x v="0"/>
    <x v="2"/>
    <x v="8"/>
    <x v="92"/>
    <n v="20850.88"/>
    <n v="3"/>
    <x v="0"/>
    <s v="Medium"/>
    <n v="0.20799505824214612"/>
    <x v="127"/>
    <x v="3"/>
  </r>
  <r>
    <s v="ORD10128"/>
    <x v="1"/>
    <x v="4"/>
    <n v="1"/>
    <s v="Q1"/>
    <x v="128"/>
    <d v="2026-02-01T00:00:00"/>
    <s v="C1128"/>
    <x v="128"/>
    <x v="0"/>
    <s v="India"/>
    <s v="Maharashtra"/>
    <s v="Mumbai"/>
    <x v="2"/>
    <x v="1"/>
    <x v="2"/>
    <x v="19"/>
    <n v="19946.96"/>
    <n v="8"/>
    <x v="0"/>
    <s v="Medium"/>
    <n v="8.9770571555765899E-2"/>
    <x v="128"/>
    <x v="3"/>
  </r>
  <r>
    <s v="ORD10129"/>
    <x v="1"/>
    <x v="4"/>
    <n v="1"/>
    <s v="Q1"/>
    <x v="129"/>
    <d v="2026-02-02T00:00:00"/>
    <s v="C1129"/>
    <x v="129"/>
    <x v="1"/>
    <s v="India"/>
    <s v="Delhi"/>
    <s v="Delhi"/>
    <x v="0"/>
    <x v="2"/>
    <x v="6"/>
    <x v="93"/>
    <n v="46794.09"/>
    <n v="1"/>
    <x v="2"/>
    <s v="High"/>
    <n v="0.22225413508415273"/>
    <x v="129"/>
    <x v="1"/>
  </r>
  <r>
    <s v="ORD10130"/>
    <x v="1"/>
    <x v="4"/>
    <n v="1"/>
    <s v="Q1"/>
    <x v="130"/>
    <d v="2026-02-03T00:00:00"/>
    <s v="C1130"/>
    <x v="130"/>
    <x v="2"/>
    <s v="India"/>
    <s v="Delhi"/>
    <s v="Delhi"/>
    <x v="0"/>
    <x v="2"/>
    <x v="8"/>
    <x v="94"/>
    <n v="38413.050000000003"/>
    <n v="1"/>
    <x v="1"/>
    <s v="High"/>
    <n v="8.6092616962204244E-2"/>
    <x v="130"/>
    <x v="3"/>
  </r>
  <r>
    <s v="ORD10131"/>
    <x v="1"/>
    <x v="4"/>
    <n v="1"/>
    <s v="Q1"/>
    <x v="131"/>
    <d v="2026-02-04T00:00:00"/>
    <s v="C1131"/>
    <x v="131"/>
    <x v="0"/>
    <s v="India"/>
    <s v="Karnataka"/>
    <s v="Bengaluru"/>
    <x v="1"/>
    <x v="2"/>
    <x v="4"/>
    <x v="95"/>
    <n v="25980.3"/>
    <n v="8"/>
    <x v="2"/>
    <s v="Medium"/>
    <n v="6.609238538431042E-2"/>
    <x v="131"/>
    <x v="0"/>
  </r>
  <r>
    <s v="ORD10132"/>
    <x v="1"/>
    <x v="5"/>
    <n v="2"/>
    <s v="Q1"/>
    <x v="132"/>
    <d v="2026-02-05T00:00:00"/>
    <s v="C1132"/>
    <x v="132"/>
    <x v="0"/>
    <s v="India"/>
    <s v="Haryana"/>
    <s v="Gurugram"/>
    <x v="0"/>
    <x v="0"/>
    <x v="5"/>
    <x v="20"/>
    <n v="45013.14"/>
    <n v="7"/>
    <x v="2"/>
    <s v="High"/>
    <n v="8.8035182615565144E-2"/>
    <x v="132"/>
    <x v="3"/>
  </r>
  <r>
    <s v="ORD10133"/>
    <x v="1"/>
    <x v="5"/>
    <n v="2"/>
    <s v="Q1"/>
    <x v="133"/>
    <d v="2026-02-06T00:00:00"/>
    <s v="C1133"/>
    <x v="133"/>
    <x v="2"/>
    <s v="India"/>
    <s v="Karnataka"/>
    <s v="Bengaluru"/>
    <x v="1"/>
    <x v="2"/>
    <x v="4"/>
    <x v="96"/>
    <n v="12319.85"/>
    <n v="6"/>
    <x v="1"/>
    <s v="Medium"/>
    <n v="0.16289727553501057"/>
    <x v="133"/>
    <x v="0"/>
  </r>
  <r>
    <s v="ORD10134"/>
    <x v="1"/>
    <x v="5"/>
    <n v="2"/>
    <s v="Q1"/>
    <x v="134"/>
    <d v="2026-02-07T00:00:00"/>
    <s v="C1134"/>
    <x v="134"/>
    <x v="2"/>
    <s v="India"/>
    <s v="Maharashtra"/>
    <s v="Mumbai"/>
    <x v="2"/>
    <x v="2"/>
    <x v="4"/>
    <x v="95"/>
    <n v="47973.25"/>
    <n v="6"/>
    <x v="3"/>
    <s v="High"/>
    <n v="1.669743033878255E-2"/>
    <x v="134"/>
    <x v="2"/>
  </r>
  <r>
    <s v="ORD10135"/>
    <x v="1"/>
    <x v="5"/>
    <n v="2"/>
    <s v="Q1"/>
    <x v="135"/>
    <d v="2026-02-08T00:00:00"/>
    <s v="C1135"/>
    <x v="135"/>
    <x v="1"/>
    <s v="India"/>
    <s v="West Bengal"/>
    <s v="Kolkata"/>
    <x v="3"/>
    <x v="0"/>
    <x v="0"/>
    <x v="73"/>
    <n v="37293.11"/>
    <n v="7"/>
    <x v="3"/>
    <s v="High"/>
    <n v="0.13463773871366588"/>
    <x v="135"/>
    <x v="0"/>
  </r>
  <r>
    <s v="ORD10136"/>
    <x v="1"/>
    <x v="5"/>
    <n v="2"/>
    <s v="Q1"/>
    <x v="136"/>
    <d v="2026-02-09T00:00:00"/>
    <s v="C1136"/>
    <x v="136"/>
    <x v="1"/>
    <s v="India"/>
    <s v="West Bengal"/>
    <s v="Kolkata"/>
    <x v="3"/>
    <x v="0"/>
    <x v="7"/>
    <x v="97"/>
    <n v="44251.1"/>
    <n v="2"/>
    <x v="1"/>
    <s v="High"/>
    <n v="7.7399205895446665E-3"/>
    <x v="136"/>
    <x v="0"/>
  </r>
  <r>
    <s v="ORD10137"/>
    <x v="1"/>
    <x v="5"/>
    <n v="2"/>
    <s v="Q1"/>
    <x v="137"/>
    <d v="2026-02-10T00:00:00"/>
    <s v="C1137"/>
    <x v="137"/>
    <x v="1"/>
    <s v="India"/>
    <s v="West Bengal"/>
    <s v="Kolkata"/>
    <x v="3"/>
    <x v="1"/>
    <x v="2"/>
    <x v="98"/>
    <n v="49321.36"/>
    <n v="3"/>
    <x v="3"/>
    <s v="High"/>
    <n v="0.12868136645056016"/>
    <x v="137"/>
    <x v="2"/>
  </r>
  <r>
    <s v="ORD10138"/>
    <x v="1"/>
    <x v="5"/>
    <n v="2"/>
    <s v="Q1"/>
    <x v="138"/>
    <d v="2026-02-11T00:00:00"/>
    <s v="C1138"/>
    <x v="138"/>
    <x v="0"/>
    <s v="India"/>
    <s v="Haryana"/>
    <s v="Gurugram"/>
    <x v="0"/>
    <x v="2"/>
    <x v="8"/>
    <x v="29"/>
    <n v="31223.43"/>
    <n v="4"/>
    <x v="2"/>
    <s v="High"/>
    <n v="0.10062283355800436"/>
    <x v="138"/>
    <x v="0"/>
  </r>
  <r>
    <s v="ORD10139"/>
    <x v="1"/>
    <x v="5"/>
    <n v="2"/>
    <s v="Q1"/>
    <x v="139"/>
    <d v="2026-02-12T00:00:00"/>
    <s v="C1139"/>
    <x v="139"/>
    <x v="0"/>
    <s v="India"/>
    <s v="West Bengal"/>
    <s v="Kolkata"/>
    <x v="3"/>
    <x v="0"/>
    <x v="7"/>
    <x v="99"/>
    <n v="47071.72"/>
    <n v="5"/>
    <x v="1"/>
    <s v="High"/>
    <n v="-5.6377374780441421E-2"/>
    <x v="139"/>
    <x v="3"/>
  </r>
  <r>
    <s v="ORD10140"/>
    <x v="1"/>
    <x v="5"/>
    <n v="2"/>
    <s v="Q1"/>
    <x v="140"/>
    <d v="2026-02-13T00:00:00"/>
    <s v="C1140"/>
    <x v="140"/>
    <x v="1"/>
    <s v="India"/>
    <s v="West Bengal"/>
    <s v="Kolkata"/>
    <x v="3"/>
    <x v="0"/>
    <x v="7"/>
    <x v="40"/>
    <n v="16612.86"/>
    <n v="7"/>
    <x v="3"/>
    <s v="Medium"/>
    <n v="8.6801429735758925E-2"/>
    <x v="140"/>
    <x v="1"/>
  </r>
  <r>
    <s v="ORD10141"/>
    <x v="1"/>
    <x v="5"/>
    <n v="2"/>
    <s v="Q1"/>
    <x v="141"/>
    <d v="2026-02-14T00:00:00"/>
    <s v="C1141"/>
    <x v="141"/>
    <x v="2"/>
    <s v="India"/>
    <s v="Delhi"/>
    <s v="Delhi"/>
    <x v="0"/>
    <x v="0"/>
    <x v="0"/>
    <x v="100"/>
    <n v="32026.6"/>
    <n v="8"/>
    <x v="0"/>
    <s v="High"/>
    <n v="5.9389070335283796E-2"/>
    <x v="141"/>
    <x v="0"/>
  </r>
  <r>
    <s v="ORD10142"/>
    <x v="1"/>
    <x v="5"/>
    <n v="2"/>
    <s v="Q1"/>
    <x v="142"/>
    <d v="2026-02-15T00:00:00"/>
    <s v="C1142"/>
    <x v="142"/>
    <x v="1"/>
    <s v="India"/>
    <s v="Karnataka"/>
    <s v="Bengaluru"/>
    <x v="1"/>
    <x v="1"/>
    <x v="2"/>
    <x v="101"/>
    <n v="35041.25"/>
    <n v="8"/>
    <x v="0"/>
    <s v="High"/>
    <n v="0.1040282524167945"/>
    <x v="142"/>
    <x v="0"/>
  </r>
  <r>
    <s v="ORD10143"/>
    <x v="1"/>
    <x v="5"/>
    <n v="2"/>
    <s v="Q1"/>
    <x v="143"/>
    <d v="2026-02-16T00:00:00"/>
    <s v="C1143"/>
    <x v="143"/>
    <x v="0"/>
    <s v="India"/>
    <s v="Haryana"/>
    <s v="Gurugram"/>
    <x v="0"/>
    <x v="1"/>
    <x v="2"/>
    <x v="19"/>
    <n v="49517.65"/>
    <n v="8"/>
    <x v="0"/>
    <s v="High"/>
    <n v="0.12976787064814263"/>
    <x v="143"/>
    <x v="0"/>
  </r>
  <r>
    <s v="ORD10144"/>
    <x v="1"/>
    <x v="5"/>
    <n v="2"/>
    <s v="Q1"/>
    <x v="144"/>
    <d v="2026-02-17T00:00:00"/>
    <s v="C1144"/>
    <x v="144"/>
    <x v="2"/>
    <s v="India"/>
    <s v="West Bengal"/>
    <s v="Kolkata"/>
    <x v="3"/>
    <x v="1"/>
    <x v="2"/>
    <x v="98"/>
    <n v="2829.93"/>
    <n v="8"/>
    <x v="0"/>
    <s v="Low"/>
    <n v="7.4613152975515296E-2"/>
    <x v="144"/>
    <x v="0"/>
  </r>
  <r>
    <s v="ORD10145"/>
    <x v="1"/>
    <x v="5"/>
    <n v="2"/>
    <s v="Q1"/>
    <x v="145"/>
    <d v="2026-02-18T00:00:00"/>
    <s v="C1145"/>
    <x v="145"/>
    <x v="0"/>
    <s v="India"/>
    <s v="Haryana"/>
    <s v="Gurugram"/>
    <x v="0"/>
    <x v="1"/>
    <x v="3"/>
    <x v="102"/>
    <n v="12446.83"/>
    <n v="7"/>
    <x v="1"/>
    <s v="Medium"/>
    <n v="1.4708966058024414E-2"/>
    <x v="145"/>
    <x v="0"/>
  </r>
  <r>
    <s v="ORD10146"/>
    <x v="1"/>
    <x v="5"/>
    <n v="2"/>
    <s v="Q1"/>
    <x v="146"/>
    <d v="2026-02-19T00:00:00"/>
    <s v="C1146"/>
    <x v="146"/>
    <x v="1"/>
    <s v="India"/>
    <s v="Karnataka"/>
    <s v="Bengaluru"/>
    <x v="1"/>
    <x v="1"/>
    <x v="1"/>
    <x v="103"/>
    <n v="18751.75"/>
    <n v="3"/>
    <x v="2"/>
    <s v="Medium"/>
    <n v="0.22542109403122376"/>
    <x v="146"/>
    <x v="0"/>
  </r>
  <r>
    <s v="ORD10147"/>
    <x v="1"/>
    <x v="5"/>
    <n v="2"/>
    <s v="Q1"/>
    <x v="147"/>
    <d v="2026-02-20T00:00:00"/>
    <s v="C1147"/>
    <x v="147"/>
    <x v="2"/>
    <s v="India"/>
    <s v="Maharashtra"/>
    <s v="Mumbai"/>
    <x v="2"/>
    <x v="0"/>
    <x v="0"/>
    <x v="104"/>
    <n v="21928.7"/>
    <n v="5"/>
    <x v="0"/>
    <s v="Medium"/>
    <n v="6.1709084441850179E-2"/>
    <x v="147"/>
    <x v="1"/>
  </r>
  <r>
    <s v="ORD10148"/>
    <x v="1"/>
    <x v="5"/>
    <n v="2"/>
    <s v="Q1"/>
    <x v="148"/>
    <d v="2026-02-21T00:00:00"/>
    <s v="C1148"/>
    <x v="148"/>
    <x v="0"/>
    <s v="India"/>
    <s v="Delhi"/>
    <s v="Delhi"/>
    <x v="0"/>
    <x v="0"/>
    <x v="0"/>
    <x v="49"/>
    <n v="2537"/>
    <n v="8"/>
    <x v="2"/>
    <s v="Low"/>
    <n v="0.25688608592826173"/>
    <x v="148"/>
    <x v="1"/>
  </r>
  <r>
    <s v="ORD10149"/>
    <x v="1"/>
    <x v="5"/>
    <n v="2"/>
    <s v="Q1"/>
    <x v="149"/>
    <d v="2026-02-22T00:00:00"/>
    <s v="C1149"/>
    <x v="149"/>
    <x v="0"/>
    <s v="India"/>
    <s v="Maharashtra"/>
    <s v="Mumbai"/>
    <x v="2"/>
    <x v="0"/>
    <x v="0"/>
    <x v="27"/>
    <n v="14452.03"/>
    <n v="8"/>
    <x v="2"/>
    <s v="Medium"/>
    <n v="0.29752913604524761"/>
    <x v="149"/>
    <x v="0"/>
  </r>
  <r>
    <s v="ORD10150"/>
    <x v="1"/>
    <x v="5"/>
    <n v="2"/>
    <s v="Q1"/>
    <x v="150"/>
    <d v="2026-02-23T00:00:00"/>
    <s v="C1150"/>
    <x v="150"/>
    <x v="1"/>
    <s v="India"/>
    <s v="Haryana"/>
    <s v="Gurugram"/>
    <x v="0"/>
    <x v="0"/>
    <x v="5"/>
    <x v="6"/>
    <n v="38119.199999999997"/>
    <n v="7"/>
    <x v="3"/>
    <s v="High"/>
    <n v="1.1047451153224622E-2"/>
    <x v="150"/>
    <x v="1"/>
  </r>
  <r>
    <s v="ORD10151"/>
    <x v="1"/>
    <x v="5"/>
    <n v="2"/>
    <s v="Q1"/>
    <x v="151"/>
    <d v="2026-02-24T00:00:00"/>
    <s v="C1151"/>
    <x v="151"/>
    <x v="0"/>
    <s v="India"/>
    <s v="Haryana"/>
    <s v="Gurugram"/>
    <x v="0"/>
    <x v="0"/>
    <x v="0"/>
    <x v="105"/>
    <n v="5015.9399999999996"/>
    <n v="8"/>
    <x v="0"/>
    <s v="Low"/>
    <n v="0.21002842936717744"/>
    <x v="151"/>
    <x v="2"/>
  </r>
  <r>
    <s v="ORD10152"/>
    <x v="1"/>
    <x v="5"/>
    <n v="2"/>
    <s v="Q1"/>
    <x v="152"/>
    <d v="2026-02-25T00:00:00"/>
    <s v="C1152"/>
    <x v="152"/>
    <x v="2"/>
    <s v="India"/>
    <s v="Karnataka"/>
    <s v="Bengaluru"/>
    <x v="1"/>
    <x v="2"/>
    <x v="6"/>
    <x v="21"/>
    <n v="24754.959999999999"/>
    <n v="4"/>
    <x v="2"/>
    <s v="Medium"/>
    <n v="0.10796664587622036"/>
    <x v="152"/>
    <x v="1"/>
  </r>
  <r>
    <s v="ORD10153"/>
    <x v="1"/>
    <x v="5"/>
    <n v="2"/>
    <s v="Q1"/>
    <x v="153"/>
    <d v="2026-02-26T00:00:00"/>
    <s v="C1153"/>
    <x v="153"/>
    <x v="1"/>
    <s v="India"/>
    <s v="Haryana"/>
    <s v="Gurugram"/>
    <x v="0"/>
    <x v="1"/>
    <x v="2"/>
    <x v="28"/>
    <n v="12591.96"/>
    <n v="8"/>
    <x v="1"/>
    <s v="Medium"/>
    <n v="8.7755202526056314E-2"/>
    <x v="153"/>
    <x v="1"/>
  </r>
  <r>
    <s v="ORD10154"/>
    <x v="1"/>
    <x v="5"/>
    <n v="2"/>
    <s v="Q1"/>
    <x v="154"/>
    <d v="2026-02-27T00:00:00"/>
    <s v="C1154"/>
    <x v="154"/>
    <x v="2"/>
    <s v="India"/>
    <s v="West Bengal"/>
    <s v="Kolkata"/>
    <x v="3"/>
    <x v="2"/>
    <x v="6"/>
    <x v="44"/>
    <n v="41569.910000000003"/>
    <n v="8"/>
    <x v="1"/>
    <s v="High"/>
    <n v="5.4290711719125681E-2"/>
    <x v="154"/>
    <x v="1"/>
  </r>
  <r>
    <s v="ORD10155"/>
    <x v="1"/>
    <x v="5"/>
    <n v="2"/>
    <s v="Q1"/>
    <x v="155"/>
    <d v="2026-02-28T00:00:00"/>
    <s v="C1155"/>
    <x v="155"/>
    <x v="0"/>
    <s v="India"/>
    <s v="Karnataka"/>
    <s v="Bengaluru"/>
    <x v="1"/>
    <x v="0"/>
    <x v="7"/>
    <x v="10"/>
    <n v="41147.57"/>
    <n v="7"/>
    <x v="1"/>
    <s v="High"/>
    <n v="0.12429190836785746"/>
    <x v="155"/>
    <x v="2"/>
  </r>
  <r>
    <s v="ORD10156"/>
    <x v="1"/>
    <x v="5"/>
    <n v="2"/>
    <s v="Q1"/>
    <x v="156"/>
    <d v="2026-03-01T00:00:00"/>
    <s v="C1156"/>
    <x v="156"/>
    <x v="0"/>
    <s v="India"/>
    <s v="Delhi"/>
    <s v="Delhi"/>
    <x v="0"/>
    <x v="1"/>
    <x v="2"/>
    <x v="101"/>
    <n v="25116.28"/>
    <n v="1"/>
    <x v="0"/>
    <s v="Medium"/>
    <n v="8.5687848678227818E-2"/>
    <x v="156"/>
    <x v="3"/>
  </r>
  <r>
    <s v="ORD10157"/>
    <x v="1"/>
    <x v="5"/>
    <n v="2"/>
    <s v="Q1"/>
    <x v="157"/>
    <d v="2026-03-02T00:00:00"/>
    <s v="C1157"/>
    <x v="157"/>
    <x v="1"/>
    <s v="India"/>
    <s v="Delhi"/>
    <s v="Delhi"/>
    <x v="0"/>
    <x v="0"/>
    <x v="7"/>
    <x v="106"/>
    <n v="44071.39"/>
    <n v="1"/>
    <x v="3"/>
    <s v="High"/>
    <n v="0.10553830954730496"/>
    <x v="157"/>
    <x v="0"/>
  </r>
  <r>
    <s v="ORD10158"/>
    <x v="1"/>
    <x v="5"/>
    <n v="2"/>
    <s v="Q1"/>
    <x v="158"/>
    <d v="2026-03-03T00:00:00"/>
    <s v="C1158"/>
    <x v="158"/>
    <x v="2"/>
    <s v="India"/>
    <s v="Haryana"/>
    <s v="Gurugram"/>
    <x v="0"/>
    <x v="0"/>
    <x v="7"/>
    <x v="17"/>
    <n v="49791.9"/>
    <n v="4"/>
    <x v="0"/>
    <s v="High"/>
    <n v="0.16895499067117342"/>
    <x v="158"/>
    <x v="1"/>
  </r>
  <r>
    <s v="ORD10159"/>
    <x v="1"/>
    <x v="5"/>
    <n v="2"/>
    <s v="Q1"/>
    <x v="159"/>
    <d v="2026-03-04T00:00:00"/>
    <s v="C1159"/>
    <x v="159"/>
    <x v="2"/>
    <s v="India"/>
    <s v="Delhi"/>
    <s v="Delhi"/>
    <x v="0"/>
    <x v="2"/>
    <x v="4"/>
    <x v="96"/>
    <n v="27831.119999999999"/>
    <n v="2"/>
    <x v="1"/>
    <s v="Medium"/>
    <n v="0.15306678279566185"/>
    <x v="159"/>
    <x v="3"/>
  </r>
  <r>
    <s v="ORD10160"/>
    <x v="1"/>
    <x v="6"/>
    <n v="3"/>
    <s v="Q1"/>
    <x v="160"/>
    <d v="2026-03-05T00:00:00"/>
    <s v="C1160"/>
    <x v="160"/>
    <x v="0"/>
    <s v="India"/>
    <s v="Delhi"/>
    <s v="Delhi"/>
    <x v="0"/>
    <x v="1"/>
    <x v="3"/>
    <x v="107"/>
    <n v="34799.370000000003"/>
    <n v="5"/>
    <x v="1"/>
    <s v="High"/>
    <n v="2.2319082213269954E-2"/>
    <x v="160"/>
    <x v="2"/>
  </r>
  <r>
    <s v="ORD10161"/>
    <x v="1"/>
    <x v="6"/>
    <n v="3"/>
    <s v="Q1"/>
    <x v="161"/>
    <d v="2026-03-06T00:00:00"/>
    <s v="C1161"/>
    <x v="161"/>
    <x v="1"/>
    <s v="India"/>
    <s v="Delhi"/>
    <s v="Delhi"/>
    <x v="0"/>
    <x v="2"/>
    <x v="6"/>
    <x v="108"/>
    <n v="33021.01"/>
    <n v="5"/>
    <x v="1"/>
    <s v="High"/>
    <n v="7.6353812315250208E-2"/>
    <x v="161"/>
    <x v="2"/>
  </r>
  <r>
    <s v="ORD10162"/>
    <x v="1"/>
    <x v="6"/>
    <n v="3"/>
    <s v="Q1"/>
    <x v="162"/>
    <d v="2026-03-07T00:00:00"/>
    <s v="C1162"/>
    <x v="162"/>
    <x v="1"/>
    <s v="India"/>
    <s v="West Bengal"/>
    <s v="Kolkata"/>
    <x v="3"/>
    <x v="1"/>
    <x v="1"/>
    <x v="109"/>
    <n v="25452.9"/>
    <n v="5"/>
    <x v="1"/>
    <s v="Medium"/>
    <n v="0.16281956083589685"/>
    <x v="162"/>
    <x v="0"/>
  </r>
  <r>
    <s v="ORD10163"/>
    <x v="1"/>
    <x v="6"/>
    <n v="3"/>
    <s v="Q1"/>
    <x v="163"/>
    <d v="2026-03-08T00:00:00"/>
    <s v="C1163"/>
    <x v="163"/>
    <x v="1"/>
    <s v="India"/>
    <s v="West Bengal"/>
    <s v="Kolkata"/>
    <x v="3"/>
    <x v="0"/>
    <x v="7"/>
    <x v="110"/>
    <n v="19631.599999999999"/>
    <n v="1"/>
    <x v="0"/>
    <s v="Medium"/>
    <n v="-2.234509668086147E-2"/>
    <x v="163"/>
    <x v="3"/>
  </r>
  <r>
    <s v="ORD10164"/>
    <x v="1"/>
    <x v="6"/>
    <n v="3"/>
    <s v="Q1"/>
    <x v="164"/>
    <d v="2026-03-09T00:00:00"/>
    <s v="C1164"/>
    <x v="164"/>
    <x v="0"/>
    <s v="India"/>
    <s v="Delhi"/>
    <s v="Delhi"/>
    <x v="0"/>
    <x v="0"/>
    <x v="7"/>
    <x v="106"/>
    <n v="18211.14"/>
    <n v="3"/>
    <x v="2"/>
    <s v="Medium"/>
    <n v="0.15284051410290625"/>
    <x v="164"/>
    <x v="0"/>
  </r>
  <r>
    <s v="ORD10165"/>
    <x v="1"/>
    <x v="6"/>
    <n v="3"/>
    <s v="Q1"/>
    <x v="165"/>
    <d v="2026-03-10T00:00:00"/>
    <s v="C1165"/>
    <x v="165"/>
    <x v="2"/>
    <s v="India"/>
    <s v="Delhi"/>
    <s v="Delhi"/>
    <x v="0"/>
    <x v="0"/>
    <x v="0"/>
    <x v="111"/>
    <n v="18878.080000000002"/>
    <n v="1"/>
    <x v="0"/>
    <s v="Medium"/>
    <n v="-1.479970420720751E-2"/>
    <x v="165"/>
    <x v="2"/>
  </r>
  <r>
    <s v="ORD10166"/>
    <x v="1"/>
    <x v="6"/>
    <n v="3"/>
    <s v="Q1"/>
    <x v="166"/>
    <d v="2026-03-11T00:00:00"/>
    <s v="C1166"/>
    <x v="166"/>
    <x v="2"/>
    <s v="India"/>
    <s v="Haryana"/>
    <s v="Gurugram"/>
    <x v="0"/>
    <x v="1"/>
    <x v="1"/>
    <x v="112"/>
    <n v="18044.830000000002"/>
    <n v="5"/>
    <x v="0"/>
    <s v="Medium"/>
    <n v="-2.7101945543404952E-2"/>
    <x v="166"/>
    <x v="1"/>
  </r>
  <r>
    <s v="ORD10167"/>
    <x v="1"/>
    <x v="6"/>
    <n v="3"/>
    <s v="Q1"/>
    <x v="167"/>
    <d v="2026-03-12T00:00:00"/>
    <s v="C1167"/>
    <x v="167"/>
    <x v="0"/>
    <s v="India"/>
    <s v="Delhi"/>
    <s v="Delhi"/>
    <x v="0"/>
    <x v="0"/>
    <x v="7"/>
    <x v="42"/>
    <n v="7733.9"/>
    <n v="3"/>
    <x v="2"/>
    <s v="Low"/>
    <n v="8.187460401608504E-2"/>
    <x v="167"/>
    <x v="1"/>
  </r>
  <r>
    <s v="ORD10168"/>
    <x v="1"/>
    <x v="6"/>
    <n v="3"/>
    <s v="Q1"/>
    <x v="168"/>
    <d v="2026-03-13T00:00:00"/>
    <s v="C1168"/>
    <x v="168"/>
    <x v="1"/>
    <s v="India"/>
    <s v="Karnataka"/>
    <s v="Bengaluru"/>
    <x v="1"/>
    <x v="0"/>
    <x v="5"/>
    <x v="6"/>
    <n v="34034.57"/>
    <n v="2"/>
    <x v="3"/>
    <s v="High"/>
    <n v="9.4590000696350804E-2"/>
    <x v="168"/>
    <x v="1"/>
  </r>
  <r>
    <s v="ORD10169"/>
    <x v="1"/>
    <x v="6"/>
    <n v="3"/>
    <s v="Q1"/>
    <x v="169"/>
    <d v="2026-03-14T00:00:00"/>
    <s v="C1169"/>
    <x v="169"/>
    <x v="1"/>
    <s v="India"/>
    <s v="Maharashtra"/>
    <s v="Mumbai"/>
    <x v="2"/>
    <x v="2"/>
    <x v="4"/>
    <x v="54"/>
    <n v="31505.69"/>
    <n v="4"/>
    <x v="3"/>
    <s v="High"/>
    <n v="5.55956717659572E-2"/>
    <x v="169"/>
    <x v="2"/>
  </r>
  <r>
    <s v="ORD10170"/>
    <x v="1"/>
    <x v="6"/>
    <n v="3"/>
    <s v="Q1"/>
    <x v="170"/>
    <d v="2026-03-15T00:00:00"/>
    <s v="C1170"/>
    <x v="170"/>
    <x v="1"/>
    <s v="India"/>
    <s v="Karnataka"/>
    <s v="Bengaluru"/>
    <x v="1"/>
    <x v="0"/>
    <x v="5"/>
    <x v="113"/>
    <n v="45099.38"/>
    <n v="2"/>
    <x v="3"/>
    <s v="High"/>
    <n v="0.1358085188754258"/>
    <x v="170"/>
    <x v="0"/>
  </r>
  <r>
    <s v="ORD10171"/>
    <x v="1"/>
    <x v="6"/>
    <n v="3"/>
    <s v="Q1"/>
    <x v="171"/>
    <d v="2026-03-16T00:00:00"/>
    <s v="C1171"/>
    <x v="171"/>
    <x v="1"/>
    <s v="India"/>
    <s v="West Bengal"/>
    <s v="Kolkata"/>
    <x v="3"/>
    <x v="2"/>
    <x v="8"/>
    <x v="114"/>
    <n v="28825.4"/>
    <n v="6"/>
    <x v="2"/>
    <s v="Medium"/>
    <n v="0.26121337431570768"/>
    <x v="171"/>
    <x v="0"/>
  </r>
  <r>
    <s v="ORD10172"/>
    <x v="1"/>
    <x v="6"/>
    <n v="3"/>
    <s v="Q1"/>
    <x v="172"/>
    <d v="2026-03-17T00:00:00"/>
    <s v="C1172"/>
    <x v="172"/>
    <x v="1"/>
    <s v="India"/>
    <s v="Karnataka"/>
    <s v="Bengaluru"/>
    <x v="1"/>
    <x v="1"/>
    <x v="2"/>
    <x v="115"/>
    <n v="26751.8"/>
    <n v="4"/>
    <x v="2"/>
    <s v="Medium"/>
    <n v="9.0650348761578667E-2"/>
    <x v="172"/>
    <x v="3"/>
  </r>
  <r>
    <s v="ORD10173"/>
    <x v="1"/>
    <x v="6"/>
    <n v="3"/>
    <s v="Q1"/>
    <x v="173"/>
    <d v="2026-03-18T00:00:00"/>
    <s v="C1173"/>
    <x v="173"/>
    <x v="2"/>
    <s v="India"/>
    <s v="Haryana"/>
    <s v="Gurugram"/>
    <x v="0"/>
    <x v="0"/>
    <x v="0"/>
    <x v="27"/>
    <n v="41618.18"/>
    <n v="4"/>
    <x v="2"/>
    <s v="High"/>
    <n v="0.15183532773417771"/>
    <x v="173"/>
    <x v="1"/>
  </r>
  <r>
    <s v="ORD10174"/>
    <x v="1"/>
    <x v="6"/>
    <n v="3"/>
    <s v="Q1"/>
    <x v="174"/>
    <d v="2026-03-19T00:00:00"/>
    <s v="C1174"/>
    <x v="174"/>
    <x v="1"/>
    <s v="India"/>
    <s v="Karnataka"/>
    <s v="Bengaluru"/>
    <x v="1"/>
    <x v="2"/>
    <x v="8"/>
    <x v="74"/>
    <n v="45043.16"/>
    <n v="8"/>
    <x v="1"/>
    <s v="High"/>
    <n v="-6.9178760992790023E-2"/>
    <x v="174"/>
    <x v="3"/>
  </r>
  <r>
    <s v="ORD10175"/>
    <x v="1"/>
    <x v="6"/>
    <n v="3"/>
    <s v="Q1"/>
    <x v="175"/>
    <d v="2026-03-20T00:00:00"/>
    <s v="C1175"/>
    <x v="175"/>
    <x v="2"/>
    <s v="India"/>
    <s v="West Bengal"/>
    <s v="Kolkata"/>
    <x v="3"/>
    <x v="1"/>
    <x v="1"/>
    <x v="116"/>
    <n v="43987.08"/>
    <n v="2"/>
    <x v="2"/>
    <s v="High"/>
    <n v="5.1496939555887765E-2"/>
    <x v="175"/>
    <x v="3"/>
  </r>
  <r>
    <s v="ORD10176"/>
    <x v="1"/>
    <x v="6"/>
    <n v="3"/>
    <s v="Q1"/>
    <x v="176"/>
    <d v="2026-03-21T00:00:00"/>
    <s v="C1176"/>
    <x v="176"/>
    <x v="1"/>
    <s v="India"/>
    <s v="Maharashtra"/>
    <s v="Mumbai"/>
    <x v="2"/>
    <x v="1"/>
    <x v="3"/>
    <x v="33"/>
    <n v="45617.62"/>
    <n v="7"/>
    <x v="3"/>
    <s v="High"/>
    <n v="0.2297252684379413"/>
    <x v="176"/>
    <x v="2"/>
  </r>
  <r>
    <s v="ORD10177"/>
    <x v="1"/>
    <x v="6"/>
    <n v="3"/>
    <s v="Q1"/>
    <x v="177"/>
    <d v="2026-03-22T00:00:00"/>
    <s v="C1177"/>
    <x v="177"/>
    <x v="1"/>
    <s v="India"/>
    <s v="Karnataka"/>
    <s v="Bengaluru"/>
    <x v="1"/>
    <x v="1"/>
    <x v="3"/>
    <x v="117"/>
    <n v="19087.21"/>
    <n v="2"/>
    <x v="3"/>
    <s v="Medium"/>
    <n v="0.12316257850152013"/>
    <x v="177"/>
    <x v="2"/>
  </r>
  <r>
    <s v="ORD10178"/>
    <x v="1"/>
    <x v="6"/>
    <n v="3"/>
    <s v="Q1"/>
    <x v="178"/>
    <d v="2026-03-23T00:00:00"/>
    <s v="C1178"/>
    <x v="178"/>
    <x v="2"/>
    <s v="India"/>
    <s v="Maharashtra"/>
    <s v="Mumbai"/>
    <x v="2"/>
    <x v="0"/>
    <x v="0"/>
    <x v="37"/>
    <n v="13928.69"/>
    <n v="7"/>
    <x v="2"/>
    <s v="Medium"/>
    <n v="0.24033200537882601"/>
    <x v="178"/>
    <x v="1"/>
  </r>
  <r>
    <s v="ORD10179"/>
    <x v="1"/>
    <x v="6"/>
    <n v="3"/>
    <s v="Q1"/>
    <x v="179"/>
    <d v="2026-03-24T00:00:00"/>
    <s v="C1179"/>
    <x v="179"/>
    <x v="2"/>
    <s v="India"/>
    <s v="Maharashtra"/>
    <s v="Mumbai"/>
    <x v="2"/>
    <x v="2"/>
    <x v="8"/>
    <x v="65"/>
    <n v="9990.07"/>
    <n v="5"/>
    <x v="3"/>
    <s v="Low"/>
    <n v="0.15458350141690699"/>
    <x v="179"/>
    <x v="1"/>
  </r>
  <r>
    <s v="ORD10180"/>
    <x v="1"/>
    <x v="6"/>
    <n v="3"/>
    <s v="Q1"/>
    <x v="180"/>
    <d v="2026-03-25T00:00:00"/>
    <s v="C1180"/>
    <x v="180"/>
    <x v="1"/>
    <s v="India"/>
    <s v="Maharashtra"/>
    <s v="Mumbai"/>
    <x v="2"/>
    <x v="1"/>
    <x v="2"/>
    <x v="70"/>
    <n v="36963.03"/>
    <n v="3"/>
    <x v="3"/>
    <s v="High"/>
    <n v="0.10163723049760802"/>
    <x v="180"/>
    <x v="0"/>
  </r>
  <r>
    <s v="ORD10181"/>
    <x v="1"/>
    <x v="6"/>
    <n v="3"/>
    <s v="Q1"/>
    <x v="181"/>
    <d v="2026-03-26T00:00:00"/>
    <s v="C1181"/>
    <x v="181"/>
    <x v="2"/>
    <s v="India"/>
    <s v="West Bengal"/>
    <s v="Kolkata"/>
    <x v="3"/>
    <x v="1"/>
    <x v="1"/>
    <x v="118"/>
    <n v="8571.14"/>
    <n v="2"/>
    <x v="3"/>
    <s v="Low"/>
    <n v="0.19013106774594749"/>
    <x v="181"/>
    <x v="3"/>
  </r>
  <r>
    <s v="ORD10182"/>
    <x v="1"/>
    <x v="6"/>
    <n v="3"/>
    <s v="Q1"/>
    <x v="182"/>
    <d v="2026-03-27T00:00:00"/>
    <s v="C1182"/>
    <x v="182"/>
    <x v="1"/>
    <s v="India"/>
    <s v="Karnataka"/>
    <s v="Bengaluru"/>
    <x v="1"/>
    <x v="1"/>
    <x v="2"/>
    <x v="70"/>
    <n v="15062.05"/>
    <n v="1"/>
    <x v="0"/>
    <s v="Medium"/>
    <n v="1.1639185900989574E-2"/>
    <x v="182"/>
    <x v="1"/>
  </r>
  <r>
    <s v="ORD10183"/>
    <x v="1"/>
    <x v="6"/>
    <n v="3"/>
    <s v="Q1"/>
    <x v="183"/>
    <d v="2026-03-28T00:00:00"/>
    <s v="C1183"/>
    <x v="183"/>
    <x v="0"/>
    <s v="India"/>
    <s v="Maharashtra"/>
    <s v="Mumbai"/>
    <x v="2"/>
    <x v="0"/>
    <x v="0"/>
    <x v="73"/>
    <n v="20555.88"/>
    <n v="6"/>
    <x v="1"/>
    <s v="Medium"/>
    <n v="0.1191663893737461"/>
    <x v="183"/>
    <x v="1"/>
  </r>
  <r>
    <s v="ORD10184"/>
    <x v="1"/>
    <x v="6"/>
    <n v="3"/>
    <s v="Q1"/>
    <x v="184"/>
    <d v="2026-03-29T00:00:00"/>
    <s v="C1184"/>
    <x v="184"/>
    <x v="0"/>
    <s v="India"/>
    <s v="West Bengal"/>
    <s v="Kolkata"/>
    <x v="3"/>
    <x v="1"/>
    <x v="1"/>
    <x v="68"/>
    <n v="15834.85"/>
    <n v="2"/>
    <x v="2"/>
    <s v="Medium"/>
    <n v="0.27678632888849591"/>
    <x v="184"/>
    <x v="0"/>
  </r>
  <r>
    <s v="ORD10185"/>
    <x v="1"/>
    <x v="6"/>
    <n v="3"/>
    <s v="Q1"/>
    <x v="185"/>
    <d v="2026-03-30T00:00:00"/>
    <s v="C1185"/>
    <x v="185"/>
    <x v="0"/>
    <s v="India"/>
    <s v="Maharashtra"/>
    <s v="Mumbai"/>
    <x v="2"/>
    <x v="0"/>
    <x v="5"/>
    <x v="16"/>
    <n v="37457.03"/>
    <n v="6"/>
    <x v="3"/>
    <s v="High"/>
    <n v="0.23381218425486486"/>
    <x v="185"/>
    <x v="0"/>
  </r>
  <r>
    <s v="ORD10186"/>
    <x v="1"/>
    <x v="6"/>
    <n v="3"/>
    <s v="Q1"/>
    <x v="186"/>
    <d v="2026-03-31T00:00:00"/>
    <s v="C1186"/>
    <x v="186"/>
    <x v="2"/>
    <s v="India"/>
    <s v="Maharashtra"/>
    <s v="Mumbai"/>
    <x v="2"/>
    <x v="2"/>
    <x v="4"/>
    <x v="119"/>
    <n v="14426.57"/>
    <n v="7"/>
    <x v="2"/>
    <s v="Medium"/>
    <n v="0.12990683163080344"/>
    <x v="186"/>
    <x v="3"/>
  </r>
  <r>
    <s v="ORD10187"/>
    <x v="1"/>
    <x v="6"/>
    <n v="3"/>
    <s v="Q1"/>
    <x v="187"/>
    <d v="2026-04-01T00:00:00"/>
    <s v="C1187"/>
    <x v="187"/>
    <x v="0"/>
    <s v="India"/>
    <s v="Haryana"/>
    <s v="Gurugram"/>
    <x v="0"/>
    <x v="0"/>
    <x v="5"/>
    <x v="16"/>
    <n v="19283.169999999998"/>
    <n v="8"/>
    <x v="1"/>
    <s v="Medium"/>
    <n v="6.2538991255068552E-2"/>
    <x v="187"/>
    <x v="2"/>
  </r>
  <r>
    <s v="ORD10188"/>
    <x v="1"/>
    <x v="6"/>
    <n v="3"/>
    <s v="Q1"/>
    <x v="188"/>
    <d v="2026-04-02T00:00:00"/>
    <s v="C1188"/>
    <x v="188"/>
    <x v="2"/>
    <s v="India"/>
    <s v="Haryana"/>
    <s v="Gurugram"/>
    <x v="0"/>
    <x v="1"/>
    <x v="3"/>
    <x v="64"/>
    <n v="22326.89"/>
    <n v="1"/>
    <x v="3"/>
    <s v="Medium"/>
    <n v="6.7121305295990613E-2"/>
    <x v="188"/>
    <x v="0"/>
  </r>
  <r>
    <s v="ORD10189"/>
    <x v="1"/>
    <x v="6"/>
    <n v="3"/>
    <s v="Q1"/>
    <x v="189"/>
    <d v="2026-04-03T00:00:00"/>
    <s v="C1189"/>
    <x v="189"/>
    <x v="0"/>
    <s v="India"/>
    <s v="Maharashtra"/>
    <s v="Mumbai"/>
    <x v="2"/>
    <x v="1"/>
    <x v="2"/>
    <x v="120"/>
    <n v="34818.239999999998"/>
    <n v="6"/>
    <x v="3"/>
    <s v="High"/>
    <n v="0.1507034818531896"/>
    <x v="189"/>
    <x v="1"/>
  </r>
  <r>
    <s v="ORD10190"/>
    <x v="1"/>
    <x v="6"/>
    <n v="3"/>
    <s v="Q1"/>
    <x v="190"/>
    <d v="2026-04-04T00:00:00"/>
    <s v="C1190"/>
    <x v="190"/>
    <x v="0"/>
    <s v="India"/>
    <s v="Karnataka"/>
    <s v="Bengaluru"/>
    <x v="1"/>
    <x v="0"/>
    <x v="0"/>
    <x v="100"/>
    <n v="28810"/>
    <n v="6"/>
    <x v="3"/>
    <s v="Medium"/>
    <n v="8.5717459215550157E-2"/>
    <x v="190"/>
    <x v="0"/>
  </r>
  <r>
    <s v="ORD10191"/>
    <x v="1"/>
    <x v="7"/>
    <n v="4"/>
    <s v="Q2"/>
    <x v="191"/>
    <d v="2026-04-05T00:00:00"/>
    <s v="C1191"/>
    <x v="191"/>
    <x v="0"/>
    <s v="India"/>
    <s v="Karnataka"/>
    <s v="Bengaluru"/>
    <x v="1"/>
    <x v="2"/>
    <x v="4"/>
    <x v="85"/>
    <n v="17376.2"/>
    <n v="3"/>
    <x v="3"/>
    <s v="Medium"/>
    <n v="9.6107319206731046E-2"/>
    <x v="191"/>
    <x v="0"/>
  </r>
  <r>
    <s v="ORD10192"/>
    <x v="1"/>
    <x v="7"/>
    <n v="4"/>
    <s v="Q2"/>
    <x v="192"/>
    <d v="2026-04-06T00:00:00"/>
    <s v="C1192"/>
    <x v="192"/>
    <x v="0"/>
    <s v="India"/>
    <s v="Maharashtra"/>
    <s v="Mumbai"/>
    <x v="2"/>
    <x v="2"/>
    <x v="8"/>
    <x v="36"/>
    <n v="12640.64"/>
    <n v="7"/>
    <x v="1"/>
    <s v="Medium"/>
    <n v="8.0458742595311633E-2"/>
    <x v="192"/>
    <x v="3"/>
  </r>
  <r>
    <s v="ORD10193"/>
    <x v="1"/>
    <x v="7"/>
    <n v="4"/>
    <s v="Q2"/>
    <x v="193"/>
    <d v="2026-04-07T00:00:00"/>
    <s v="C1193"/>
    <x v="193"/>
    <x v="2"/>
    <s v="India"/>
    <s v="West Bengal"/>
    <s v="Kolkata"/>
    <x v="3"/>
    <x v="0"/>
    <x v="7"/>
    <x v="76"/>
    <n v="36786.35"/>
    <n v="3"/>
    <x v="3"/>
    <s v="High"/>
    <n v="0.14992870996986654"/>
    <x v="193"/>
    <x v="3"/>
  </r>
  <r>
    <s v="ORD10194"/>
    <x v="1"/>
    <x v="7"/>
    <n v="4"/>
    <s v="Q2"/>
    <x v="194"/>
    <d v="2026-04-08T00:00:00"/>
    <s v="C1194"/>
    <x v="194"/>
    <x v="0"/>
    <s v="India"/>
    <s v="Haryana"/>
    <s v="Gurugram"/>
    <x v="0"/>
    <x v="2"/>
    <x v="4"/>
    <x v="5"/>
    <n v="48938.49"/>
    <n v="2"/>
    <x v="0"/>
    <s v="High"/>
    <n v="8.4080035979859621E-2"/>
    <x v="194"/>
    <x v="1"/>
  </r>
  <r>
    <s v="ORD10195"/>
    <x v="1"/>
    <x v="7"/>
    <n v="4"/>
    <s v="Q2"/>
    <x v="195"/>
    <d v="2026-04-09T00:00:00"/>
    <s v="C1195"/>
    <x v="195"/>
    <x v="0"/>
    <s v="India"/>
    <s v="West Bengal"/>
    <s v="Kolkata"/>
    <x v="3"/>
    <x v="0"/>
    <x v="5"/>
    <x v="26"/>
    <n v="24415.040000000001"/>
    <n v="5"/>
    <x v="1"/>
    <s v="Medium"/>
    <n v="0.16236795024706083"/>
    <x v="195"/>
    <x v="3"/>
  </r>
  <r>
    <s v="ORD10196"/>
    <x v="1"/>
    <x v="7"/>
    <n v="4"/>
    <s v="Q2"/>
    <x v="196"/>
    <d v="2026-04-10T00:00:00"/>
    <s v="C1196"/>
    <x v="196"/>
    <x v="2"/>
    <s v="India"/>
    <s v="Haryana"/>
    <s v="Gurugram"/>
    <x v="0"/>
    <x v="1"/>
    <x v="3"/>
    <x v="121"/>
    <n v="23089.52"/>
    <n v="3"/>
    <x v="1"/>
    <s v="Medium"/>
    <n v="-9.8455922860241352E-3"/>
    <x v="196"/>
    <x v="3"/>
  </r>
  <r>
    <s v="ORD10197"/>
    <x v="1"/>
    <x v="7"/>
    <n v="4"/>
    <s v="Q2"/>
    <x v="197"/>
    <d v="2026-04-11T00:00:00"/>
    <s v="C1197"/>
    <x v="197"/>
    <x v="0"/>
    <s v="India"/>
    <s v="Karnataka"/>
    <s v="Bengaluru"/>
    <x v="1"/>
    <x v="0"/>
    <x v="7"/>
    <x v="122"/>
    <n v="1574.42"/>
    <n v="2"/>
    <x v="3"/>
    <s v="Low"/>
    <n v="0.21816923057379861"/>
    <x v="197"/>
    <x v="2"/>
  </r>
  <r>
    <s v="ORD10198"/>
    <x v="1"/>
    <x v="7"/>
    <n v="4"/>
    <s v="Q2"/>
    <x v="198"/>
    <d v="2026-04-12T00:00:00"/>
    <s v="C1198"/>
    <x v="198"/>
    <x v="0"/>
    <s v="India"/>
    <s v="Karnataka"/>
    <s v="Bengaluru"/>
    <x v="1"/>
    <x v="0"/>
    <x v="0"/>
    <x v="88"/>
    <n v="44797.02"/>
    <n v="8"/>
    <x v="2"/>
    <s v="High"/>
    <n v="0.26815355128533103"/>
    <x v="198"/>
    <x v="0"/>
  </r>
  <r>
    <s v="ORD10199"/>
    <x v="1"/>
    <x v="7"/>
    <n v="4"/>
    <s v="Q2"/>
    <x v="199"/>
    <d v="2026-04-13T00:00:00"/>
    <s v="C1199"/>
    <x v="199"/>
    <x v="2"/>
    <s v="India"/>
    <s v="Karnataka"/>
    <s v="Bengaluru"/>
    <x v="1"/>
    <x v="2"/>
    <x v="8"/>
    <x v="123"/>
    <n v="44779.040000000001"/>
    <n v="4"/>
    <x v="1"/>
    <s v="High"/>
    <n v="8.6520389896701674E-2"/>
    <x v="199"/>
    <x v="2"/>
  </r>
  <r>
    <s v="ORD10200"/>
    <x v="1"/>
    <x v="7"/>
    <n v="4"/>
    <s v="Q2"/>
    <x v="200"/>
    <d v="2026-04-14T00:00:00"/>
    <s v="C1200"/>
    <x v="200"/>
    <x v="1"/>
    <s v="India"/>
    <s v="Delhi"/>
    <s v="Delhi"/>
    <x v="0"/>
    <x v="0"/>
    <x v="5"/>
    <x v="124"/>
    <n v="16574.5"/>
    <n v="5"/>
    <x v="1"/>
    <s v="Medium"/>
    <n v="9.1478475972125856E-2"/>
    <x v="200"/>
    <x v="3"/>
  </r>
  <r>
    <s v="ORD10201"/>
    <x v="1"/>
    <x v="7"/>
    <n v="4"/>
    <s v="Q2"/>
    <x v="201"/>
    <d v="2026-04-15T00:00:00"/>
    <s v="C1201"/>
    <x v="201"/>
    <x v="1"/>
    <s v="India"/>
    <s v="Karnataka"/>
    <s v="Bengaluru"/>
    <x v="1"/>
    <x v="0"/>
    <x v="7"/>
    <x v="53"/>
    <n v="6776.15"/>
    <n v="5"/>
    <x v="1"/>
    <s v="Low"/>
    <n v="2.6672963260848715E-2"/>
    <x v="201"/>
    <x v="1"/>
  </r>
  <r>
    <s v="ORD10202"/>
    <x v="1"/>
    <x v="7"/>
    <n v="4"/>
    <s v="Q2"/>
    <x v="202"/>
    <d v="2026-04-16T00:00:00"/>
    <s v="C1202"/>
    <x v="202"/>
    <x v="1"/>
    <s v="India"/>
    <s v="Haryana"/>
    <s v="Gurugram"/>
    <x v="0"/>
    <x v="2"/>
    <x v="8"/>
    <x v="25"/>
    <n v="42676.47"/>
    <n v="4"/>
    <x v="2"/>
    <s v="High"/>
    <n v="0.24859413161397839"/>
    <x v="202"/>
    <x v="3"/>
  </r>
  <r>
    <s v="ORD10203"/>
    <x v="1"/>
    <x v="7"/>
    <n v="4"/>
    <s v="Q2"/>
    <x v="203"/>
    <d v="2026-04-17T00:00:00"/>
    <s v="C1203"/>
    <x v="203"/>
    <x v="1"/>
    <s v="India"/>
    <s v="Maharashtra"/>
    <s v="Mumbai"/>
    <x v="2"/>
    <x v="2"/>
    <x v="4"/>
    <x v="96"/>
    <n v="7788.32"/>
    <n v="7"/>
    <x v="1"/>
    <s v="Low"/>
    <n v="0.10179345481438873"/>
    <x v="203"/>
    <x v="1"/>
  </r>
  <r>
    <s v="ORD10204"/>
    <x v="1"/>
    <x v="7"/>
    <n v="4"/>
    <s v="Q2"/>
    <x v="204"/>
    <d v="2026-04-18T00:00:00"/>
    <s v="C1204"/>
    <x v="204"/>
    <x v="1"/>
    <s v="India"/>
    <s v="Maharashtra"/>
    <s v="Mumbai"/>
    <x v="2"/>
    <x v="0"/>
    <x v="5"/>
    <x v="90"/>
    <n v="16817.07"/>
    <n v="7"/>
    <x v="1"/>
    <s v="Medium"/>
    <n v="0.15246889024068996"/>
    <x v="204"/>
    <x v="1"/>
  </r>
  <r>
    <s v="ORD10205"/>
    <x v="1"/>
    <x v="7"/>
    <n v="4"/>
    <s v="Q2"/>
    <x v="205"/>
    <d v="2026-04-19T00:00:00"/>
    <s v="C1205"/>
    <x v="205"/>
    <x v="2"/>
    <s v="India"/>
    <s v="West Bengal"/>
    <s v="Kolkata"/>
    <x v="3"/>
    <x v="1"/>
    <x v="2"/>
    <x v="125"/>
    <n v="48254.55"/>
    <n v="4"/>
    <x v="2"/>
    <s v="High"/>
    <n v="0.28785575660740798"/>
    <x v="205"/>
    <x v="3"/>
  </r>
  <r>
    <s v="ORD10206"/>
    <x v="1"/>
    <x v="7"/>
    <n v="4"/>
    <s v="Q2"/>
    <x v="206"/>
    <d v="2026-04-20T00:00:00"/>
    <s v="C1206"/>
    <x v="206"/>
    <x v="0"/>
    <s v="India"/>
    <s v="Karnataka"/>
    <s v="Bengaluru"/>
    <x v="1"/>
    <x v="0"/>
    <x v="0"/>
    <x v="37"/>
    <n v="15668.27"/>
    <n v="2"/>
    <x v="2"/>
    <s v="Medium"/>
    <n v="8.911704993595336E-2"/>
    <x v="206"/>
    <x v="2"/>
  </r>
  <r>
    <s v="ORD10207"/>
    <x v="1"/>
    <x v="7"/>
    <n v="4"/>
    <s v="Q2"/>
    <x v="207"/>
    <d v="2026-04-21T00:00:00"/>
    <s v="C1207"/>
    <x v="207"/>
    <x v="0"/>
    <s v="India"/>
    <s v="Haryana"/>
    <s v="Gurugram"/>
    <x v="0"/>
    <x v="2"/>
    <x v="6"/>
    <x v="93"/>
    <n v="6324.04"/>
    <n v="1"/>
    <x v="1"/>
    <s v="Low"/>
    <n v="0.12923542545587946"/>
    <x v="207"/>
    <x v="1"/>
  </r>
  <r>
    <s v="ORD10208"/>
    <x v="1"/>
    <x v="7"/>
    <n v="4"/>
    <s v="Q2"/>
    <x v="208"/>
    <d v="2026-04-22T00:00:00"/>
    <s v="C1208"/>
    <x v="208"/>
    <x v="0"/>
    <s v="India"/>
    <s v="Karnataka"/>
    <s v="Bengaluru"/>
    <x v="1"/>
    <x v="1"/>
    <x v="3"/>
    <x v="31"/>
    <n v="11477.57"/>
    <n v="2"/>
    <x v="2"/>
    <s v="Medium"/>
    <n v="0.22824430606827056"/>
    <x v="208"/>
    <x v="2"/>
  </r>
  <r>
    <s v="ORD10209"/>
    <x v="1"/>
    <x v="7"/>
    <n v="4"/>
    <s v="Q2"/>
    <x v="209"/>
    <d v="2026-04-23T00:00:00"/>
    <s v="C1209"/>
    <x v="209"/>
    <x v="2"/>
    <s v="India"/>
    <s v="Haryana"/>
    <s v="Gurugram"/>
    <x v="0"/>
    <x v="0"/>
    <x v="7"/>
    <x v="126"/>
    <n v="633.74"/>
    <n v="3"/>
    <x v="0"/>
    <s v="Low"/>
    <n v="6.4206141319784138E-2"/>
    <x v="209"/>
    <x v="2"/>
  </r>
  <r>
    <s v="ORD10210"/>
    <x v="1"/>
    <x v="7"/>
    <n v="4"/>
    <s v="Q2"/>
    <x v="210"/>
    <d v="2026-04-24T00:00:00"/>
    <s v="C1210"/>
    <x v="210"/>
    <x v="2"/>
    <s v="India"/>
    <s v="Delhi"/>
    <s v="Delhi"/>
    <x v="0"/>
    <x v="2"/>
    <x v="4"/>
    <x v="4"/>
    <n v="23971.64"/>
    <n v="8"/>
    <x v="2"/>
    <s v="Medium"/>
    <n v="0.25616478472061149"/>
    <x v="210"/>
    <x v="2"/>
  </r>
  <r>
    <s v="ORD10211"/>
    <x v="1"/>
    <x v="7"/>
    <n v="4"/>
    <s v="Q2"/>
    <x v="211"/>
    <d v="2026-04-25T00:00:00"/>
    <s v="C1211"/>
    <x v="211"/>
    <x v="1"/>
    <s v="India"/>
    <s v="Karnataka"/>
    <s v="Bengaluru"/>
    <x v="1"/>
    <x v="2"/>
    <x v="4"/>
    <x v="127"/>
    <n v="40863.129999999997"/>
    <n v="8"/>
    <x v="2"/>
    <s v="High"/>
    <n v="0.18165642230538875"/>
    <x v="211"/>
    <x v="0"/>
  </r>
  <r>
    <s v="ORD10212"/>
    <x v="1"/>
    <x v="7"/>
    <n v="4"/>
    <s v="Q2"/>
    <x v="212"/>
    <d v="2026-04-26T00:00:00"/>
    <s v="C1212"/>
    <x v="212"/>
    <x v="0"/>
    <s v="India"/>
    <s v="West Bengal"/>
    <s v="Kolkata"/>
    <x v="3"/>
    <x v="1"/>
    <x v="2"/>
    <x v="56"/>
    <n v="41356.07"/>
    <n v="4"/>
    <x v="1"/>
    <s v="High"/>
    <n v="0.15303726877336266"/>
    <x v="212"/>
    <x v="1"/>
  </r>
  <r>
    <s v="ORD10213"/>
    <x v="1"/>
    <x v="7"/>
    <n v="4"/>
    <s v="Q2"/>
    <x v="213"/>
    <d v="2026-04-27T00:00:00"/>
    <s v="C1213"/>
    <x v="213"/>
    <x v="0"/>
    <s v="India"/>
    <s v="Karnataka"/>
    <s v="Bengaluru"/>
    <x v="1"/>
    <x v="2"/>
    <x v="4"/>
    <x v="54"/>
    <n v="13462.96"/>
    <n v="4"/>
    <x v="1"/>
    <s v="Medium"/>
    <n v="0.17974279058988515"/>
    <x v="213"/>
    <x v="2"/>
  </r>
  <r>
    <s v="ORD10214"/>
    <x v="1"/>
    <x v="7"/>
    <n v="4"/>
    <s v="Q2"/>
    <x v="214"/>
    <d v="2026-04-28T00:00:00"/>
    <s v="C1214"/>
    <x v="214"/>
    <x v="1"/>
    <s v="India"/>
    <s v="West Bengal"/>
    <s v="Kolkata"/>
    <x v="3"/>
    <x v="2"/>
    <x v="6"/>
    <x v="128"/>
    <n v="28459.47"/>
    <n v="5"/>
    <x v="2"/>
    <s v="Medium"/>
    <n v="0.19025898936276747"/>
    <x v="214"/>
    <x v="3"/>
  </r>
  <r>
    <s v="ORD10215"/>
    <x v="1"/>
    <x v="7"/>
    <n v="4"/>
    <s v="Q2"/>
    <x v="215"/>
    <d v="2026-04-29T00:00:00"/>
    <s v="C1215"/>
    <x v="215"/>
    <x v="0"/>
    <s v="India"/>
    <s v="West Bengal"/>
    <s v="Kolkata"/>
    <x v="3"/>
    <x v="0"/>
    <x v="0"/>
    <x v="111"/>
    <n v="2749.87"/>
    <n v="6"/>
    <x v="3"/>
    <s v="Low"/>
    <n v="0.22917447006585767"/>
    <x v="215"/>
    <x v="0"/>
  </r>
  <r>
    <s v="ORD10216"/>
    <x v="1"/>
    <x v="7"/>
    <n v="4"/>
    <s v="Q2"/>
    <x v="216"/>
    <d v="2026-04-30T00:00:00"/>
    <s v="C1216"/>
    <x v="216"/>
    <x v="0"/>
    <s v="India"/>
    <s v="Delhi"/>
    <s v="Delhi"/>
    <x v="0"/>
    <x v="0"/>
    <x v="7"/>
    <x v="129"/>
    <n v="34858.230000000003"/>
    <n v="8"/>
    <x v="3"/>
    <s v="High"/>
    <n v="9.9195512795686988E-2"/>
    <x v="216"/>
    <x v="1"/>
  </r>
  <r>
    <s v="ORD10217"/>
    <x v="1"/>
    <x v="7"/>
    <n v="4"/>
    <s v="Q2"/>
    <x v="217"/>
    <d v="2026-05-01T00:00:00"/>
    <s v="C1217"/>
    <x v="217"/>
    <x v="0"/>
    <s v="India"/>
    <s v="Haryana"/>
    <s v="Gurugram"/>
    <x v="0"/>
    <x v="2"/>
    <x v="8"/>
    <x v="130"/>
    <n v="38234.57"/>
    <n v="6"/>
    <x v="3"/>
    <s v="High"/>
    <n v="0.1384888073803367"/>
    <x v="217"/>
    <x v="2"/>
  </r>
  <r>
    <s v="ORD10218"/>
    <x v="1"/>
    <x v="7"/>
    <n v="4"/>
    <s v="Q2"/>
    <x v="218"/>
    <d v="2026-05-02T00:00:00"/>
    <s v="C1218"/>
    <x v="218"/>
    <x v="0"/>
    <s v="India"/>
    <s v="Karnataka"/>
    <s v="Bengaluru"/>
    <x v="1"/>
    <x v="0"/>
    <x v="0"/>
    <x v="131"/>
    <n v="10193.719999999999"/>
    <n v="1"/>
    <x v="1"/>
    <s v="Medium"/>
    <n v="4.6612031721491275E-2"/>
    <x v="218"/>
    <x v="2"/>
  </r>
  <r>
    <s v="ORD10219"/>
    <x v="1"/>
    <x v="7"/>
    <n v="4"/>
    <s v="Q2"/>
    <x v="219"/>
    <d v="2026-05-03T00:00:00"/>
    <s v="C1219"/>
    <x v="219"/>
    <x v="1"/>
    <s v="India"/>
    <s v="Haryana"/>
    <s v="Gurugram"/>
    <x v="0"/>
    <x v="0"/>
    <x v="7"/>
    <x v="42"/>
    <n v="10402.469999999999"/>
    <n v="4"/>
    <x v="0"/>
    <s v="Medium"/>
    <n v="7.6179022866684556E-2"/>
    <x v="219"/>
    <x v="2"/>
  </r>
  <r>
    <s v="ORD10220"/>
    <x v="1"/>
    <x v="7"/>
    <n v="4"/>
    <s v="Q2"/>
    <x v="220"/>
    <d v="2026-05-04T00:00:00"/>
    <s v="C1220"/>
    <x v="220"/>
    <x v="1"/>
    <s v="India"/>
    <s v="Delhi"/>
    <s v="Delhi"/>
    <x v="0"/>
    <x v="0"/>
    <x v="5"/>
    <x v="55"/>
    <n v="11506.8"/>
    <n v="8"/>
    <x v="0"/>
    <s v="Medium"/>
    <n v="0.11254214899016235"/>
    <x v="220"/>
    <x v="1"/>
  </r>
  <r>
    <s v="ORD10221"/>
    <x v="1"/>
    <x v="8"/>
    <n v="5"/>
    <s v="Q2"/>
    <x v="221"/>
    <d v="2026-05-05T00:00:00"/>
    <s v="C1221"/>
    <x v="221"/>
    <x v="1"/>
    <s v="India"/>
    <s v="Maharashtra"/>
    <s v="Mumbai"/>
    <x v="2"/>
    <x v="1"/>
    <x v="2"/>
    <x v="132"/>
    <n v="31895.919999999998"/>
    <n v="7"/>
    <x v="1"/>
    <s v="High"/>
    <n v="-4.6674621707102355E-2"/>
    <x v="221"/>
    <x v="2"/>
  </r>
  <r>
    <s v="ORD10222"/>
    <x v="1"/>
    <x v="8"/>
    <n v="5"/>
    <s v="Q2"/>
    <x v="222"/>
    <d v="2026-05-06T00:00:00"/>
    <s v="C1222"/>
    <x v="222"/>
    <x v="0"/>
    <s v="India"/>
    <s v="West Bengal"/>
    <s v="Kolkata"/>
    <x v="3"/>
    <x v="0"/>
    <x v="7"/>
    <x v="99"/>
    <n v="42698.94"/>
    <n v="5"/>
    <x v="3"/>
    <s v="High"/>
    <n v="0.15160516865289864"/>
    <x v="222"/>
    <x v="2"/>
  </r>
  <r>
    <s v="ORD10223"/>
    <x v="1"/>
    <x v="8"/>
    <n v="5"/>
    <s v="Q2"/>
    <x v="223"/>
    <d v="2026-05-07T00:00:00"/>
    <s v="C1223"/>
    <x v="223"/>
    <x v="1"/>
    <s v="India"/>
    <s v="Karnataka"/>
    <s v="Bengaluru"/>
    <x v="1"/>
    <x v="1"/>
    <x v="3"/>
    <x v="133"/>
    <n v="21042.54"/>
    <n v="8"/>
    <x v="0"/>
    <s v="Medium"/>
    <n v="-1.9959567618738041E-2"/>
    <x v="223"/>
    <x v="3"/>
  </r>
  <r>
    <s v="ORD10224"/>
    <x v="1"/>
    <x v="8"/>
    <n v="5"/>
    <s v="Q2"/>
    <x v="224"/>
    <d v="2026-05-08T00:00:00"/>
    <s v="C1224"/>
    <x v="224"/>
    <x v="2"/>
    <s v="India"/>
    <s v="Maharashtra"/>
    <s v="Mumbai"/>
    <x v="2"/>
    <x v="0"/>
    <x v="5"/>
    <x v="55"/>
    <n v="9606.5"/>
    <n v="8"/>
    <x v="1"/>
    <s v="Low"/>
    <n v="3.9260917087388748E-2"/>
    <x v="224"/>
    <x v="3"/>
  </r>
  <r>
    <s v="ORD10225"/>
    <x v="1"/>
    <x v="8"/>
    <n v="5"/>
    <s v="Q2"/>
    <x v="225"/>
    <d v="2026-05-09T00:00:00"/>
    <s v="C1225"/>
    <x v="225"/>
    <x v="2"/>
    <s v="India"/>
    <s v="Karnataka"/>
    <s v="Bengaluru"/>
    <x v="1"/>
    <x v="2"/>
    <x v="6"/>
    <x v="22"/>
    <n v="13306"/>
    <n v="6"/>
    <x v="1"/>
    <s v="Medium"/>
    <n v="3.1280625281827748E-2"/>
    <x v="225"/>
    <x v="2"/>
  </r>
  <r>
    <s v="ORD10226"/>
    <x v="1"/>
    <x v="8"/>
    <n v="5"/>
    <s v="Q2"/>
    <x v="226"/>
    <d v="2026-05-10T00:00:00"/>
    <s v="C1226"/>
    <x v="226"/>
    <x v="2"/>
    <s v="India"/>
    <s v="West Bengal"/>
    <s v="Kolkata"/>
    <x v="3"/>
    <x v="2"/>
    <x v="6"/>
    <x v="134"/>
    <n v="10978.41"/>
    <n v="4"/>
    <x v="3"/>
    <s v="Medium"/>
    <n v="3.8539278456534237E-2"/>
    <x v="226"/>
    <x v="1"/>
  </r>
  <r>
    <s v="ORD10227"/>
    <x v="1"/>
    <x v="8"/>
    <n v="5"/>
    <s v="Q2"/>
    <x v="227"/>
    <d v="2026-05-11T00:00:00"/>
    <s v="C1227"/>
    <x v="227"/>
    <x v="2"/>
    <s v="India"/>
    <s v="Maharashtra"/>
    <s v="Mumbai"/>
    <x v="2"/>
    <x v="2"/>
    <x v="6"/>
    <x v="128"/>
    <n v="38768.949999999997"/>
    <n v="8"/>
    <x v="2"/>
    <s v="High"/>
    <n v="8.1374914719124461E-2"/>
    <x v="227"/>
    <x v="0"/>
  </r>
  <r>
    <s v="ORD10228"/>
    <x v="1"/>
    <x v="8"/>
    <n v="5"/>
    <s v="Q2"/>
    <x v="228"/>
    <d v="2026-05-12T00:00:00"/>
    <s v="C1228"/>
    <x v="228"/>
    <x v="2"/>
    <s v="India"/>
    <s v="Maharashtra"/>
    <s v="Mumbai"/>
    <x v="2"/>
    <x v="1"/>
    <x v="2"/>
    <x v="2"/>
    <n v="41103.120000000003"/>
    <n v="8"/>
    <x v="2"/>
    <s v="High"/>
    <n v="7.3967377658922237E-2"/>
    <x v="228"/>
    <x v="3"/>
  </r>
  <r>
    <s v="ORD10229"/>
    <x v="1"/>
    <x v="8"/>
    <n v="5"/>
    <s v="Q2"/>
    <x v="229"/>
    <d v="2026-05-13T00:00:00"/>
    <s v="C1229"/>
    <x v="229"/>
    <x v="1"/>
    <s v="India"/>
    <s v="West Bengal"/>
    <s v="Kolkata"/>
    <x v="3"/>
    <x v="2"/>
    <x v="6"/>
    <x v="108"/>
    <n v="49080.77"/>
    <n v="6"/>
    <x v="2"/>
    <s v="High"/>
    <n v="0.28832717987105744"/>
    <x v="229"/>
    <x v="3"/>
  </r>
  <r>
    <s v="ORD10230"/>
    <x v="1"/>
    <x v="8"/>
    <n v="5"/>
    <s v="Q2"/>
    <x v="230"/>
    <d v="2026-05-14T00:00:00"/>
    <s v="C1230"/>
    <x v="230"/>
    <x v="1"/>
    <s v="India"/>
    <s v="Delhi"/>
    <s v="Delhi"/>
    <x v="0"/>
    <x v="1"/>
    <x v="3"/>
    <x v="35"/>
    <n v="37232.43"/>
    <n v="5"/>
    <x v="1"/>
    <s v="High"/>
    <n v="0.12882103048337162"/>
    <x v="230"/>
    <x v="1"/>
  </r>
  <r>
    <s v="ORD10231"/>
    <x v="1"/>
    <x v="8"/>
    <n v="5"/>
    <s v="Q2"/>
    <x v="231"/>
    <d v="2026-05-15T00:00:00"/>
    <s v="C1231"/>
    <x v="231"/>
    <x v="0"/>
    <s v="India"/>
    <s v="Delhi"/>
    <s v="Delhi"/>
    <x v="0"/>
    <x v="1"/>
    <x v="3"/>
    <x v="64"/>
    <n v="24894.19"/>
    <n v="8"/>
    <x v="0"/>
    <s v="Medium"/>
    <n v="-7.5692360345928113E-3"/>
    <x v="231"/>
    <x v="2"/>
  </r>
  <r>
    <s v="ORD10232"/>
    <x v="1"/>
    <x v="8"/>
    <n v="5"/>
    <s v="Q2"/>
    <x v="232"/>
    <d v="2026-05-16T00:00:00"/>
    <s v="C1232"/>
    <x v="232"/>
    <x v="0"/>
    <s v="India"/>
    <s v="Delhi"/>
    <s v="Delhi"/>
    <x v="0"/>
    <x v="1"/>
    <x v="1"/>
    <x v="135"/>
    <n v="47658.559999999998"/>
    <n v="2"/>
    <x v="1"/>
    <s v="High"/>
    <n v="0.14583550153424696"/>
    <x v="232"/>
    <x v="3"/>
  </r>
  <r>
    <s v="ORD10233"/>
    <x v="1"/>
    <x v="8"/>
    <n v="5"/>
    <s v="Q2"/>
    <x v="233"/>
    <d v="2026-05-17T00:00:00"/>
    <s v="C1233"/>
    <x v="233"/>
    <x v="2"/>
    <s v="India"/>
    <s v="Karnataka"/>
    <s v="Bengaluru"/>
    <x v="1"/>
    <x v="0"/>
    <x v="0"/>
    <x v="136"/>
    <n v="3605.59"/>
    <n v="1"/>
    <x v="0"/>
    <s v="Low"/>
    <n v="-1.4804789230056662E-2"/>
    <x v="233"/>
    <x v="3"/>
  </r>
  <r>
    <s v="ORD10234"/>
    <x v="1"/>
    <x v="8"/>
    <n v="5"/>
    <s v="Q2"/>
    <x v="234"/>
    <d v="2026-05-18T00:00:00"/>
    <s v="C1234"/>
    <x v="234"/>
    <x v="1"/>
    <s v="India"/>
    <s v="Haryana"/>
    <s v="Gurugram"/>
    <x v="0"/>
    <x v="1"/>
    <x v="1"/>
    <x v="1"/>
    <n v="43982.67"/>
    <n v="1"/>
    <x v="2"/>
    <s v="High"/>
    <n v="0.21027213673021669"/>
    <x v="234"/>
    <x v="2"/>
  </r>
  <r>
    <s v="ORD10235"/>
    <x v="1"/>
    <x v="8"/>
    <n v="5"/>
    <s v="Q2"/>
    <x v="235"/>
    <d v="2026-05-19T00:00:00"/>
    <s v="C1235"/>
    <x v="235"/>
    <x v="1"/>
    <s v="India"/>
    <s v="Karnataka"/>
    <s v="Bengaluru"/>
    <x v="1"/>
    <x v="2"/>
    <x v="4"/>
    <x v="137"/>
    <n v="23601.05"/>
    <n v="8"/>
    <x v="1"/>
    <s v="Medium"/>
    <n v="1.1852015058652052E-2"/>
    <x v="235"/>
    <x v="0"/>
  </r>
  <r>
    <s v="ORD10236"/>
    <x v="1"/>
    <x v="8"/>
    <n v="5"/>
    <s v="Q2"/>
    <x v="236"/>
    <d v="2026-05-20T00:00:00"/>
    <s v="C1236"/>
    <x v="236"/>
    <x v="1"/>
    <s v="India"/>
    <s v="Haryana"/>
    <s v="Gurugram"/>
    <x v="0"/>
    <x v="2"/>
    <x v="6"/>
    <x v="67"/>
    <n v="15279.39"/>
    <n v="2"/>
    <x v="2"/>
    <s v="Medium"/>
    <n v="0.10170693987129067"/>
    <x v="236"/>
    <x v="2"/>
  </r>
  <r>
    <s v="ORD10237"/>
    <x v="1"/>
    <x v="8"/>
    <n v="5"/>
    <s v="Q2"/>
    <x v="237"/>
    <d v="2026-05-21T00:00:00"/>
    <s v="C1237"/>
    <x v="237"/>
    <x v="0"/>
    <s v="India"/>
    <s v="Maharashtra"/>
    <s v="Mumbai"/>
    <x v="2"/>
    <x v="2"/>
    <x v="4"/>
    <x v="11"/>
    <n v="11361.7"/>
    <n v="1"/>
    <x v="3"/>
    <s v="Medium"/>
    <n v="3.9235325699499189E-2"/>
    <x v="237"/>
    <x v="0"/>
  </r>
  <r>
    <s v="ORD10238"/>
    <x v="1"/>
    <x v="8"/>
    <n v="5"/>
    <s v="Q2"/>
    <x v="238"/>
    <d v="2026-05-22T00:00:00"/>
    <s v="C1238"/>
    <x v="238"/>
    <x v="1"/>
    <s v="India"/>
    <s v="Delhi"/>
    <s v="Delhi"/>
    <x v="0"/>
    <x v="1"/>
    <x v="1"/>
    <x v="1"/>
    <n v="19270.86"/>
    <n v="4"/>
    <x v="1"/>
    <s v="Medium"/>
    <n v="1.670709039451275E-2"/>
    <x v="238"/>
    <x v="1"/>
  </r>
  <r>
    <s v="ORD10239"/>
    <x v="1"/>
    <x v="8"/>
    <n v="5"/>
    <s v="Q2"/>
    <x v="239"/>
    <d v="2026-05-23T00:00:00"/>
    <s v="C1239"/>
    <x v="239"/>
    <x v="2"/>
    <s v="India"/>
    <s v="West Bengal"/>
    <s v="Kolkata"/>
    <x v="3"/>
    <x v="1"/>
    <x v="2"/>
    <x v="101"/>
    <n v="15096.14"/>
    <n v="4"/>
    <x v="2"/>
    <s v="Medium"/>
    <n v="0.23415124661006062"/>
    <x v="239"/>
    <x v="1"/>
  </r>
  <r>
    <s v="ORD10240"/>
    <x v="1"/>
    <x v="8"/>
    <n v="5"/>
    <s v="Q2"/>
    <x v="240"/>
    <d v="2026-05-24T00:00:00"/>
    <s v="C1240"/>
    <x v="240"/>
    <x v="0"/>
    <s v="India"/>
    <s v="Karnataka"/>
    <s v="Bengaluru"/>
    <x v="1"/>
    <x v="1"/>
    <x v="2"/>
    <x v="2"/>
    <n v="2124.66"/>
    <n v="7"/>
    <x v="0"/>
    <s v="Low"/>
    <n v="2.0012613782911151E-2"/>
    <x v="240"/>
    <x v="1"/>
  </r>
  <r>
    <s v="ORD10241"/>
    <x v="1"/>
    <x v="8"/>
    <n v="5"/>
    <s v="Q2"/>
    <x v="241"/>
    <d v="2026-05-25T00:00:00"/>
    <s v="C1241"/>
    <x v="241"/>
    <x v="2"/>
    <s v="India"/>
    <s v="Delhi"/>
    <s v="Delhi"/>
    <x v="0"/>
    <x v="0"/>
    <x v="7"/>
    <x v="61"/>
    <n v="31997.46"/>
    <n v="1"/>
    <x v="1"/>
    <s v="High"/>
    <n v="0.13901759702176361"/>
    <x v="241"/>
    <x v="1"/>
  </r>
  <r>
    <s v="ORD10242"/>
    <x v="1"/>
    <x v="8"/>
    <n v="5"/>
    <s v="Q2"/>
    <x v="242"/>
    <d v="2026-05-26T00:00:00"/>
    <s v="C1242"/>
    <x v="242"/>
    <x v="1"/>
    <s v="India"/>
    <s v="Karnataka"/>
    <s v="Bengaluru"/>
    <x v="1"/>
    <x v="1"/>
    <x v="2"/>
    <x v="13"/>
    <n v="11384.55"/>
    <n v="7"/>
    <x v="3"/>
    <s v="Medium"/>
    <n v="0.17849366026764343"/>
    <x v="242"/>
    <x v="0"/>
  </r>
  <r>
    <s v="ORD10243"/>
    <x v="1"/>
    <x v="8"/>
    <n v="5"/>
    <s v="Q2"/>
    <x v="243"/>
    <d v="2026-05-27T00:00:00"/>
    <s v="C1243"/>
    <x v="243"/>
    <x v="2"/>
    <s v="India"/>
    <s v="Haryana"/>
    <s v="Gurugram"/>
    <x v="0"/>
    <x v="0"/>
    <x v="7"/>
    <x v="14"/>
    <n v="34942.92"/>
    <n v="1"/>
    <x v="2"/>
    <s v="High"/>
    <n v="0.10656894157671998"/>
    <x v="243"/>
    <x v="0"/>
  </r>
  <r>
    <s v="ORD10244"/>
    <x v="1"/>
    <x v="8"/>
    <n v="5"/>
    <s v="Q2"/>
    <x v="244"/>
    <d v="2026-05-28T00:00:00"/>
    <s v="C1244"/>
    <x v="244"/>
    <x v="0"/>
    <s v="India"/>
    <s v="Haryana"/>
    <s v="Gurugram"/>
    <x v="0"/>
    <x v="1"/>
    <x v="3"/>
    <x v="33"/>
    <n v="28325.59"/>
    <n v="3"/>
    <x v="2"/>
    <s v="Medium"/>
    <n v="0.27319572160721101"/>
    <x v="244"/>
    <x v="2"/>
  </r>
  <r>
    <s v="ORD10245"/>
    <x v="1"/>
    <x v="8"/>
    <n v="5"/>
    <s v="Q2"/>
    <x v="245"/>
    <d v="2026-05-29T00:00:00"/>
    <s v="C1245"/>
    <x v="245"/>
    <x v="2"/>
    <s v="India"/>
    <s v="Karnataka"/>
    <s v="Bengaluru"/>
    <x v="1"/>
    <x v="0"/>
    <x v="0"/>
    <x v="91"/>
    <n v="8634.66"/>
    <n v="4"/>
    <x v="1"/>
    <s v="Low"/>
    <n v="3.111529579624444E-2"/>
    <x v="245"/>
    <x v="2"/>
  </r>
  <r>
    <s v="ORD10246"/>
    <x v="1"/>
    <x v="8"/>
    <n v="5"/>
    <s v="Q2"/>
    <x v="246"/>
    <d v="2026-05-30T00:00:00"/>
    <s v="C1246"/>
    <x v="246"/>
    <x v="0"/>
    <s v="India"/>
    <s v="Maharashtra"/>
    <s v="Mumbai"/>
    <x v="2"/>
    <x v="1"/>
    <x v="1"/>
    <x v="138"/>
    <n v="39290.1"/>
    <n v="7"/>
    <x v="3"/>
    <s v="High"/>
    <n v="0.25537400006617444"/>
    <x v="246"/>
    <x v="1"/>
  </r>
  <r>
    <s v="ORD10247"/>
    <x v="1"/>
    <x v="8"/>
    <n v="5"/>
    <s v="Q2"/>
    <x v="247"/>
    <d v="2026-05-31T00:00:00"/>
    <s v="C1247"/>
    <x v="247"/>
    <x v="0"/>
    <s v="India"/>
    <s v="West Bengal"/>
    <s v="Kolkata"/>
    <x v="3"/>
    <x v="2"/>
    <x v="8"/>
    <x v="130"/>
    <n v="45830.81"/>
    <n v="2"/>
    <x v="1"/>
    <s v="High"/>
    <n v="0.16833523125600441"/>
    <x v="247"/>
    <x v="0"/>
  </r>
  <r>
    <s v="ORD10248"/>
    <x v="1"/>
    <x v="8"/>
    <n v="5"/>
    <s v="Q2"/>
    <x v="248"/>
    <d v="2026-06-01T00:00:00"/>
    <s v="C1248"/>
    <x v="248"/>
    <x v="1"/>
    <s v="India"/>
    <s v="West Bengal"/>
    <s v="Kolkata"/>
    <x v="3"/>
    <x v="1"/>
    <x v="1"/>
    <x v="112"/>
    <n v="21508.59"/>
    <n v="4"/>
    <x v="1"/>
    <s v="Medium"/>
    <n v="0.10938001979674168"/>
    <x v="248"/>
    <x v="0"/>
  </r>
  <r>
    <s v="ORD10249"/>
    <x v="1"/>
    <x v="8"/>
    <n v="5"/>
    <s v="Q2"/>
    <x v="249"/>
    <d v="2026-06-02T00:00:00"/>
    <s v="C1249"/>
    <x v="249"/>
    <x v="2"/>
    <s v="India"/>
    <s v="West Bengal"/>
    <s v="Kolkata"/>
    <x v="3"/>
    <x v="2"/>
    <x v="8"/>
    <x v="72"/>
    <n v="21595.4"/>
    <n v="2"/>
    <x v="3"/>
    <s v="Medium"/>
    <n v="6.6506293006844047E-2"/>
    <x v="249"/>
    <x v="3"/>
  </r>
  <r>
    <s v="ORD10250"/>
    <x v="1"/>
    <x v="8"/>
    <n v="5"/>
    <s v="Q2"/>
    <x v="250"/>
    <d v="2026-06-03T00:00:00"/>
    <s v="C1250"/>
    <x v="250"/>
    <x v="0"/>
    <s v="India"/>
    <s v="Maharashtra"/>
    <s v="Mumbai"/>
    <x v="2"/>
    <x v="1"/>
    <x v="1"/>
    <x v="139"/>
    <n v="43804.08"/>
    <n v="4"/>
    <x v="2"/>
    <s v="High"/>
    <n v="6.7463350445894535E-2"/>
    <x v="250"/>
    <x v="0"/>
  </r>
  <r>
    <s v="ORD10251"/>
    <x v="1"/>
    <x v="8"/>
    <n v="5"/>
    <s v="Q2"/>
    <x v="251"/>
    <d v="2026-06-04T00:00:00"/>
    <s v="C1251"/>
    <x v="251"/>
    <x v="2"/>
    <s v="India"/>
    <s v="Haryana"/>
    <s v="Gurugram"/>
    <x v="0"/>
    <x v="1"/>
    <x v="1"/>
    <x v="23"/>
    <n v="4828.45"/>
    <n v="3"/>
    <x v="2"/>
    <s v="Low"/>
    <n v="0.29127359711708728"/>
    <x v="251"/>
    <x v="3"/>
  </r>
  <r>
    <s v="ORD10252"/>
    <x v="1"/>
    <x v="9"/>
    <n v="6"/>
    <s v="Q2"/>
    <x v="252"/>
    <d v="2026-06-05T00:00:00"/>
    <s v="C1252"/>
    <x v="252"/>
    <x v="2"/>
    <s v="India"/>
    <s v="Maharashtra"/>
    <s v="Mumbai"/>
    <x v="2"/>
    <x v="0"/>
    <x v="0"/>
    <x v="131"/>
    <n v="23124.12"/>
    <n v="4"/>
    <x v="3"/>
    <s v="Medium"/>
    <n v="0.18823678479440517"/>
    <x v="252"/>
    <x v="1"/>
  </r>
  <r>
    <s v="ORD10253"/>
    <x v="1"/>
    <x v="9"/>
    <n v="6"/>
    <s v="Q2"/>
    <x v="253"/>
    <d v="2026-06-06T00:00:00"/>
    <s v="C1253"/>
    <x v="253"/>
    <x v="0"/>
    <s v="India"/>
    <s v="Delhi"/>
    <s v="Delhi"/>
    <x v="0"/>
    <x v="1"/>
    <x v="1"/>
    <x v="109"/>
    <n v="9095.2800000000007"/>
    <n v="8"/>
    <x v="3"/>
    <s v="Low"/>
    <n v="3.5576694725176133E-2"/>
    <x v="253"/>
    <x v="3"/>
  </r>
  <r>
    <s v="ORD10254"/>
    <x v="1"/>
    <x v="9"/>
    <n v="6"/>
    <s v="Q2"/>
    <x v="254"/>
    <d v="2026-06-07T00:00:00"/>
    <s v="C1254"/>
    <x v="254"/>
    <x v="2"/>
    <s v="India"/>
    <s v="Haryana"/>
    <s v="Gurugram"/>
    <x v="0"/>
    <x v="1"/>
    <x v="3"/>
    <x v="58"/>
    <n v="29487.94"/>
    <n v="7"/>
    <x v="1"/>
    <s v="Medium"/>
    <n v="0.14381913419519982"/>
    <x v="254"/>
    <x v="2"/>
  </r>
  <r>
    <s v="ORD10255"/>
    <x v="1"/>
    <x v="9"/>
    <n v="6"/>
    <s v="Q2"/>
    <x v="255"/>
    <d v="2026-06-08T00:00:00"/>
    <s v="C1255"/>
    <x v="255"/>
    <x v="0"/>
    <s v="India"/>
    <s v="Delhi"/>
    <s v="Delhi"/>
    <x v="0"/>
    <x v="0"/>
    <x v="0"/>
    <x v="27"/>
    <n v="12146.51"/>
    <n v="2"/>
    <x v="0"/>
    <s v="Medium"/>
    <n v="0.18832487685763233"/>
    <x v="255"/>
    <x v="1"/>
  </r>
  <r>
    <s v="ORD10256"/>
    <x v="1"/>
    <x v="9"/>
    <n v="6"/>
    <s v="Q2"/>
    <x v="256"/>
    <d v="2026-06-09T00:00:00"/>
    <s v="C1256"/>
    <x v="256"/>
    <x v="1"/>
    <s v="India"/>
    <s v="Karnataka"/>
    <s v="Bengaluru"/>
    <x v="1"/>
    <x v="0"/>
    <x v="5"/>
    <x v="55"/>
    <n v="29299.4"/>
    <n v="5"/>
    <x v="0"/>
    <s v="Medium"/>
    <n v="-1.6399994539137319E-2"/>
    <x v="256"/>
    <x v="0"/>
  </r>
  <r>
    <s v="ORD10257"/>
    <x v="1"/>
    <x v="9"/>
    <n v="6"/>
    <s v="Q2"/>
    <x v="257"/>
    <d v="2026-06-10T00:00:00"/>
    <s v="C1257"/>
    <x v="257"/>
    <x v="0"/>
    <s v="India"/>
    <s v="West Bengal"/>
    <s v="Kolkata"/>
    <x v="3"/>
    <x v="0"/>
    <x v="7"/>
    <x v="99"/>
    <n v="23743.38"/>
    <n v="3"/>
    <x v="2"/>
    <s v="Medium"/>
    <n v="6.5889523732509864E-2"/>
    <x v="257"/>
    <x v="0"/>
  </r>
  <r>
    <s v="ORD10258"/>
    <x v="1"/>
    <x v="9"/>
    <n v="6"/>
    <s v="Q2"/>
    <x v="258"/>
    <d v="2026-06-11T00:00:00"/>
    <s v="C1258"/>
    <x v="258"/>
    <x v="2"/>
    <s v="India"/>
    <s v="Maharashtra"/>
    <s v="Mumbai"/>
    <x v="2"/>
    <x v="1"/>
    <x v="2"/>
    <x v="140"/>
    <n v="13907.47"/>
    <n v="5"/>
    <x v="0"/>
    <s v="Medium"/>
    <n v="5.3532382237747055E-2"/>
    <x v="258"/>
    <x v="3"/>
  </r>
  <r>
    <s v="ORD10259"/>
    <x v="1"/>
    <x v="9"/>
    <n v="6"/>
    <s v="Q2"/>
    <x v="259"/>
    <d v="2026-06-12T00:00:00"/>
    <s v="C1259"/>
    <x v="259"/>
    <x v="1"/>
    <s v="India"/>
    <s v="Haryana"/>
    <s v="Gurugram"/>
    <x v="0"/>
    <x v="0"/>
    <x v="5"/>
    <x v="16"/>
    <n v="19260.16"/>
    <n v="7"/>
    <x v="2"/>
    <s v="Medium"/>
    <n v="6.2502596032431718E-2"/>
    <x v="259"/>
    <x v="0"/>
  </r>
  <r>
    <s v="ORD10260"/>
    <x v="1"/>
    <x v="9"/>
    <n v="6"/>
    <s v="Q2"/>
    <x v="260"/>
    <d v="2026-06-13T00:00:00"/>
    <s v="C1260"/>
    <x v="260"/>
    <x v="2"/>
    <s v="India"/>
    <s v="Karnataka"/>
    <s v="Bengaluru"/>
    <x v="1"/>
    <x v="1"/>
    <x v="3"/>
    <x v="31"/>
    <n v="41964.94"/>
    <n v="4"/>
    <x v="3"/>
    <s v="High"/>
    <n v="0.17621876738058007"/>
    <x v="260"/>
    <x v="3"/>
  </r>
  <r>
    <s v="ORD10261"/>
    <x v="1"/>
    <x v="9"/>
    <n v="6"/>
    <s v="Q2"/>
    <x v="261"/>
    <d v="2026-06-14T00:00:00"/>
    <s v="C1261"/>
    <x v="261"/>
    <x v="1"/>
    <s v="India"/>
    <s v="Delhi"/>
    <s v="Delhi"/>
    <x v="0"/>
    <x v="1"/>
    <x v="2"/>
    <x v="141"/>
    <n v="40377.9"/>
    <n v="7"/>
    <x v="3"/>
    <s v="High"/>
    <n v="0.16169439222941262"/>
    <x v="261"/>
    <x v="0"/>
  </r>
  <r>
    <s v="ORD10262"/>
    <x v="1"/>
    <x v="9"/>
    <n v="6"/>
    <s v="Q2"/>
    <x v="262"/>
    <d v="2026-06-15T00:00:00"/>
    <s v="C1262"/>
    <x v="262"/>
    <x v="2"/>
    <s v="India"/>
    <s v="Maharashtra"/>
    <s v="Mumbai"/>
    <x v="2"/>
    <x v="1"/>
    <x v="2"/>
    <x v="141"/>
    <n v="23194.21"/>
    <n v="7"/>
    <x v="1"/>
    <s v="Medium"/>
    <n v="0.16506145283672088"/>
    <x v="262"/>
    <x v="1"/>
  </r>
  <r>
    <s v="ORD10263"/>
    <x v="1"/>
    <x v="9"/>
    <n v="6"/>
    <s v="Q2"/>
    <x v="263"/>
    <d v="2026-06-16T00:00:00"/>
    <s v="C1263"/>
    <x v="263"/>
    <x v="1"/>
    <s v="India"/>
    <s v="Haryana"/>
    <s v="Gurugram"/>
    <x v="0"/>
    <x v="1"/>
    <x v="1"/>
    <x v="138"/>
    <n v="30015.27"/>
    <n v="7"/>
    <x v="3"/>
    <s v="High"/>
    <n v="0.23849360675416212"/>
    <x v="263"/>
    <x v="2"/>
  </r>
  <r>
    <s v="ORD10264"/>
    <x v="1"/>
    <x v="9"/>
    <n v="6"/>
    <s v="Q2"/>
    <x v="264"/>
    <d v="2026-06-17T00:00:00"/>
    <s v="C1264"/>
    <x v="264"/>
    <x v="0"/>
    <s v="India"/>
    <s v="West Bengal"/>
    <s v="Kolkata"/>
    <x v="3"/>
    <x v="1"/>
    <x v="2"/>
    <x v="34"/>
    <n v="43236.37"/>
    <n v="5"/>
    <x v="0"/>
    <s v="High"/>
    <n v="0.17531050825959718"/>
    <x v="264"/>
    <x v="3"/>
  </r>
  <r>
    <s v="ORD10265"/>
    <x v="1"/>
    <x v="9"/>
    <n v="6"/>
    <s v="Q2"/>
    <x v="265"/>
    <d v="2026-06-18T00:00:00"/>
    <s v="C1265"/>
    <x v="265"/>
    <x v="1"/>
    <s v="India"/>
    <s v="Haryana"/>
    <s v="Gurugram"/>
    <x v="0"/>
    <x v="0"/>
    <x v="5"/>
    <x v="41"/>
    <n v="16745.990000000002"/>
    <n v="8"/>
    <x v="0"/>
    <s v="Medium"/>
    <n v="0.20366607169835882"/>
    <x v="265"/>
    <x v="3"/>
  </r>
  <r>
    <s v="ORD10266"/>
    <x v="1"/>
    <x v="9"/>
    <n v="6"/>
    <s v="Q2"/>
    <x v="266"/>
    <d v="2026-06-19T00:00:00"/>
    <s v="C1266"/>
    <x v="266"/>
    <x v="2"/>
    <s v="India"/>
    <s v="West Bengal"/>
    <s v="Kolkata"/>
    <x v="3"/>
    <x v="0"/>
    <x v="5"/>
    <x v="142"/>
    <n v="21757.88"/>
    <n v="8"/>
    <x v="2"/>
    <s v="Medium"/>
    <n v="0.11042528040415701"/>
    <x v="266"/>
    <x v="1"/>
  </r>
  <r>
    <s v="ORD10267"/>
    <x v="1"/>
    <x v="9"/>
    <n v="6"/>
    <s v="Q2"/>
    <x v="267"/>
    <d v="2026-06-20T00:00:00"/>
    <s v="C1267"/>
    <x v="267"/>
    <x v="1"/>
    <s v="India"/>
    <s v="Karnataka"/>
    <s v="Bengaluru"/>
    <x v="1"/>
    <x v="1"/>
    <x v="1"/>
    <x v="143"/>
    <n v="48088.12"/>
    <n v="7"/>
    <x v="1"/>
    <s v="High"/>
    <n v="9.0851960941704512E-3"/>
    <x v="267"/>
    <x v="2"/>
  </r>
  <r>
    <s v="ORD10268"/>
    <x v="1"/>
    <x v="9"/>
    <n v="6"/>
    <s v="Q2"/>
    <x v="268"/>
    <d v="2026-06-21T00:00:00"/>
    <s v="C1268"/>
    <x v="268"/>
    <x v="0"/>
    <s v="India"/>
    <s v="West Bengal"/>
    <s v="Kolkata"/>
    <x v="3"/>
    <x v="2"/>
    <x v="4"/>
    <x v="127"/>
    <n v="17775.38"/>
    <n v="6"/>
    <x v="3"/>
    <s v="Medium"/>
    <n v="0.12109952079786761"/>
    <x v="268"/>
    <x v="3"/>
  </r>
  <r>
    <s v="ORD10269"/>
    <x v="1"/>
    <x v="9"/>
    <n v="6"/>
    <s v="Q2"/>
    <x v="269"/>
    <d v="2026-06-22T00:00:00"/>
    <s v="C1269"/>
    <x v="269"/>
    <x v="1"/>
    <s v="India"/>
    <s v="Karnataka"/>
    <s v="Bengaluru"/>
    <x v="1"/>
    <x v="2"/>
    <x v="4"/>
    <x v="50"/>
    <n v="24461.07"/>
    <n v="2"/>
    <x v="0"/>
    <s v="Medium"/>
    <n v="0.1626650019806983"/>
    <x v="269"/>
    <x v="0"/>
  </r>
  <r>
    <s v="ORD10270"/>
    <x v="1"/>
    <x v="9"/>
    <n v="6"/>
    <s v="Q2"/>
    <x v="270"/>
    <d v="2026-06-23T00:00:00"/>
    <s v="C1270"/>
    <x v="270"/>
    <x v="2"/>
    <s v="India"/>
    <s v="Karnataka"/>
    <s v="Bengaluru"/>
    <x v="1"/>
    <x v="0"/>
    <x v="5"/>
    <x v="16"/>
    <n v="10611.79"/>
    <n v="4"/>
    <x v="1"/>
    <s v="Medium"/>
    <n v="3.0265393491578706E-2"/>
    <x v="270"/>
    <x v="3"/>
  </r>
  <r>
    <s v="ORD10271"/>
    <x v="1"/>
    <x v="9"/>
    <n v="6"/>
    <s v="Q2"/>
    <x v="271"/>
    <d v="2026-06-24T00:00:00"/>
    <s v="C1271"/>
    <x v="271"/>
    <x v="0"/>
    <s v="India"/>
    <s v="Maharashtra"/>
    <s v="Mumbai"/>
    <x v="2"/>
    <x v="2"/>
    <x v="4"/>
    <x v="18"/>
    <n v="19701.63"/>
    <n v="7"/>
    <x v="2"/>
    <s v="Medium"/>
    <n v="0.20270302507965077"/>
    <x v="271"/>
    <x v="2"/>
  </r>
  <r>
    <s v="ORD10272"/>
    <x v="1"/>
    <x v="9"/>
    <n v="6"/>
    <s v="Q2"/>
    <x v="272"/>
    <d v="2026-06-25T00:00:00"/>
    <s v="C1272"/>
    <x v="272"/>
    <x v="1"/>
    <s v="India"/>
    <s v="Karnataka"/>
    <s v="Bengaluru"/>
    <x v="1"/>
    <x v="0"/>
    <x v="7"/>
    <x v="144"/>
    <n v="19848.8"/>
    <n v="2"/>
    <x v="2"/>
    <s v="Medium"/>
    <n v="0.24225847406392326"/>
    <x v="272"/>
    <x v="1"/>
  </r>
  <r>
    <s v="ORD10273"/>
    <x v="1"/>
    <x v="9"/>
    <n v="6"/>
    <s v="Q2"/>
    <x v="273"/>
    <d v="2026-06-26T00:00:00"/>
    <s v="C1273"/>
    <x v="273"/>
    <x v="1"/>
    <s v="India"/>
    <s v="Maharashtra"/>
    <s v="Mumbai"/>
    <x v="2"/>
    <x v="0"/>
    <x v="0"/>
    <x v="100"/>
    <n v="28624.76"/>
    <n v="5"/>
    <x v="1"/>
    <s v="Medium"/>
    <n v="-4.7449131451233133E-2"/>
    <x v="273"/>
    <x v="0"/>
  </r>
  <r>
    <s v="ORD10274"/>
    <x v="1"/>
    <x v="9"/>
    <n v="6"/>
    <s v="Q2"/>
    <x v="274"/>
    <d v="2026-06-27T00:00:00"/>
    <s v="C1274"/>
    <x v="274"/>
    <x v="2"/>
    <s v="India"/>
    <s v="Haryana"/>
    <s v="Gurugram"/>
    <x v="0"/>
    <x v="1"/>
    <x v="2"/>
    <x v="13"/>
    <n v="31621.03"/>
    <n v="4"/>
    <x v="1"/>
    <s v="High"/>
    <n v="-4.2471418546454684E-2"/>
    <x v="274"/>
    <x v="2"/>
  </r>
  <r>
    <s v="ORD10275"/>
    <x v="1"/>
    <x v="9"/>
    <n v="6"/>
    <s v="Q2"/>
    <x v="275"/>
    <d v="2026-06-28T00:00:00"/>
    <s v="C1275"/>
    <x v="275"/>
    <x v="0"/>
    <s v="India"/>
    <s v="Karnataka"/>
    <s v="Bengaluru"/>
    <x v="1"/>
    <x v="2"/>
    <x v="8"/>
    <x v="72"/>
    <n v="40604.67"/>
    <n v="1"/>
    <x v="0"/>
    <s v="High"/>
    <n v="-2.9672202729390487E-2"/>
    <x v="275"/>
    <x v="2"/>
  </r>
  <r>
    <s v="ORD10276"/>
    <x v="1"/>
    <x v="9"/>
    <n v="6"/>
    <s v="Q2"/>
    <x v="276"/>
    <d v="2026-06-29T00:00:00"/>
    <s v="C1276"/>
    <x v="276"/>
    <x v="1"/>
    <s v="India"/>
    <s v="Delhi"/>
    <s v="Delhi"/>
    <x v="0"/>
    <x v="1"/>
    <x v="1"/>
    <x v="145"/>
    <n v="26079.11"/>
    <n v="2"/>
    <x v="3"/>
    <s v="Medium"/>
    <n v="0.20961374832193275"/>
    <x v="276"/>
    <x v="0"/>
  </r>
  <r>
    <s v="ORD10277"/>
    <x v="1"/>
    <x v="9"/>
    <n v="6"/>
    <s v="Q2"/>
    <x v="277"/>
    <d v="2026-06-30T00:00:00"/>
    <s v="C1277"/>
    <x v="277"/>
    <x v="2"/>
    <s v="India"/>
    <s v="Delhi"/>
    <s v="Delhi"/>
    <x v="0"/>
    <x v="1"/>
    <x v="3"/>
    <x v="146"/>
    <n v="15827.26"/>
    <n v="4"/>
    <x v="0"/>
    <s v="Medium"/>
    <n v="0.21909477698603549"/>
    <x v="277"/>
    <x v="3"/>
  </r>
  <r>
    <s v="ORD10278"/>
    <x v="1"/>
    <x v="9"/>
    <n v="6"/>
    <s v="Q2"/>
    <x v="278"/>
    <d v="2026-07-01T00:00:00"/>
    <s v="C1278"/>
    <x v="278"/>
    <x v="1"/>
    <s v="India"/>
    <s v="Maharashtra"/>
    <s v="Mumbai"/>
    <x v="2"/>
    <x v="2"/>
    <x v="8"/>
    <x v="38"/>
    <n v="48232.13"/>
    <n v="3"/>
    <x v="3"/>
    <s v="High"/>
    <n v="8.1616341637825246E-2"/>
    <x v="278"/>
    <x v="1"/>
  </r>
  <r>
    <s v="ORD10279"/>
    <x v="1"/>
    <x v="9"/>
    <n v="6"/>
    <s v="Q2"/>
    <x v="279"/>
    <d v="2026-07-02T00:00:00"/>
    <s v="C1279"/>
    <x v="279"/>
    <x v="2"/>
    <s v="India"/>
    <s v="Delhi"/>
    <s v="Delhi"/>
    <x v="0"/>
    <x v="1"/>
    <x v="1"/>
    <x v="145"/>
    <n v="29203.67"/>
    <n v="4"/>
    <x v="3"/>
    <s v="Medium"/>
    <n v="3.8120208864159885E-2"/>
    <x v="279"/>
    <x v="2"/>
  </r>
  <r>
    <s v="ORD10280"/>
    <x v="1"/>
    <x v="9"/>
    <n v="6"/>
    <s v="Q2"/>
    <x v="280"/>
    <d v="2026-07-03T00:00:00"/>
    <s v="C1280"/>
    <x v="280"/>
    <x v="0"/>
    <s v="India"/>
    <s v="Delhi"/>
    <s v="Delhi"/>
    <x v="0"/>
    <x v="1"/>
    <x v="2"/>
    <x v="13"/>
    <n v="31170.12"/>
    <n v="8"/>
    <x v="1"/>
    <s v="High"/>
    <n v="5.3291100579657698E-2"/>
    <x v="280"/>
    <x v="0"/>
  </r>
  <r>
    <s v="ORD10281"/>
    <x v="1"/>
    <x v="9"/>
    <n v="6"/>
    <s v="Q2"/>
    <x v="281"/>
    <d v="2026-07-04T00:00:00"/>
    <s v="C1281"/>
    <x v="281"/>
    <x v="1"/>
    <s v="India"/>
    <s v="Delhi"/>
    <s v="Delhi"/>
    <x v="0"/>
    <x v="1"/>
    <x v="1"/>
    <x v="135"/>
    <n v="25558.43"/>
    <n v="1"/>
    <x v="0"/>
    <s v="Medium"/>
    <n v="0.14574838908336701"/>
    <x v="281"/>
    <x v="1"/>
  </r>
  <r>
    <s v="ORD10282"/>
    <x v="1"/>
    <x v="10"/>
    <n v="7"/>
    <s v="Q3"/>
    <x v="282"/>
    <d v="2026-07-05T00:00:00"/>
    <s v="C1282"/>
    <x v="282"/>
    <x v="1"/>
    <s v="India"/>
    <s v="Maharashtra"/>
    <s v="Mumbai"/>
    <x v="2"/>
    <x v="1"/>
    <x v="3"/>
    <x v="64"/>
    <n v="17119.13"/>
    <n v="6"/>
    <x v="0"/>
    <s v="Medium"/>
    <n v="5.0093083001297375E-2"/>
    <x v="282"/>
    <x v="0"/>
  </r>
  <r>
    <s v="ORD10283"/>
    <x v="1"/>
    <x v="10"/>
    <n v="7"/>
    <s v="Q3"/>
    <x v="283"/>
    <d v="2026-07-06T00:00:00"/>
    <s v="C1283"/>
    <x v="283"/>
    <x v="2"/>
    <s v="India"/>
    <s v="Maharashtra"/>
    <s v="Mumbai"/>
    <x v="2"/>
    <x v="1"/>
    <x v="1"/>
    <x v="75"/>
    <n v="49144.3"/>
    <n v="1"/>
    <x v="0"/>
    <s v="High"/>
    <n v="3.1179607808026564E-3"/>
    <x v="283"/>
    <x v="1"/>
  </r>
  <r>
    <s v="ORD10284"/>
    <x v="1"/>
    <x v="10"/>
    <n v="7"/>
    <s v="Q3"/>
    <x v="284"/>
    <d v="2026-07-07T00:00:00"/>
    <s v="C1284"/>
    <x v="284"/>
    <x v="1"/>
    <s v="India"/>
    <s v="Haryana"/>
    <s v="Gurugram"/>
    <x v="0"/>
    <x v="0"/>
    <x v="0"/>
    <x v="131"/>
    <n v="5171.84"/>
    <n v="6"/>
    <x v="2"/>
    <s v="Low"/>
    <n v="0.25127034092315309"/>
    <x v="284"/>
    <x v="0"/>
  </r>
  <r>
    <s v="ORD10285"/>
    <x v="1"/>
    <x v="10"/>
    <n v="7"/>
    <s v="Q3"/>
    <x v="285"/>
    <d v="2026-07-08T00:00:00"/>
    <s v="C1285"/>
    <x v="285"/>
    <x v="2"/>
    <s v="India"/>
    <s v="Maharashtra"/>
    <s v="Mumbai"/>
    <x v="2"/>
    <x v="0"/>
    <x v="7"/>
    <x v="53"/>
    <n v="16168.06"/>
    <n v="1"/>
    <x v="0"/>
    <s v="Medium"/>
    <n v="0.19118929543804267"/>
    <x v="285"/>
    <x v="0"/>
  </r>
  <r>
    <s v="ORD10286"/>
    <x v="1"/>
    <x v="10"/>
    <n v="7"/>
    <s v="Q3"/>
    <x v="286"/>
    <d v="2026-07-09T00:00:00"/>
    <s v="C1286"/>
    <x v="286"/>
    <x v="0"/>
    <s v="India"/>
    <s v="Delhi"/>
    <s v="Delhi"/>
    <x v="0"/>
    <x v="0"/>
    <x v="0"/>
    <x v="136"/>
    <n v="27670.15"/>
    <n v="4"/>
    <x v="3"/>
    <s v="Medium"/>
    <n v="2.6956846999383811E-2"/>
    <x v="286"/>
    <x v="1"/>
  </r>
  <r>
    <s v="ORD10287"/>
    <x v="1"/>
    <x v="10"/>
    <n v="7"/>
    <s v="Q3"/>
    <x v="287"/>
    <d v="2026-07-10T00:00:00"/>
    <s v="C1287"/>
    <x v="287"/>
    <x v="2"/>
    <s v="India"/>
    <s v="Haryana"/>
    <s v="Gurugram"/>
    <x v="0"/>
    <x v="2"/>
    <x v="6"/>
    <x v="108"/>
    <n v="4227.12"/>
    <n v="4"/>
    <x v="2"/>
    <s v="Low"/>
    <n v="0.25877192982456138"/>
    <x v="287"/>
    <x v="3"/>
  </r>
  <r>
    <s v="ORD10288"/>
    <x v="1"/>
    <x v="10"/>
    <n v="7"/>
    <s v="Q3"/>
    <x v="288"/>
    <d v="2026-07-11T00:00:00"/>
    <s v="C1288"/>
    <x v="288"/>
    <x v="0"/>
    <s v="India"/>
    <s v="Haryana"/>
    <s v="Gurugram"/>
    <x v="0"/>
    <x v="0"/>
    <x v="7"/>
    <x v="122"/>
    <n v="36679.96"/>
    <n v="6"/>
    <x v="1"/>
    <s v="High"/>
    <n v="7.2171834429481385E-2"/>
    <x v="288"/>
    <x v="0"/>
  </r>
  <r>
    <s v="ORD10289"/>
    <x v="1"/>
    <x v="10"/>
    <n v="7"/>
    <s v="Q3"/>
    <x v="289"/>
    <d v="2026-07-12T00:00:00"/>
    <s v="C1289"/>
    <x v="289"/>
    <x v="0"/>
    <s v="India"/>
    <s v="West Bengal"/>
    <s v="Kolkata"/>
    <x v="3"/>
    <x v="2"/>
    <x v="8"/>
    <x v="29"/>
    <n v="35955.61"/>
    <n v="1"/>
    <x v="2"/>
    <s v="High"/>
    <n v="0.1410155466699077"/>
    <x v="289"/>
    <x v="2"/>
  </r>
  <r>
    <s v="ORD10290"/>
    <x v="1"/>
    <x v="10"/>
    <n v="7"/>
    <s v="Q3"/>
    <x v="290"/>
    <d v="2026-07-13T00:00:00"/>
    <s v="C1290"/>
    <x v="290"/>
    <x v="0"/>
    <s v="India"/>
    <s v="Delhi"/>
    <s v="Delhi"/>
    <x v="0"/>
    <x v="0"/>
    <x v="0"/>
    <x v="49"/>
    <n v="39874.85"/>
    <n v="4"/>
    <x v="1"/>
    <s v="High"/>
    <n v="0.17673495950454987"/>
    <x v="290"/>
    <x v="1"/>
  </r>
  <r>
    <s v="ORD10291"/>
    <x v="1"/>
    <x v="10"/>
    <n v="7"/>
    <s v="Q3"/>
    <x v="291"/>
    <d v="2026-07-14T00:00:00"/>
    <s v="C1291"/>
    <x v="291"/>
    <x v="1"/>
    <s v="India"/>
    <s v="Maharashtra"/>
    <s v="Mumbai"/>
    <x v="2"/>
    <x v="1"/>
    <x v="1"/>
    <x v="1"/>
    <n v="49493.26"/>
    <n v="6"/>
    <x v="0"/>
    <s v="High"/>
    <n v="-1.9283029648885525E-2"/>
    <x v="291"/>
    <x v="2"/>
  </r>
  <r>
    <s v="ORD10292"/>
    <x v="1"/>
    <x v="10"/>
    <n v="7"/>
    <s v="Q3"/>
    <x v="292"/>
    <d v="2026-07-15T00:00:00"/>
    <s v="C1292"/>
    <x v="292"/>
    <x v="1"/>
    <s v="India"/>
    <s v="West Bengal"/>
    <s v="Kolkata"/>
    <x v="3"/>
    <x v="0"/>
    <x v="7"/>
    <x v="86"/>
    <n v="39566.44"/>
    <n v="3"/>
    <x v="0"/>
    <s v="High"/>
    <n v="0.20853025948253112"/>
    <x v="292"/>
    <x v="1"/>
  </r>
  <r>
    <s v="ORD10293"/>
    <x v="1"/>
    <x v="10"/>
    <n v="7"/>
    <s v="Q3"/>
    <x v="293"/>
    <d v="2026-07-16T00:00:00"/>
    <s v="C1293"/>
    <x v="293"/>
    <x v="1"/>
    <s v="India"/>
    <s v="Karnataka"/>
    <s v="Bengaluru"/>
    <x v="1"/>
    <x v="2"/>
    <x v="8"/>
    <x v="24"/>
    <n v="26004"/>
    <n v="2"/>
    <x v="1"/>
    <s v="Medium"/>
    <n v="-2.9163590216889711E-2"/>
    <x v="293"/>
    <x v="2"/>
  </r>
  <r>
    <s v="ORD10294"/>
    <x v="1"/>
    <x v="10"/>
    <n v="7"/>
    <s v="Q3"/>
    <x v="294"/>
    <d v="2026-07-17T00:00:00"/>
    <s v="C1294"/>
    <x v="294"/>
    <x v="0"/>
    <s v="India"/>
    <s v="Maharashtra"/>
    <s v="Mumbai"/>
    <x v="2"/>
    <x v="1"/>
    <x v="3"/>
    <x v="58"/>
    <n v="36531.51"/>
    <n v="2"/>
    <x v="0"/>
    <s v="High"/>
    <n v="0.16380872293535087"/>
    <x v="294"/>
    <x v="2"/>
  </r>
  <r>
    <s v="ORD10295"/>
    <x v="1"/>
    <x v="10"/>
    <n v="7"/>
    <s v="Q3"/>
    <x v="295"/>
    <d v="2026-07-18T00:00:00"/>
    <s v="C1295"/>
    <x v="295"/>
    <x v="2"/>
    <s v="India"/>
    <s v="West Bengal"/>
    <s v="Kolkata"/>
    <x v="3"/>
    <x v="1"/>
    <x v="3"/>
    <x v="147"/>
    <n v="24569.57"/>
    <n v="5"/>
    <x v="0"/>
    <s v="Medium"/>
    <n v="5.4324109050341539E-2"/>
    <x v="295"/>
    <x v="0"/>
  </r>
  <r>
    <s v="ORD10296"/>
    <x v="1"/>
    <x v="10"/>
    <n v="7"/>
    <s v="Q3"/>
    <x v="296"/>
    <d v="2026-07-19T00:00:00"/>
    <s v="C1296"/>
    <x v="296"/>
    <x v="2"/>
    <s v="India"/>
    <s v="Maharashtra"/>
    <s v="Mumbai"/>
    <x v="2"/>
    <x v="0"/>
    <x v="7"/>
    <x v="79"/>
    <n v="42772.32"/>
    <n v="6"/>
    <x v="0"/>
    <s v="High"/>
    <n v="1.1427951535011428E-2"/>
    <x v="296"/>
    <x v="1"/>
  </r>
  <r>
    <s v="ORD10297"/>
    <x v="1"/>
    <x v="10"/>
    <n v="7"/>
    <s v="Q3"/>
    <x v="297"/>
    <d v="2026-07-20T00:00:00"/>
    <s v="C1297"/>
    <x v="297"/>
    <x v="2"/>
    <s v="India"/>
    <s v="Delhi"/>
    <s v="Delhi"/>
    <x v="0"/>
    <x v="2"/>
    <x v="4"/>
    <x v="148"/>
    <n v="36235.760000000002"/>
    <n v="3"/>
    <x v="2"/>
    <s v="High"/>
    <n v="0.14412834172651548"/>
    <x v="297"/>
    <x v="3"/>
  </r>
  <r>
    <s v="ORD10298"/>
    <x v="1"/>
    <x v="10"/>
    <n v="7"/>
    <s v="Q3"/>
    <x v="298"/>
    <d v="2026-07-21T00:00:00"/>
    <s v="C1298"/>
    <x v="298"/>
    <x v="2"/>
    <s v="India"/>
    <s v="Delhi"/>
    <s v="Delhi"/>
    <x v="0"/>
    <x v="0"/>
    <x v="7"/>
    <x v="79"/>
    <n v="4195.37"/>
    <n v="4"/>
    <x v="0"/>
    <s v="Low"/>
    <n v="8.7279548645292318E-2"/>
    <x v="298"/>
    <x v="0"/>
  </r>
  <r>
    <s v="ORD10299"/>
    <x v="1"/>
    <x v="10"/>
    <n v="7"/>
    <s v="Q3"/>
    <x v="299"/>
    <d v="2026-07-22T00:00:00"/>
    <s v="C1299"/>
    <x v="299"/>
    <x v="2"/>
    <s v="India"/>
    <s v="Maharashtra"/>
    <s v="Mumbai"/>
    <x v="2"/>
    <x v="1"/>
    <x v="3"/>
    <x v="146"/>
    <n v="5013.7700000000004"/>
    <n v="1"/>
    <x v="3"/>
    <s v="Low"/>
    <n v="0.17057024953278671"/>
    <x v="299"/>
    <x v="1"/>
  </r>
  <r>
    <s v="ORD10300"/>
    <x v="1"/>
    <x v="10"/>
    <n v="7"/>
    <s v="Q3"/>
    <x v="300"/>
    <d v="2026-07-23T00:00:00"/>
    <s v="C1300"/>
    <x v="300"/>
    <x v="1"/>
    <s v="India"/>
    <s v="Delhi"/>
    <s v="Delhi"/>
    <x v="0"/>
    <x v="1"/>
    <x v="2"/>
    <x v="115"/>
    <n v="7830.62"/>
    <n v="8"/>
    <x v="0"/>
    <s v="Low"/>
    <n v="0.14584541198525786"/>
    <x v="300"/>
    <x v="0"/>
  </r>
  <r>
    <s v="ORD10301"/>
    <x v="1"/>
    <x v="10"/>
    <n v="7"/>
    <s v="Q3"/>
    <x v="301"/>
    <d v="2026-07-24T00:00:00"/>
    <s v="C1301"/>
    <x v="301"/>
    <x v="1"/>
    <s v="India"/>
    <s v="Maharashtra"/>
    <s v="Mumbai"/>
    <x v="2"/>
    <x v="2"/>
    <x v="6"/>
    <x v="149"/>
    <n v="18414.060000000001"/>
    <n v="4"/>
    <x v="0"/>
    <s v="Medium"/>
    <n v="0.1519675726048465"/>
    <x v="301"/>
    <x v="1"/>
  </r>
  <r>
    <s v="ORD10302"/>
    <x v="1"/>
    <x v="10"/>
    <n v="7"/>
    <s v="Q3"/>
    <x v="302"/>
    <d v="2026-07-25T00:00:00"/>
    <s v="C1302"/>
    <x v="302"/>
    <x v="2"/>
    <s v="India"/>
    <s v="Haryana"/>
    <s v="Gurugram"/>
    <x v="0"/>
    <x v="2"/>
    <x v="8"/>
    <x v="66"/>
    <n v="17332"/>
    <n v="1"/>
    <x v="0"/>
    <s v="Medium"/>
    <n v="3.3917032079390723E-2"/>
    <x v="302"/>
    <x v="3"/>
  </r>
  <r>
    <s v="ORD10303"/>
    <x v="1"/>
    <x v="10"/>
    <n v="7"/>
    <s v="Q3"/>
    <x v="303"/>
    <d v="2026-07-26T00:00:00"/>
    <s v="C1303"/>
    <x v="303"/>
    <x v="2"/>
    <s v="India"/>
    <s v="Haryana"/>
    <s v="Gurugram"/>
    <x v="0"/>
    <x v="2"/>
    <x v="6"/>
    <x v="9"/>
    <n v="7239.02"/>
    <n v="1"/>
    <x v="3"/>
    <s v="Low"/>
    <n v="3.1084318043050025E-2"/>
    <x v="303"/>
    <x v="0"/>
  </r>
  <r>
    <s v="ORD10304"/>
    <x v="1"/>
    <x v="10"/>
    <n v="7"/>
    <s v="Q3"/>
    <x v="304"/>
    <d v="2026-07-27T00:00:00"/>
    <s v="C1304"/>
    <x v="304"/>
    <x v="2"/>
    <s v="India"/>
    <s v="Delhi"/>
    <s v="Delhi"/>
    <x v="0"/>
    <x v="1"/>
    <x v="2"/>
    <x v="125"/>
    <n v="3123.4"/>
    <n v="1"/>
    <x v="3"/>
    <s v="Low"/>
    <n v="0.16459947493116475"/>
    <x v="304"/>
    <x v="1"/>
  </r>
  <r>
    <s v="ORD10305"/>
    <x v="1"/>
    <x v="10"/>
    <n v="7"/>
    <s v="Q3"/>
    <x v="305"/>
    <d v="2026-07-28T00:00:00"/>
    <s v="C1305"/>
    <x v="305"/>
    <x v="0"/>
    <s v="India"/>
    <s v="Maharashtra"/>
    <s v="Mumbai"/>
    <x v="2"/>
    <x v="2"/>
    <x v="8"/>
    <x v="65"/>
    <n v="16649.98"/>
    <n v="3"/>
    <x v="0"/>
    <s v="Medium"/>
    <n v="-1.038860106738867E-2"/>
    <x v="305"/>
    <x v="2"/>
  </r>
  <r>
    <s v="ORD10306"/>
    <x v="1"/>
    <x v="10"/>
    <n v="7"/>
    <s v="Q3"/>
    <x v="306"/>
    <d v="2026-07-29T00:00:00"/>
    <s v="C1306"/>
    <x v="306"/>
    <x v="1"/>
    <s v="India"/>
    <s v="Maharashtra"/>
    <s v="Mumbai"/>
    <x v="2"/>
    <x v="2"/>
    <x v="6"/>
    <x v="22"/>
    <n v="28097.63"/>
    <n v="7"/>
    <x v="3"/>
    <s v="Medium"/>
    <n v="0.12465606529803402"/>
    <x v="306"/>
    <x v="0"/>
  </r>
  <r>
    <s v="ORD10307"/>
    <x v="1"/>
    <x v="10"/>
    <n v="7"/>
    <s v="Q3"/>
    <x v="307"/>
    <d v="2026-07-30T00:00:00"/>
    <s v="C1307"/>
    <x v="307"/>
    <x v="0"/>
    <s v="India"/>
    <s v="Maharashtra"/>
    <s v="Mumbai"/>
    <x v="2"/>
    <x v="2"/>
    <x v="6"/>
    <x v="8"/>
    <n v="13695.96"/>
    <n v="2"/>
    <x v="1"/>
    <s v="Medium"/>
    <n v="-2.3289349560016243E-2"/>
    <x v="307"/>
    <x v="1"/>
  </r>
  <r>
    <s v="ORD10308"/>
    <x v="1"/>
    <x v="10"/>
    <n v="7"/>
    <s v="Q3"/>
    <x v="308"/>
    <d v="2026-07-31T00:00:00"/>
    <s v="C1308"/>
    <x v="308"/>
    <x v="1"/>
    <s v="India"/>
    <s v="Delhi"/>
    <s v="Delhi"/>
    <x v="0"/>
    <x v="0"/>
    <x v="0"/>
    <x v="91"/>
    <n v="18504.310000000001"/>
    <n v="4"/>
    <x v="2"/>
    <s v="Medium"/>
    <n v="5.4137657659215604E-2"/>
    <x v="308"/>
    <x v="3"/>
  </r>
  <r>
    <s v="ORD10309"/>
    <x v="1"/>
    <x v="10"/>
    <n v="7"/>
    <s v="Q3"/>
    <x v="309"/>
    <d v="2026-08-01T00:00:00"/>
    <s v="C1309"/>
    <x v="309"/>
    <x v="1"/>
    <s v="India"/>
    <s v="Maharashtra"/>
    <s v="Mumbai"/>
    <x v="2"/>
    <x v="0"/>
    <x v="5"/>
    <x v="20"/>
    <n v="5209.5"/>
    <n v="2"/>
    <x v="1"/>
    <s v="Low"/>
    <n v="-6.2505038871292828E-2"/>
    <x v="309"/>
    <x v="2"/>
  </r>
  <r>
    <s v="ORD10310"/>
    <x v="1"/>
    <x v="10"/>
    <n v="7"/>
    <s v="Q3"/>
    <x v="310"/>
    <d v="2026-08-02T00:00:00"/>
    <s v="C1310"/>
    <x v="310"/>
    <x v="2"/>
    <s v="India"/>
    <s v="West Bengal"/>
    <s v="Kolkata"/>
    <x v="3"/>
    <x v="2"/>
    <x v="4"/>
    <x v="119"/>
    <n v="40491.599999999999"/>
    <n v="1"/>
    <x v="0"/>
    <s v="High"/>
    <n v="0.17358513864604017"/>
    <x v="310"/>
    <x v="1"/>
  </r>
  <r>
    <s v="ORD10311"/>
    <x v="1"/>
    <x v="10"/>
    <n v="7"/>
    <s v="Q3"/>
    <x v="311"/>
    <d v="2026-08-03T00:00:00"/>
    <s v="C1311"/>
    <x v="311"/>
    <x v="2"/>
    <s v="India"/>
    <s v="West Bengal"/>
    <s v="Kolkata"/>
    <x v="3"/>
    <x v="2"/>
    <x v="6"/>
    <x v="8"/>
    <n v="33845.730000000003"/>
    <n v="1"/>
    <x v="1"/>
    <s v="High"/>
    <n v="8.9977967678640691E-2"/>
    <x v="311"/>
    <x v="1"/>
  </r>
  <r>
    <s v="ORD10312"/>
    <x v="1"/>
    <x v="10"/>
    <n v="7"/>
    <s v="Q3"/>
    <x v="312"/>
    <d v="2026-08-04T00:00:00"/>
    <s v="C1312"/>
    <x v="312"/>
    <x v="0"/>
    <s v="India"/>
    <s v="West Bengal"/>
    <s v="Kolkata"/>
    <x v="3"/>
    <x v="1"/>
    <x v="1"/>
    <x v="103"/>
    <n v="48589.36"/>
    <n v="5"/>
    <x v="0"/>
    <s v="High"/>
    <n v="0.21125674427487828"/>
    <x v="312"/>
    <x v="1"/>
  </r>
  <r>
    <s v="ORD10313"/>
    <x v="1"/>
    <x v="11"/>
    <n v="8"/>
    <s v="Q3"/>
    <x v="313"/>
    <d v="2026-08-05T00:00:00"/>
    <s v="C1313"/>
    <x v="313"/>
    <x v="2"/>
    <s v="India"/>
    <s v="Delhi"/>
    <s v="Delhi"/>
    <x v="0"/>
    <x v="2"/>
    <x v="6"/>
    <x v="150"/>
    <n v="28107.03"/>
    <n v="2"/>
    <x v="0"/>
    <s v="Medium"/>
    <n v="2.0256853890290083E-2"/>
    <x v="313"/>
    <x v="3"/>
  </r>
  <r>
    <s v="ORD10314"/>
    <x v="1"/>
    <x v="11"/>
    <n v="8"/>
    <s v="Q3"/>
    <x v="314"/>
    <d v="2026-08-06T00:00:00"/>
    <s v="C1314"/>
    <x v="314"/>
    <x v="1"/>
    <s v="India"/>
    <s v="Karnataka"/>
    <s v="Bengaluru"/>
    <x v="1"/>
    <x v="0"/>
    <x v="7"/>
    <x v="42"/>
    <n v="7138.95"/>
    <n v="2"/>
    <x v="1"/>
    <s v="Low"/>
    <n v="0.12927111129787994"/>
    <x v="314"/>
    <x v="2"/>
  </r>
  <r>
    <s v="ORD10315"/>
    <x v="1"/>
    <x v="11"/>
    <n v="8"/>
    <s v="Q3"/>
    <x v="315"/>
    <d v="2026-08-07T00:00:00"/>
    <s v="C1315"/>
    <x v="315"/>
    <x v="0"/>
    <s v="India"/>
    <s v="Maharashtra"/>
    <s v="Mumbai"/>
    <x v="2"/>
    <x v="2"/>
    <x v="4"/>
    <x v="151"/>
    <n v="27865.18"/>
    <n v="2"/>
    <x v="0"/>
    <s v="Medium"/>
    <n v="6.3016280533626554E-2"/>
    <x v="315"/>
    <x v="0"/>
  </r>
  <r>
    <s v="ORD10316"/>
    <x v="1"/>
    <x v="11"/>
    <n v="8"/>
    <s v="Q3"/>
    <x v="316"/>
    <d v="2026-08-08T00:00:00"/>
    <s v="C1316"/>
    <x v="316"/>
    <x v="2"/>
    <s v="India"/>
    <s v="Karnataka"/>
    <s v="Bengaluru"/>
    <x v="1"/>
    <x v="0"/>
    <x v="7"/>
    <x v="79"/>
    <n v="33575.269999999997"/>
    <n v="5"/>
    <x v="3"/>
    <s v="High"/>
    <n v="0.10401971451011414"/>
    <x v="316"/>
    <x v="0"/>
  </r>
  <r>
    <s v="ORD10317"/>
    <x v="1"/>
    <x v="11"/>
    <n v="8"/>
    <s v="Q3"/>
    <x v="317"/>
    <d v="2026-08-09T00:00:00"/>
    <s v="C1317"/>
    <x v="317"/>
    <x v="2"/>
    <s v="India"/>
    <s v="Karnataka"/>
    <s v="Bengaluru"/>
    <x v="1"/>
    <x v="1"/>
    <x v="1"/>
    <x v="152"/>
    <n v="40909.279999999999"/>
    <n v="3"/>
    <x v="1"/>
    <s v="High"/>
    <n v="0.11701477024283977"/>
    <x v="317"/>
    <x v="0"/>
  </r>
  <r>
    <s v="ORD10318"/>
    <x v="1"/>
    <x v="11"/>
    <n v="8"/>
    <s v="Q3"/>
    <x v="318"/>
    <d v="2026-08-10T00:00:00"/>
    <s v="C1318"/>
    <x v="318"/>
    <x v="1"/>
    <s v="India"/>
    <s v="West Bengal"/>
    <s v="Kolkata"/>
    <x v="3"/>
    <x v="2"/>
    <x v="4"/>
    <x v="11"/>
    <n v="22767.55"/>
    <n v="2"/>
    <x v="0"/>
    <s v="Medium"/>
    <n v="4.2472729828198469E-2"/>
    <x v="318"/>
    <x v="3"/>
  </r>
  <r>
    <s v="ORD10319"/>
    <x v="1"/>
    <x v="11"/>
    <n v="8"/>
    <s v="Q3"/>
    <x v="319"/>
    <d v="2026-08-11T00:00:00"/>
    <s v="C1319"/>
    <x v="319"/>
    <x v="1"/>
    <s v="India"/>
    <s v="Delhi"/>
    <s v="Delhi"/>
    <x v="0"/>
    <x v="1"/>
    <x v="1"/>
    <x v="143"/>
    <n v="23827.51"/>
    <n v="5"/>
    <x v="2"/>
    <s v="Medium"/>
    <n v="0.20679290450407953"/>
    <x v="319"/>
    <x v="0"/>
  </r>
  <r>
    <s v="ORD10320"/>
    <x v="1"/>
    <x v="11"/>
    <n v="8"/>
    <s v="Q3"/>
    <x v="320"/>
    <d v="2026-08-12T00:00:00"/>
    <s v="C1320"/>
    <x v="320"/>
    <x v="0"/>
    <s v="India"/>
    <s v="Haryana"/>
    <s v="Gurugram"/>
    <x v="0"/>
    <x v="2"/>
    <x v="6"/>
    <x v="45"/>
    <n v="20792.48"/>
    <n v="4"/>
    <x v="2"/>
    <s v="Medium"/>
    <n v="0.25961838126091741"/>
    <x v="320"/>
    <x v="1"/>
  </r>
  <r>
    <s v="ORD10321"/>
    <x v="1"/>
    <x v="11"/>
    <n v="8"/>
    <s v="Q3"/>
    <x v="321"/>
    <d v="2026-08-13T00:00:00"/>
    <s v="C1321"/>
    <x v="321"/>
    <x v="1"/>
    <s v="India"/>
    <s v="Karnataka"/>
    <s v="Bengaluru"/>
    <x v="1"/>
    <x v="2"/>
    <x v="6"/>
    <x v="44"/>
    <n v="35688.400000000001"/>
    <n v="2"/>
    <x v="2"/>
    <s v="High"/>
    <n v="9.6384259311148718E-2"/>
    <x v="321"/>
    <x v="2"/>
  </r>
  <r>
    <s v="ORD10322"/>
    <x v="1"/>
    <x v="11"/>
    <n v="8"/>
    <s v="Q3"/>
    <x v="322"/>
    <d v="2026-08-14T00:00:00"/>
    <s v="C1322"/>
    <x v="322"/>
    <x v="1"/>
    <s v="India"/>
    <s v="West Bengal"/>
    <s v="Kolkata"/>
    <x v="3"/>
    <x v="0"/>
    <x v="7"/>
    <x v="129"/>
    <n v="18743.16"/>
    <n v="6"/>
    <x v="3"/>
    <s v="Medium"/>
    <n v="0.10526880205899111"/>
    <x v="322"/>
    <x v="2"/>
  </r>
  <r>
    <s v="ORD10323"/>
    <x v="1"/>
    <x v="11"/>
    <n v="8"/>
    <s v="Q3"/>
    <x v="323"/>
    <d v="2026-08-15T00:00:00"/>
    <s v="C1323"/>
    <x v="323"/>
    <x v="1"/>
    <s v="India"/>
    <s v="Maharashtra"/>
    <s v="Mumbai"/>
    <x v="2"/>
    <x v="1"/>
    <x v="1"/>
    <x v="138"/>
    <n v="9775.82"/>
    <n v="6"/>
    <x v="3"/>
    <s v="Low"/>
    <n v="1.1913067139124902E-2"/>
    <x v="323"/>
    <x v="0"/>
  </r>
  <r>
    <s v="ORD10324"/>
    <x v="1"/>
    <x v="11"/>
    <n v="8"/>
    <s v="Q3"/>
    <x v="324"/>
    <d v="2026-08-16T00:00:00"/>
    <s v="C1324"/>
    <x v="324"/>
    <x v="1"/>
    <s v="India"/>
    <s v="West Bengal"/>
    <s v="Kolkata"/>
    <x v="3"/>
    <x v="2"/>
    <x v="4"/>
    <x v="4"/>
    <n v="19533.57"/>
    <n v="7"/>
    <x v="1"/>
    <s v="Medium"/>
    <n v="8.7897399195333986E-2"/>
    <x v="324"/>
    <x v="0"/>
  </r>
  <r>
    <s v="ORD10325"/>
    <x v="1"/>
    <x v="11"/>
    <n v="8"/>
    <s v="Q3"/>
    <x v="325"/>
    <d v="2026-08-17T00:00:00"/>
    <s v="C1325"/>
    <x v="325"/>
    <x v="2"/>
    <s v="India"/>
    <s v="Karnataka"/>
    <s v="Bengaluru"/>
    <x v="1"/>
    <x v="0"/>
    <x v="7"/>
    <x v="106"/>
    <n v="25437.77"/>
    <n v="8"/>
    <x v="3"/>
    <s v="Medium"/>
    <n v="0.19040033776545662"/>
    <x v="325"/>
    <x v="3"/>
  </r>
  <r>
    <s v="ORD10326"/>
    <x v="1"/>
    <x v="11"/>
    <n v="8"/>
    <s v="Q3"/>
    <x v="326"/>
    <d v="2026-08-18T00:00:00"/>
    <s v="C1326"/>
    <x v="326"/>
    <x v="1"/>
    <s v="India"/>
    <s v="Delhi"/>
    <s v="Delhi"/>
    <x v="0"/>
    <x v="0"/>
    <x v="7"/>
    <x v="42"/>
    <n v="22848.03"/>
    <n v="4"/>
    <x v="1"/>
    <s v="Medium"/>
    <n v="1.8244023664184615E-2"/>
    <x v="326"/>
    <x v="0"/>
  </r>
  <r>
    <s v="ORD10327"/>
    <x v="1"/>
    <x v="11"/>
    <n v="8"/>
    <s v="Q3"/>
    <x v="327"/>
    <d v="2026-08-19T00:00:00"/>
    <s v="C1327"/>
    <x v="327"/>
    <x v="1"/>
    <s v="India"/>
    <s v="Delhi"/>
    <s v="Delhi"/>
    <x v="0"/>
    <x v="1"/>
    <x v="1"/>
    <x v="153"/>
    <n v="8444.3799999999992"/>
    <n v="4"/>
    <x v="2"/>
    <s v="Low"/>
    <n v="0.23324625372141"/>
    <x v="327"/>
    <x v="2"/>
  </r>
  <r>
    <s v="ORD10328"/>
    <x v="1"/>
    <x v="11"/>
    <n v="8"/>
    <s v="Q3"/>
    <x v="328"/>
    <d v="2026-08-20T00:00:00"/>
    <s v="C1328"/>
    <x v="328"/>
    <x v="1"/>
    <s v="India"/>
    <s v="Maharashtra"/>
    <s v="Mumbai"/>
    <x v="2"/>
    <x v="2"/>
    <x v="4"/>
    <x v="95"/>
    <n v="914.72"/>
    <n v="8"/>
    <x v="2"/>
    <s v="Low"/>
    <n v="0.10996807766311002"/>
    <x v="328"/>
    <x v="1"/>
  </r>
  <r>
    <s v="ORD10329"/>
    <x v="1"/>
    <x v="11"/>
    <n v="8"/>
    <s v="Q3"/>
    <x v="329"/>
    <d v="2026-08-21T00:00:00"/>
    <s v="C1329"/>
    <x v="329"/>
    <x v="0"/>
    <s v="India"/>
    <s v="West Bengal"/>
    <s v="Kolkata"/>
    <x v="3"/>
    <x v="0"/>
    <x v="7"/>
    <x v="99"/>
    <n v="23807.18"/>
    <n v="5"/>
    <x v="2"/>
    <s v="Medium"/>
    <n v="0.29685876277660772"/>
    <x v="329"/>
    <x v="2"/>
  </r>
  <r>
    <s v="ORD10330"/>
    <x v="1"/>
    <x v="11"/>
    <n v="8"/>
    <s v="Q3"/>
    <x v="330"/>
    <d v="2026-08-22T00:00:00"/>
    <s v="C1330"/>
    <x v="330"/>
    <x v="1"/>
    <s v="India"/>
    <s v="Delhi"/>
    <s v="Delhi"/>
    <x v="0"/>
    <x v="1"/>
    <x v="1"/>
    <x v="118"/>
    <n v="7186.03"/>
    <n v="6"/>
    <x v="2"/>
    <s v="Low"/>
    <n v="0.15965978433154329"/>
    <x v="330"/>
    <x v="1"/>
  </r>
  <r>
    <s v="ORD10331"/>
    <x v="1"/>
    <x v="11"/>
    <n v="8"/>
    <s v="Q3"/>
    <x v="331"/>
    <d v="2026-08-23T00:00:00"/>
    <s v="C1331"/>
    <x v="331"/>
    <x v="1"/>
    <s v="India"/>
    <s v="Maharashtra"/>
    <s v="Mumbai"/>
    <x v="2"/>
    <x v="2"/>
    <x v="6"/>
    <x v="21"/>
    <n v="49883.74"/>
    <n v="6"/>
    <x v="0"/>
    <s v="High"/>
    <n v="0.16543907894636609"/>
    <x v="331"/>
    <x v="3"/>
  </r>
  <r>
    <s v="ORD10332"/>
    <x v="1"/>
    <x v="11"/>
    <n v="8"/>
    <s v="Q3"/>
    <x v="332"/>
    <d v="2026-08-24T00:00:00"/>
    <s v="C1332"/>
    <x v="332"/>
    <x v="1"/>
    <s v="India"/>
    <s v="West Bengal"/>
    <s v="Kolkata"/>
    <x v="3"/>
    <x v="0"/>
    <x v="7"/>
    <x v="106"/>
    <n v="15115.25"/>
    <n v="8"/>
    <x v="3"/>
    <s v="Medium"/>
    <n v="0.19258894163179571"/>
    <x v="332"/>
    <x v="0"/>
  </r>
  <r>
    <s v="ORD10333"/>
    <x v="1"/>
    <x v="11"/>
    <n v="8"/>
    <s v="Q3"/>
    <x v="333"/>
    <d v="2026-08-25T00:00:00"/>
    <s v="C1333"/>
    <x v="333"/>
    <x v="1"/>
    <s v="India"/>
    <s v="Delhi"/>
    <s v="Delhi"/>
    <x v="0"/>
    <x v="1"/>
    <x v="3"/>
    <x v="64"/>
    <n v="34838.97"/>
    <n v="3"/>
    <x v="2"/>
    <s v="High"/>
    <n v="0.23665854644956497"/>
    <x v="333"/>
    <x v="2"/>
  </r>
  <r>
    <s v="ORD10334"/>
    <x v="1"/>
    <x v="11"/>
    <n v="8"/>
    <s v="Q3"/>
    <x v="334"/>
    <d v="2026-08-26T00:00:00"/>
    <s v="C1334"/>
    <x v="334"/>
    <x v="1"/>
    <s v="India"/>
    <s v="Haryana"/>
    <s v="Gurugram"/>
    <x v="0"/>
    <x v="2"/>
    <x v="8"/>
    <x v="114"/>
    <n v="23825.58"/>
    <n v="3"/>
    <x v="1"/>
    <s v="Medium"/>
    <n v="6.5838481161843695E-2"/>
    <x v="334"/>
    <x v="0"/>
  </r>
  <r>
    <s v="ORD10335"/>
    <x v="1"/>
    <x v="11"/>
    <n v="8"/>
    <s v="Q3"/>
    <x v="335"/>
    <d v="2026-08-27T00:00:00"/>
    <s v="C1335"/>
    <x v="335"/>
    <x v="2"/>
    <s v="India"/>
    <s v="Maharashtra"/>
    <s v="Mumbai"/>
    <x v="2"/>
    <x v="0"/>
    <x v="5"/>
    <x v="7"/>
    <n v="16792.900000000001"/>
    <n v="3"/>
    <x v="0"/>
    <s v="Medium"/>
    <n v="-2.6116394428597797E-2"/>
    <x v="335"/>
    <x v="1"/>
  </r>
  <r>
    <s v="ORD10336"/>
    <x v="1"/>
    <x v="11"/>
    <n v="8"/>
    <s v="Q3"/>
    <x v="336"/>
    <d v="2026-08-28T00:00:00"/>
    <s v="C1336"/>
    <x v="336"/>
    <x v="2"/>
    <s v="India"/>
    <s v="Delhi"/>
    <s v="Delhi"/>
    <x v="0"/>
    <x v="2"/>
    <x v="8"/>
    <x v="114"/>
    <n v="18847.47"/>
    <n v="6"/>
    <x v="3"/>
    <s v="Medium"/>
    <n v="0.18333919618919672"/>
    <x v="336"/>
    <x v="3"/>
  </r>
  <r>
    <s v="ORD10337"/>
    <x v="1"/>
    <x v="11"/>
    <n v="8"/>
    <s v="Q3"/>
    <x v="337"/>
    <d v="2026-08-29T00:00:00"/>
    <s v="C1337"/>
    <x v="337"/>
    <x v="0"/>
    <s v="India"/>
    <s v="Delhi"/>
    <s v="Delhi"/>
    <x v="0"/>
    <x v="0"/>
    <x v="7"/>
    <x v="110"/>
    <n v="10757.36"/>
    <n v="6"/>
    <x v="1"/>
    <s v="Medium"/>
    <n v="-2.4762581153740321E-2"/>
    <x v="337"/>
    <x v="2"/>
  </r>
  <r>
    <s v="ORD10338"/>
    <x v="1"/>
    <x v="11"/>
    <n v="8"/>
    <s v="Q3"/>
    <x v="338"/>
    <d v="2026-08-30T00:00:00"/>
    <s v="C1338"/>
    <x v="338"/>
    <x v="1"/>
    <s v="India"/>
    <s v="Haryana"/>
    <s v="Gurugram"/>
    <x v="0"/>
    <x v="1"/>
    <x v="2"/>
    <x v="19"/>
    <n v="44461.43"/>
    <n v="2"/>
    <x v="2"/>
    <s v="High"/>
    <n v="0.21340811575336197"/>
    <x v="338"/>
    <x v="0"/>
  </r>
  <r>
    <s v="ORD10339"/>
    <x v="1"/>
    <x v="11"/>
    <n v="8"/>
    <s v="Q3"/>
    <x v="339"/>
    <d v="2026-08-31T00:00:00"/>
    <s v="C1339"/>
    <x v="339"/>
    <x v="0"/>
    <s v="India"/>
    <s v="Haryana"/>
    <s v="Gurugram"/>
    <x v="0"/>
    <x v="0"/>
    <x v="5"/>
    <x v="39"/>
    <n v="9565.0300000000007"/>
    <n v="6"/>
    <x v="3"/>
    <s v="Low"/>
    <n v="6.2455632653530616E-2"/>
    <x v="339"/>
    <x v="1"/>
  </r>
  <r>
    <s v="ORD10340"/>
    <x v="1"/>
    <x v="11"/>
    <n v="8"/>
    <s v="Q3"/>
    <x v="340"/>
    <d v="2026-09-01T00:00:00"/>
    <s v="C1340"/>
    <x v="340"/>
    <x v="2"/>
    <s v="India"/>
    <s v="Maharashtra"/>
    <s v="Mumbai"/>
    <x v="2"/>
    <x v="0"/>
    <x v="5"/>
    <x v="57"/>
    <n v="49663.16"/>
    <n v="3"/>
    <x v="3"/>
    <s v="High"/>
    <n v="0.23906312042971084"/>
    <x v="340"/>
    <x v="1"/>
  </r>
  <r>
    <s v="ORD10341"/>
    <x v="1"/>
    <x v="11"/>
    <n v="8"/>
    <s v="Q3"/>
    <x v="341"/>
    <d v="2026-09-02T00:00:00"/>
    <s v="C1341"/>
    <x v="341"/>
    <x v="1"/>
    <s v="India"/>
    <s v="Maharashtra"/>
    <s v="Mumbai"/>
    <x v="2"/>
    <x v="2"/>
    <x v="8"/>
    <x v="72"/>
    <n v="37772.44"/>
    <n v="4"/>
    <x v="1"/>
    <s v="High"/>
    <n v="8.2837645648520447E-2"/>
    <x v="341"/>
    <x v="2"/>
  </r>
  <r>
    <s v="ORD10342"/>
    <x v="1"/>
    <x v="11"/>
    <n v="8"/>
    <s v="Q3"/>
    <x v="342"/>
    <d v="2026-09-03T00:00:00"/>
    <s v="C1342"/>
    <x v="342"/>
    <x v="0"/>
    <s v="India"/>
    <s v="Maharashtra"/>
    <s v="Mumbai"/>
    <x v="2"/>
    <x v="1"/>
    <x v="3"/>
    <x v="117"/>
    <n v="17681.27"/>
    <n v="5"/>
    <x v="3"/>
    <s v="Medium"/>
    <n v="2.2823021197006778E-2"/>
    <x v="342"/>
    <x v="0"/>
  </r>
  <r>
    <s v="ORD10343"/>
    <x v="1"/>
    <x v="11"/>
    <n v="8"/>
    <s v="Q3"/>
    <x v="343"/>
    <d v="2026-09-04T00:00:00"/>
    <s v="C1343"/>
    <x v="343"/>
    <x v="0"/>
    <s v="India"/>
    <s v="Maharashtra"/>
    <s v="Mumbai"/>
    <x v="2"/>
    <x v="1"/>
    <x v="2"/>
    <x v="84"/>
    <n v="882"/>
    <n v="1"/>
    <x v="1"/>
    <s v="Low"/>
    <n v="-4.3265306122448978E-2"/>
    <x v="343"/>
    <x v="2"/>
  </r>
  <r>
    <s v="ORD10344"/>
    <x v="1"/>
    <x v="0"/>
    <n v="9"/>
    <s v="Q3"/>
    <x v="344"/>
    <d v="2026-09-05T00:00:00"/>
    <s v="C1344"/>
    <x v="344"/>
    <x v="2"/>
    <s v="India"/>
    <s v="Delhi"/>
    <s v="Delhi"/>
    <x v="0"/>
    <x v="1"/>
    <x v="2"/>
    <x v="70"/>
    <n v="35678.29"/>
    <n v="2"/>
    <x v="3"/>
    <s v="High"/>
    <n v="0.15272873223464467"/>
    <x v="344"/>
    <x v="1"/>
  </r>
  <r>
    <s v="ORD10345"/>
    <x v="1"/>
    <x v="0"/>
    <n v="9"/>
    <s v="Q3"/>
    <x v="345"/>
    <d v="2026-09-06T00:00:00"/>
    <s v="C1345"/>
    <x v="345"/>
    <x v="1"/>
    <s v="India"/>
    <s v="Haryana"/>
    <s v="Gurugram"/>
    <x v="0"/>
    <x v="0"/>
    <x v="0"/>
    <x v="0"/>
    <n v="46583.32"/>
    <n v="8"/>
    <x v="1"/>
    <s v="High"/>
    <n v="0.13378458212081062"/>
    <x v="345"/>
    <x v="0"/>
  </r>
  <r>
    <s v="ORD10346"/>
    <x v="1"/>
    <x v="0"/>
    <n v="9"/>
    <s v="Q3"/>
    <x v="346"/>
    <d v="2026-09-07T00:00:00"/>
    <s v="C1346"/>
    <x v="346"/>
    <x v="0"/>
    <s v="India"/>
    <s v="Maharashtra"/>
    <s v="Mumbai"/>
    <x v="2"/>
    <x v="2"/>
    <x v="4"/>
    <x v="95"/>
    <n v="47310.27"/>
    <n v="8"/>
    <x v="3"/>
    <s v="High"/>
    <n v="0.24265703831324575"/>
    <x v="346"/>
    <x v="2"/>
  </r>
  <r>
    <s v="ORD10347"/>
    <x v="1"/>
    <x v="0"/>
    <n v="9"/>
    <s v="Q3"/>
    <x v="347"/>
    <d v="2026-09-08T00:00:00"/>
    <s v="C1347"/>
    <x v="347"/>
    <x v="0"/>
    <s v="India"/>
    <s v="Haryana"/>
    <s v="Gurugram"/>
    <x v="0"/>
    <x v="2"/>
    <x v="4"/>
    <x v="54"/>
    <n v="7929.68"/>
    <n v="4"/>
    <x v="1"/>
    <s v="Low"/>
    <n v="0.14599580310933102"/>
    <x v="347"/>
    <x v="3"/>
  </r>
  <r>
    <s v="ORD10348"/>
    <x v="1"/>
    <x v="0"/>
    <n v="9"/>
    <s v="Q3"/>
    <x v="348"/>
    <d v="2026-09-09T00:00:00"/>
    <s v="C1348"/>
    <x v="348"/>
    <x v="0"/>
    <s v="India"/>
    <s v="Delhi"/>
    <s v="Delhi"/>
    <x v="0"/>
    <x v="1"/>
    <x v="1"/>
    <x v="82"/>
    <n v="32672.98"/>
    <n v="3"/>
    <x v="1"/>
    <s v="High"/>
    <n v="-2.9798322650704038E-2"/>
    <x v="348"/>
    <x v="0"/>
  </r>
  <r>
    <s v="ORD10349"/>
    <x v="1"/>
    <x v="0"/>
    <n v="9"/>
    <s v="Q3"/>
    <x v="349"/>
    <d v="2026-09-10T00:00:00"/>
    <s v="C1349"/>
    <x v="349"/>
    <x v="0"/>
    <s v="India"/>
    <s v="West Bengal"/>
    <s v="Kolkata"/>
    <x v="3"/>
    <x v="2"/>
    <x v="6"/>
    <x v="15"/>
    <n v="40889.99"/>
    <n v="7"/>
    <x v="1"/>
    <s v="High"/>
    <n v="-1.6981417701496138E-2"/>
    <x v="349"/>
    <x v="1"/>
  </r>
  <r>
    <s v="ORD10350"/>
    <x v="1"/>
    <x v="0"/>
    <n v="9"/>
    <s v="Q3"/>
    <x v="350"/>
    <d v="2026-09-11T00:00:00"/>
    <s v="C1350"/>
    <x v="350"/>
    <x v="1"/>
    <s v="India"/>
    <s v="Delhi"/>
    <s v="Delhi"/>
    <x v="0"/>
    <x v="1"/>
    <x v="1"/>
    <x v="143"/>
    <n v="44481.58"/>
    <n v="8"/>
    <x v="0"/>
    <s v="High"/>
    <n v="0.13687688252080973"/>
    <x v="350"/>
    <x v="0"/>
  </r>
  <r>
    <s v="ORD10351"/>
    <x v="1"/>
    <x v="0"/>
    <n v="9"/>
    <s v="Q3"/>
    <x v="351"/>
    <d v="2026-09-12T00:00:00"/>
    <s v="C1351"/>
    <x v="351"/>
    <x v="0"/>
    <s v="India"/>
    <s v="Delhi"/>
    <s v="Delhi"/>
    <x v="0"/>
    <x v="1"/>
    <x v="3"/>
    <x v="58"/>
    <n v="19606.21"/>
    <n v="5"/>
    <x v="3"/>
    <s v="Medium"/>
    <n v="0.22568716748417977"/>
    <x v="351"/>
    <x v="0"/>
  </r>
  <r>
    <s v="ORD10352"/>
    <x v="1"/>
    <x v="0"/>
    <n v="9"/>
    <s v="Q3"/>
    <x v="352"/>
    <d v="2026-09-13T00:00:00"/>
    <s v="C1352"/>
    <x v="352"/>
    <x v="0"/>
    <s v="India"/>
    <s v="West Bengal"/>
    <s v="Kolkata"/>
    <x v="3"/>
    <x v="2"/>
    <x v="4"/>
    <x v="95"/>
    <n v="12930.86"/>
    <n v="7"/>
    <x v="0"/>
    <s v="Medium"/>
    <n v="0.17197696054245423"/>
    <x v="352"/>
    <x v="2"/>
  </r>
  <r>
    <s v="ORD10353"/>
    <x v="1"/>
    <x v="0"/>
    <n v="9"/>
    <s v="Q3"/>
    <x v="353"/>
    <d v="2026-09-14T00:00:00"/>
    <s v="C1353"/>
    <x v="353"/>
    <x v="2"/>
    <s v="India"/>
    <s v="Haryana"/>
    <s v="Gurugram"/>
    <x v="0"/>
    <x v="2"/>
    <x v="6"/>
    <x v="134"/>
    <n v="10621.57"/>
    <n v="2"/>
    <x v="3"/>
    <s v="Medium"/>
    <n v="0.21984603029495642"/>
    <x v="353"/>
    <x v="3"/>
  </r>
  <r>
    <s v="ORD10354"/>
    <x v="1"/>
    <x v="0"/>
    <n v="9"/>
    <s v="Q3"/>
    <x v="354"/>
    <d v="2026-09-15T00:00:00"/>
    <s v="C1354"/>
    <x v="354"/>
    <x v="1"/>
    <s v="India"/>
    <s v="Haryana"/>
    <s v="Gurugram"/>
    <x v="0"/>
    <x v="2"/>
    <x v="8"/>
    <x v="25"/>
    <n v="5923.32"/>
    <n v="1"/>
    <x v="1"/>
    <s v="Low"/>
    <n v="-6.9888170823119475E-2"/>
    <x v="354"/>
    <x v="2"/>
  </r>
  <r>
    <s v="ORD10355"/>
    <x v="1"/>
    <x v="0"/>
    <n v="9"/>
    <s v="Q3"/>
    <x v="355"/>
    <d v="2026-09-16T00:00:00"/>
    <s v="C1355"/>
    <x v="355"/>
    <x v="1"/>
    <s v="India"/>
    <s v="Delhi"/>
    <s v="Delhi"/>
    <x v="0"/>
    <x v="2"/>
    <x v="8"/>
    <x v="66"/>
    <n v="13184.89"/>
    <n v="7"/>
    <x v="0"/>
    <s v="Medium"/>
    <n v="-1.1025499643910568E-2"/>
    <x v="355"/>
    <x v="0"/>
  </r>
  <r>
    <s v="ORD10356"/>
    <x v="1"/>
    <x v="0"/>
    <n v="9"/>
    <s v="Q3"/>
    <x v="356"/>
    <d v="2026-09-17T00:00:00"/>
    <s v="C1356"/>
    <x v="356"/>
    <x v="0"/>
    <s v="India"/>
    <s v="Delhi"/>
    <s v="Delhi"/>
    <x v="0"/>
    <x v="2"/>
    <x v="4"/>
    <x v="151"/>
    <n v="34393.230000000003"/>
    <n v="1"/>
    <x v="1"/>
    <s v="High"/>
    <n v="9.3920809415108719E-2"/>
    <x v="356"/>
    <x v="2"/>
  </r>
  <r>
    <s v="ORD10357"/>
    <x v="1"/>
    <x v="0"/>
    <n v="9"/>
    <s v="Q3"/>
    <x v="357"/>
    <d v="2026-09-18T00:00:00"/>
    <s v="C1357"/>
    <x v="357"/>
    <x v="1"/>
    <s v="India"/>
    <s v="Maharashtra"/>
    <s v="Mumbai"/>
    <x v="2"/>
    <x v="0"/>
    <x v="7"/>
    <x v="99"/>
    <n v="41946.01"/>
    <n v="1"/>
    <x v="0"/>
    <s v="High"/>
    <n v="0.13913981329809436"/>
    <x v="357"/>
    <x v="2"/>
  </r>
  <r>
    <s v="ORD10358"/>
    <x v="1"/>
    <x v="0"/>
    <n v="9"/>
    <s v="Q3"/>
    <x v="358"/>
    <d v="2026-09-19T00:00:00"/>
    <s v="C1358"/>
    <x v="358"/>
    <x v="1"/>
    <s v="India"/>
    <s v="Karnataka"/>
    <s v="Bengaluru"/>
    <x v="1"/>
    <x v="2"/>
    <x v="4"/>
    <x v="154"/>
    <n v="39973.699999999997"/>
    <n v="5"/>
    <x v="0"/>
    <s v="High"/>
    <n v="0.14758954012263065"/>
    <x v="358"/>
    <x v="1"/>
  </r>
  <r>
    <s v="ORD10359"/>
    <x v="1"/>
    <x v="0"/>
    <n v="9"/>
    <s v="Q3"/>
    <x v="359"/>
    <d v="2026-09-20T00:00:00"/>
    <s v="C1359"/>
    <x v="359"/>
    <x v="2"/>
    <s v="India"/>
    <s v="Maharashtra"/>
    <s v="Mumbai"/>
    <x v="2"/>
    <x v="1"/>
    <x v="3"/>
    <x v="31"/>
    <n v="42413.48"/>
    <n v="2"/>
    <x v="2"/>
    <s v="High"/>
    <n v="0.28024510132156094"/>
    <x v="359"/>
    <x v="0"/>
  </r>
  <r>
    <s v="ORD10360"/>
    <x v="1"/>
    <x v="0"/>
    <n v="9"/>
    <s v="Q3"/>
    <x v="360"/>
    <d v="2026-09-21T00:00:00"/>
    <s v="C1360"/>
    <x v="360"/>
    <x v="1"/>
    <s v="India"/>
    <s v="Haryana"/>
    <s v="Gurugram"/>
    <x v="0"/>
    <x v="0"/>
    <x v="0"/>
    <x v="27"/>
    <n v="8752.14"/>
    <n v="5"/>
    <x v="2"/>
    <s v="Low"/>
    <n v="5.2935624887170456E-2"/>
    <x v="360"/>
    <x v="1"/>
  </r>
  <r>
    <s v="ORD10361"/>
    <x v="1"/>
    <x v="0"/>
    <n v="9"/>
    <s v="Q3"/>
    <x v="361"/>
    <d v="2026-09-22T00:00:00"/>
    <s v="C1361"/>
    <x v="361"/>
    <x v="1"/>
    <s v="India"/>
    <s v="Haryana"/>
    <s v="Gurugram"/>
    <x v="0"/>
    <x v="1"/>
    <x v="3"/>
    <x v="3"/>
    <n v="42472.99"/>
    <n v="4"/>
    <x v="2"/>
    <s v="High"/>
    <n v="0.21557653464001478"/>
    <x v="361"/>
    <x v="1"/>
  </r>
  <r>
    <s v="ORD10362"/>
    <x v="1"/>
    <x v="0"/>
    <n v="9"/>
    <s v="Q3"/>
    <x v="362"/>
    <d v="2026-09-23T00:00:00"/>
    <s v="C1362"/>
    <x v="362"/>
    <x v="2"/>
    <s v="India"/>
    <s v="Maharashtra"/>
    <s v="Mumbai"/>
    <x v="2"/>
    <x v="1"/>
    <x v="2"/>
    <x v="84"/>
    <n v="32750.94"/>
    <n v="3"/>
    <x v="1"/>
    <s v="High"/>
    <n v="0.17885593512735817"/>
    <x v="362"/>
    <x v="3"/>
  </r>
  <r>
    <s v="ORD10363"/>
    <x v="1"/>
    <x v="0"/>
    <n v="9"/>
    <s v="Q3"/>
    <x v="363"/>
    <d v="2026-09-24T00:00:00"/>
    <s v="C1363"/>
    <x v="363"/>
    <x v="0"/>
    <s v="India"/>
    <s v="West Bengal"/>
    <s v="Kolkata"/>
    <x v="3"/>
    <x v="1"/>
    <x v="2"/>
    <x v="56"/>
    <n v="10442.06"/>
    <n v="1"/>
    <x v="3"/>
    <s v="Medium"/>
    <n v="2.8880316719114812E-2"/>
    <x v="363"/>
    <x v="3"/>
  </r>
  <r>
    <s v="ORD10364"/>
    <x v="1"/>
    <x v="0"/>
    <n v="9"/>
    <s v="Q3"/>
    <x v="364"/>
    <d v="2026-09-25T00:00:00"/>
    <s v="C1364"/>
    <x v="364"/>
    <x v="1"/>
    <s v="India"/>
    <s v="Delhi"/>
    <s v="Delhi"/>
    <x v="0"/>
    <x v="0"/>
    <x v="0"/>
    <x v="91"/>
    <n v="31082.799999999999"/>
    <n v="4"/>
    <x v="0"/>
    <s v="High"/>
    <n v="7.9128328207240028E-2"/>
    <x v="364"/>
    <x v="0"/>
  </r>
  <r>
    <s v="ORD10365"/>
    <x v="1"/>
    <x v="0"/>
    <n v="9"/>
    <s v="Q3"/>
    <x v="365"/>
    <d v="2026-09-26T00:00:00"/>
    <s v="C1365"/>
    <x v="365"/>
    <x v="2"/>
    <s v="India"/>
    <s v="Karnataka"/>
    <s v="Bengaluru"/>
    <x v="1"/>
    <x v="2"/>
    <x v="4"/>
    <x v="18"/>
    <n v="28093.32"/>
    <n v="6"/>
    <x v="1"/>
    <s v="Medium"/>
    <n v="2.3398088940716159E-2"/>
    <x v="365"/>
    <x v="3"/>
  </r>
  <r>
    <s v="ORD10366"/>
    <x v="1"/>
    <x v="0"/>
    <n v="9"/>
    <s v="Q3"/>
    <x v="366"/>
    <d v="2026-09-27T00:00:00"/>
    <s v="C1366"/>
    <x v="366"/>
    <x v="1"/>
    <s v="India"/>
    <s v="Haryana"/>
    <s v="Gurugram"/>
    <x v="0"/>
    <x v="1"/>
    <x v="2"/>
    <x v="28"/>
    <n v="30198.49"/>
    <n v="5"/>
    <x v="3"/>
    <s v="High"/>
    <n v="0.24849917992588372"/>
    <x v="366"/>
    <x v="2"/>
  </r>
  <r>
    <s v="ORD10367"/>
    <x v="1"/>
    <x v="0"/>
    <n v="9"/>
    <s v="Q3"/>
    <x v="367"/>
    <d v="2026-09-28T00:00:00"/>
    <s v="C1367"/>
    <x v="367"/>
    <x v="2"/>
    <s v="India"/>
    <s v="Delhi"/>
    <s v="Delhi"/>
    <x v="0"/>
    <x v="2"/>
    <x v="4"/>
    <x v="54"/>
    <n v="27932.13"/>
    <n v="1"/>
    <x v="0"/>
    <s v="Medium"/>
    <n v="0.21355979654970816"/>
    <x v="367"/>
    <x v="1"/>
  </r>
  <r>
    <s v="ORD10368"/>
    <x v="1"/>
    <x v="0"/>
    <n v="9"/>
    <s v="Q3"/>
    <x v="368"/>
    <d v="2026-09-29T00:00:00"/>
    <s v="C1368"/>
    <x v="368"/>
    <x v="1"/>
    <s v="India"/>
    <s v="Maharashtra"/>
    <s v="Mumbai"/>
    <x v="2"/>
    <x v="0"/>
    <x v="7"/>
    <x v="99"/>
    <n v="40381.760000000002"/>
    <n v="2"/>
    <x v="0"/>
    <s v="High"/>
    <n v="0.13477867235108129"/>
    <x v="368"/>
    <x v="1"/>
  </r>
  <r>
    <s v="ORD10369"/>
    <x v="1"/>
    <x v="0"/>
    <n v="9"/>
    <s v="Q3"/>
    <x v="369"/>
    <d v="2026-09-30T00:00:00"/>
    <s v="C1369"/>
    <x v="369"/>
    <x v="2"/>
    <s v="India"/>
    <s v="West Bengal"/>
    <s v="Kolkata"/>
    <x v="3"/>
    <x v="1"/>
    <x v="3"/>
    <x v="59"/>
    <n v="34619.199999999997"/>
    <n v="1"/>
    <x v="1"/>
    <s v="High"/>
    <n v="2.3114918888940243E-2"/>
    <x v="369"/>
    <x v="0"/>
  </r>
  <r>
    <s v="ORD10370"/>
    <x v="1"/>
    <x v="0"/>
    <n v="9"/>
    <s v="Q3"/>
    <x v="370"/>
    <d v="2026-10-01T00:00:00"/>
    <s v="C1370"/>
    <x v="370"/>
    <x v="2"/>
    <s v="India"/>
    <s v="Delhi"/>
    <s v="Delhi"/>
    <x v="0"/>
    <x v="2"/>
    <x v="6"/>
    <x v="155"/>
    <n v="11942.93"/>
    <n v="2"/>
    <x v="3"/>
    <s v="Medium"/>
    <n v="0.22362267885686343"/>
    <x v="370"/>
    <x v="0"/>
  </r>
  <r>
    <s v="ORD10371"/>
    <x v="1"/>
    <x v="0"/>
    <n v="9"/>
    <s v="Q3"/>
    <x v="371"/>
    <d v="2026-10-02T00:00:00"/>
    <s v="C1371"/>
    <x v="371"/>
    <x v="1"/>
    <s v="India"/>
    <s v="Karnataka"/>
    <s v="Bengaluru"/>
    <x v="1"/>
    <x v="2"/>
    <x v="6"/>
    <x v="150"/>
    <n v="35368.699999999997"/>
    <n v="7"/>
    <x v="0"/>
    <s v="High"/>
    <n v="5.5385694130686176E-2"/>
    <x v="371"/>
    <x v="3"/>
  </r>
  <r>
    <s v="ORD10372"/>
    <x v="1"/>
    <x v="0"/>
    <n v="9"/>
    <s v="Q3"/>
    <x v="372"/>
    <d v="2026-10-03T00:00:00"/>
    <s v="C1372"/>
    <x v="372"/>
    <x v="1"/>
    <s v="India"/>
    <s v="Delhi"/>
    <s v="Delhi"/>
    <x v="0"/>
    <x v="1"/>
    <x v="3"/>
    <x v="52"/>
    <n v="17096"/>
    <n v="1"/>
    <x v="2"/>
    <s v="Medium"/>
    <n v="0.16498771642489471"/>
    <x v="372"/>
    <x v="3"/>
  </r>
  <r>
    <s v="ORD10373"/>
    <x v="1"/>
    <x v="0"/>
    <n v="9"/>
    <s v="Q3"/>
    <x v="373"/>
    <d v="2026-10-04T00:00:00"/>
    <s v="C1373"/>
    <x v="373"/>
    <x v="0"/>
    <s v="India"/>
    <s v="Maharashtra"/>
    <s v="Mumbai"/>
    <x v="2"/>
    <x v="0"/>
    <x v="0"/>
    <x v="27"/>
    <n v="44025.2"/>
    <n v="1"/>
    <x v="3"/>
    <s v="High"/>
    <n v="0.17213232421431363"/>
    <x v="373"/>
    <x v="2"/>
  </r>
  <r>
    <s v="ORD10374"/>
    <x v="1"/>
    <x v="1"/>
    <n v="10"/>
    <s v="Q4"/>
    <x v="374"/>
    <d v="2026-10-05T00:00:00"/>
    <s v="C1374"/>
    <x v="374"/>
    <x v="1"/>
    <s v="India"/>
    <s v="West Bengal"/>
    <s v="Kolkata"/>
    <x v="3"/>
    <x v="1"/>
    <x v="1"/>
    <x v="138"/>
    <n v="7633.17"/>
    <n v="5"/>
    <x v="3"/>
    <s v="Low"/>
    <n v="0.22188553379526463"/>
    <x v="374"/>
    <x v="2"/>
  </r>
  <r>
    <s v="ORD10375"/>
    <x v="1"/>
    <x v="1"/>
    <n v="10"/>
    <s v="Q4"/>
    <x v="375"/>
    <d v="2026-10-06T00:00:00"/>
    <s v="C1375"/>
    <x v="375"/>
    <x v="2"/>
    <s v="India"/>
    <s v="Haryana"/>
    <s v="Gurugram"/>
    <x v="0"/>
    <x v="0"/>
    <x v="0"/>
    <x v="91"/>
    <n v="37424.870000000003"/>
    <n v="7"/>
    <x v="3"/>
    <s v="High"/>
    <n v="0.17302585152600397"/>
    <x v="375"/>
    <x v="0"/>
  </r>
  <r>
    <s v="ORD10376"/>
    <x v="1"/>
    <x v="1"/>
    <n v="10"/>
    <s v="Q4"/>
    <x v="376"/>
    <d v="2026-10-07T00:00:00"/>
    <s v="C1376"/>
    <x v="376"/>
    <x v="0"/>
    <s v="India"/>
    <s v="Haryana"/>
    <s v="Gurugram"/>
    <x v="0"/>
    <x v="1"/>
    <x v="2"/>
    <x v="115"/>
    <n v="12310.14"/>
    <n v="7"/>
    <x v="3"/>
    <s v="Medium"/>
    <n v="8.0925156009598598E-2"/>
    <x v="376"/>
    <x v="1"/>
  </r>
  <r>
    <s v="ORD10377"/>
    <x v="1"/>
    <x v="1"/>
    <n v="10"/>
    <s v="Q4"/>
    <x v="377"/>
    <d v="2026-10-08T00:00:00"/>
    <s v="C1377"/>
    <x v="377"/>
    <x v="1"/>
    <s v="India"/>
    <s v="Maharashtra"/>
    <s v="Mumbai"/>
    <x v="2"/>
    <x v="0"/>
    <x v="5"/>
    <x v="7"/>
    <n v="25445.87"/>
    <n v="1"/>
    <x v="3"/>
    <s v="Medium"/>
    <n v="2.3522874242460565E-2"/>
    <x v="377"/>
    <x v="2"/>
  </r>
  <r>
    <s v="ORD10378"/>
    <x v="1"/>
    <x v="1"/>
    <n v="10"/>
    <s v="Q4"/>
    <x v="378"/>
    <d v="2026-10-09T00:00:00"/>
    <s v="C1378"/>
    <x v="378"/>
    <x v="1"/>
    <s v="India"/>
    <s v="Maharashtra"/>
    <s v="Mumbai"/>
    <x v="2"/>
    <x v="1"/>
    <x v="3"/>
    <x v="156"/>
    <n v="28972.27"/>
    <n v="8"/>
    <x v="2"/>
    <s v="Medium"/>
    <n v="0.1089886985037762"/>
    <x v="378"/>
    <x v="2"/>
  </r>
  <r>
    <s v="ORD10379"/>
    <x v="1"/>
    <x v="1"/>
    <n v="10"/>
    <s v="Q4"/>
    <x v="379"/>
    <d v="2026-10-10T00:00:00"/>
    <s v="C1379"/>
    <x v="379"/>
    <x v="2"/>
    <s v="India"/>
    <s v="Karnataka"/>
    <s v="Bengaluru"/>
    <x v="1"/>
    <x v="0"/>
    <x v="7"/>
    <x v="110"/>
    <n v="8315.27"/>
    <n v="8"/>
    <x v="0"/>
    <s v="Low"/>
    <n v="-1.774205768423635E-2"/>
    <x v="379"/>
    <x v="2"/>
  </r>
  <r>
    <s v="ORD10380"/>
    <x v="1"/>
    <x v="1"/>
    <n v="10"/>
    <s v="Q4"/>
    <x v="380"/>
    <d v="2026-10-11T00:00:00"/>
    <s v="C1380"/>
    <x v="380"/>
    <x v="0"/>
    <s v="India"/>
    <s v="Haryana"/>
    <s v="Gurugram"/>
    <x v="0"/>
    <x v="0"/>
    <x v="7"/>
    <x v="122"/>
    <n v="41361.730000000003"/>
    <n v="6"/>
    <x v="2"/>
    <s v="High"/>
    <n v="8.9856492946499084E-2"/>
    <x v="380"/>
    <x v="0"/>
  </r>
  <r>
    <s v="ORD10381"/>
    <x v="1"/>
    <x v="1"/>
    <n v="10"/>
    <s v="Q4"/>
    <x v="381"/>
    <d v="2026-10-12T00:00:00"/>
    <s v="C1381"/>
    <x v="381"/>
    <x v="0"/>
    <s v="India"/>
    <s v="West Bengal"/>
    <s v="Kolkata"/>
    <x v="3"/>
    <x v="0"/>
    <x v="5"/>
    <x v="16"/>
    <n v="41896.699999999997"/>
    <n v="5"/>
    <x v="1"/>
    <s v="High"/>
    <n v="-5.72228839025508E-2"/>
    <x v="381"/>
    <x v="0"/>
  </r>
  <r>
    <s v="ORD10382"/>
    <x v="1"/>
    <x v="1"/>
    <n v="10"/>
    <s v="Q4"/>
    <x v="382"/>
    <d v="2026-10-13T00:00:00"/>
    <s v="C1382"/>
    <x v="382"/>
    <x v="2"/>
    <s v="India"/>
    <s v="Karnataka"/>
    <s v="Bengaluru"/>
    <x v="1"/>
    <x v="0"/>
    <x v="0"/>
    <x v="47"/>
    <n v="29174.01"/>
    <n v="4"/>
    <x v="2"/>
    <s v="Medium"/>
    <n v="0.20441550544474346"/>
    <x v="382"/>
    <x v="2"/>
  </r>
  <r>
    <s v="ORD10383"/>
    <x v="1"/>
    <x v="1"/>
    <n v="10"/>
    <s v="Q4"/>
    <x v="383"/>
    <d v="2026-10-14T00:00:00"/>
    <s v="C1383"/>
    <x v="383"/>
    <x v="1"/>
    <s v="India"/>
    <s v="Haryana"/>
    <s v="Gurugram"/>
    <x v="0"/>
    <x v="2"/>
    <x v="4"/>
    <x v="43"/>
    <n v="30691.74"/>
    <n v="1"/>
    <x v="2"/>
    <s v="High"/>
    <n v="9.9775705124570971E-2"/>
    <x v="383"/>
    <x v="0"/>
  </r>
  <r>
    <s v="ORD10384"/>
    <x v="1"/>
    <x v="1"/>
    <n v="10"/>
    <s v="Q4"/>
    <x v="384"/>
    <d v="2026-10-15T00:00:00"/>
    <s v="C1384"/>
    <x v="384"/>
    <x v="0"/>
    <s v="India"/>
    <s v="Maharashtra"/>
    <s v="Mumbai"/>
    <x v="2"/>
    <x v="1"/>
    <x v="2"/>
    <x v="141"/>
    <n v="21588.22"/>
    <n v="7"/>
    <x v="3"/>
    <s v="Medium"/>
    <n v="0.11446103476803554"/>
    <x v="384"/>
    <x v="3"/>
  </r>
  <r>
    <s v="ORD10385"/>
    <x v="1"/>
    <x v="1"/>
    <n v="10"/>
    <s v="Q4"/>
    <x v="385"/>
    <d v="2026-10-16T00:00:00"/>
    <s v="C1385"/>
    <x v="385"/>
    <x v="2"/>
    <s v="India"/>
    <s v="West Bengal"/>
    <s v="Kolkata"/>
    <x v="3"/>
    <x v="1"/>
    <x v="2"/>
    <x v="56"/>
    <n v="34048.949999999997"/>
    <n v="7"/>
    <x v="0"/>
    <s v="High"/>
    <n v="0.18617049864973811"/>
    <x v="385"/>
    <x v="0"/>
  </r>
  <r>
    <s v="ORD10386"/>
    <x v="1"/>
    <x v="1"/>
    <n v="10"/>
    <s v="Q4"/>
    <x v="386"/>
    <d v="2026-10-17T00:00:00"/>
    <s v="C1386"/>
    <x v="386"/>
    <x v="2"/>
    <s v="India"/>
    <s v="Haryana"/>
    <s v="Gurugram"/>
    <x v="0"/>
    <x v="0"/>
    <x v="5"/>
    <x v="6"/>
    <n v="31730.92"/>
    <n v="7"/>
    <x v="2"/>
    <s v="High"/>
    <n v="0.26629829831596435"/>
    <x v="386"/>
    <x v="3"/>
  </r>
  <r>
    <s v="ORD10387"/>
    <x v="1"/>
    <x v="1"/>
    <n v="10"/>
    <s v="Q4"/>
    <x v="387"/>
    <d v="2026-10-18T00:00:00"/>
    <s v="C1387"/>
    <x v="387"/>
    <x v="1"/>
    <s v="India"/>
    <s v="Karnataka"/>
    <s v="Bengaluru"/>
    <x v="1"/>
    <x v="0"/>
    <x v="0"/>
    <x v="47"/>
    <n v="14789.04"/>
    <n v="8"/>
    <x v="3"/>
    <s v="Medium"/>
    <n v="0.25164716573895263"/>
    <x v="387"/>
    <x v="3"/>
  </r>
  <r>
    <s v="ORD10388"/>
    <x v="1"/>
    <x v="1"/>
    <n v="10"/>
    <s v="Q4"/>
    <x v="388"/>
    <d v="2026-10-19T00:00:00"/>
    <s v="C1388"/>
    <x v="388"/>
    <x v="1"/>
    <s v="India"/>
    <s v="Delhi"/>
    <s v="Delhi"/>
    <x v="0"/>
    <x v="2"/>
    <x v="4"/>
    <x v="154"/>
    <n v="44830.82"/>
    <n v="3"/>
    <x v="1"/>
    <s v="High"/>
    <n v="4.6331965375605438E-2"/>
    <x v="388"/>
    <x v="3"/>
  </r>
  <r>
    <s v="ORD10389"/>
    <x v="1"/>
    <x v="1"/>
    <n v="10"/>
    <s v="Q4"/>
    <x v="389"/>
    <d v="2026-10-20T00:00:00"/>
    <s v="C1389"/>
    <x v="389"/>
    <x v="0"/>
    <s v="India"/>
    <s v="West Bengal"/>
    <s v="Kolkata"/>
    <x v="3"/>
    <x v="2"/>
    <x v="4"/>
    <x v="4"/>
    <n v="26822.720000000001"/>
    <n v="7"/>
    <x v="2"/>
    <s v="Medium"/>
    <n v="0.12379840672385202"/>
    <x v="389"/>
    <x v="0"/>
  </r>
  <r>
    <s v="ORD10390"/>
    <x v="1"/>
    <x v="1"/>
    <n v="10"/>
    <s v="Q4"/>
    <x v="390"/>
    <d v="2026-10-21T00:00:00"/>
    <s v="C1390"/>
    <x v="390"/>
    <x v="2"/>
    <s v="India"/>
    <s v="Delhi"/>
    <s v="Delhi"/>
    <x v="0"/>
    <x v="0"/>
    <x v="0"/>
    <x v="136"/>
    <n v="14485.53"/>
    <n v="4"/>
    <x v="3"/>
    <s v="Medium"/>
    <n v="0.18790751874456785"/>
    <x v="390"/>
    <x v="0"/>
  </r>
  <r>
    <s v="ORD10391"/>
    <x v="1"/>
    <x v="1"/>
    <n v="10"/>
    <s v="Q4"/>
    <x v="391"/>
    <d v="2026-10-22T00:00:00"/>
    <s v="C1391"/>
    <x v="391"/>
    <x v="1"/>
    <s v="India"/>
    <s v="Maharashtra"/>
    <s v="Mumbai"/>
    <x v="2"/>
    <x v="1"/>
    <x v="2"/>
    <x v="132"/>
    <n v="35905.46"/>
    <n v="7"/>
    <x v="1"/>
    <s v="High"/>
    <n v="0.13196405226391753"/>
    <x v="391"/>
    <x v="2"/>
  </r>
  <r>
    <s v="ORD10392"/>
    <x v="1"/>
    <x v="1"/>
    <n v="10"/>
    <s v="Q4"/>
    <x v="392"/>
    <d v="2026-10-23T00:00:00"/>
    <s v="C1392"/>
    <x v="392"/>
    <x v="2"/>
    <s v="India"/>
    <s v="Delhi"/>
    <s v="Delhi"/>
    <x v="0"/>
    <x v="2"/>
    <x v="4"/>
    <x v="96"/>
    <n v="43720.37"/>
    <n v="5"/>
    <x v="1"/>
    <s v="High"/>
    <n v="4.6966665652646575E-3"/>
    <x v="392"/>
    <x v="2"/>
  </r>
  <r>
    <s v="ORD10393"/>
    <x v="1"/>
    <x v="1"/>
    <n v="10"/>
    <s v="Q4"/>
    <x v="393"/>
    <d v="2026-10-24T00:00:00"/>
    <s v="C1393"/>
    <x v="393"/>
    <x v="2"/>
    <s v="India"/>
    <s v="Delhi"/>
    <s v="Delhi"/>
    <x v="0"/>
    <x v="2"/>
    <x v="4"/>
    <x v="119"/>
    <n v="3326.42"/>
    <n v="5"/>
    <x v="0"/>
    <s v="Low"/>
    <n v="0.18242134186302389"/>
    <x v="393"/>
    <x v="1"/>
  </r>
  <r>
    <s v="ORD10394"/>
    <x v="1"/>
    <x v="1"/>
    <n v="10"/>
    <s v="Q4"/>
    <x v="394"/>
    <d v="2026-10-25T00:00:00"/>
    <s v="C1394"/>
    <x v="394"/>
    <x v="0"/>
    <s v="India"/>
    <s v="Haryana"/>
    <s v="Gurugram"/>
    <x v="0"/>
    <x v="1"/>
    <x v="1"/>
    <x v="82"/>
    <n v="18307.2"/>
    <n v="2"/>
    <x v="0"/>
    <s v="Medium"/>
    <n v="0.14946960758608635"/>
    <x v="394"/>
    <x v="1"/>
  </r>
  <r>
    <s v="ORD10395"/>
    <x v="1"/>
    <x v="1"/>
    <n v="10"/>
    <s v="Q4"/>
    <x v="395"/>
    <d v="2026-10-26T00:00:00"/>
    <s v="C1395"/>
    <x v="395"/>
    <x v="1"/>
    <s v="India"/>
    <s v="Haryana"/>
    <s v="Gurugram"/>
    <x v="0"/>
    <x v="0"/>
    <x v="7"/>
    <x v="89"/>
    <n v="1197.8599999999999"/>
    <n v="1"/>
    <x v="3"/>
    <s v="Low"/>
    <n v="3.3451321523383371E-2"/>
    <x v="395"/>
    <x v="1"/>
  </r>
  <r>
    <s v="ORD10396"/>
    <x v="1"/>
    <x v="1"/>
    <n v="10"/>
    <s v="Q4"/>
    <x v="396"/>
    <d v="2026-10-27T00:00:00"/>
    <s v="C1396"/>
    <x v="396"/>
    <x v="0"/>
    <s v="India"/>
    <s v="West Bengal"/>
    <s v="Kolkata"/>
    <x v="3"/>
    <x v="1"/>
    <x v="2"/>
    <x v="78"/>
    <n v="42761.59"/>
    <n v="1"/>
    <x v="3"/>
    <s v="High"/>
    <n v="2.9029556665222223E-2"/>
    <x v="396"/>
    <x v="0"/>
  </r>
  <r>
    <s v="ORD10397"/>
    <x v="1"/>
    <x v="1"/>
    <n v="10"/>
    <s v="Q4"/>
    <x v="397"/>
    <d v="2026-10-28T00:00:00"/>
    <s v="C1397"/>
    <x v="397"/>
    <x v="2"/>
    <s v="India"/>
    <s v="Maharashtra"/>
    <s v="Mumbai"/>
    <x v="2"/>
    <x v="1"/>
    <x v="3"/>
    <x v="52"/>
    <n v="49993.73"/>
    <n v="5"/>
    <x v="0"/>
    <s v="High"/>
    <n v="2.7873295311232026E-2"/>
    <x v="397"/>
    <x v="2"/>
  </r>
  <r>
    <s v="ORD10398"/>
    <x v="1"/>
    <x v="1"/>
    <n v="10"/>
    <s v="Q4"/>
    <x v="398"/>
    <d v="2026-10-29T00:00:00"/>
    <s v="C1398"/>
    <x v="398"/>
    <x v="1"/>
    <s v="India"/>
    <s v="Maharashtra"/>
    <s v="Mumbai"/>
    <x v="2"/>
    <x v="2"/>
    <x v="8"/>
    <x v="123"/>
    <n v="41463.81"/>
    <n v="1"/>
    <x v="1"/>
    <s v="High"/>
    <n v="0.11194171495576503"/>
    <x v="398"/>
    <x v="3"/>
  </r>
  <r>
    <s v="ORD10399"/>
    <x v="1"/>
    <x v="1"/>
    <n v="10"/>
    <s v="Q4"/>
    <x v="399"/>
    <d v="2026-10-30T00:00:00"/>
    <s v="C1399"/>
    <x v="399"/>
    <x v="0"/>
    <s v="India"/>
    <s v="Karnataka"/>
    <s v="Bengaluru"/>
    <x v="1"/>
    <x v="1"/>
    <x v="1"/>
    <x v="116"/>
    <n v="10090.92"/>
    <n v="2"/>
    <x v="2"/>
    <s v="Medium"/>
    <n v="0.15175821431544401"/>
    <x v="399"/>
    <x v="0"/>
  </r>
  <r>
    <s v="ORD10400"/>
    <x v="1"/>
    <x v="1"/>
    <n v="10"/>
    <s v="Q4"/>
    <x v="400"/>
    <d v="2026-10-31T00:00:00"/>
    <s v="C1400"/>
    <x v="400"/>
    <x v="1"/>
    <s v="India"/>
    <s v="West Bengal"/>
    <s v="Kolkata"/>
    <x v="3"/>
    <x v="0"/>
    <x v="5"/>
    <x v="157"/>
    <n v="23898.67"/>
    <n v="8"/>
    <x v="2"/>
    <s v="Medium"/>
    <n v="0.13762732403100258"/>
    <x v="400"/>
    <x v="3"/>
  </r>
  <r>
    <s v="ORD10401"/>
    <x v="1"/>
    <x v="1"/>
    <n v="10"/>
    <s v="Q4"/>
    <x v="401"/>
    <d v="2026-11-01T00:00:00"/>
    <s v="C1401"/>
    <x v="401"/>
    <x v="2"/>
    <s v="India"/>
    <s v="Karnataka"/>
    <s v="Bengaluru"/>
    <x v="1"/>
    <x v="1"/>
    <x v="3"/>
    <x v="3"/>
    <n v="32356.58"/>
    <n v="6"/>
    <x v="1"/>
    <s v="High"/>
    <n v="-5.4034140814634916E-2"/>
    <x v="401"/>
    <x v="1"/>
  </r>
  <r>
    <s v="ORD10402"/>
    <x v="1"/>
    <x v="1"/>
    <n v="10"/>
    <s v="Q4"/>
    <x v="402"/>
    <d v="2026-11-02T00:00:00"/>
    <s v="C1402"/>
    <x v="402"/>
    <x v="2"/>
    <s v="India"/>
    <s v="Delhi"/>
    <s v="Delhi"/>
    <x v="0"/>
    <x v="0"/>
    <x v="5"/>
    <x v="158"/>
    <n v="44026"/>
    <n v="5"/>
    <x v="3"/>
    <s v="High"/>
    <n v="7.7868986507972568E-2"/>
    <x v="402"/>
    <x v="2"/>
  </r>
  <r>
    <s v="ORD10403"/>
    <x v="1"/>
    <x v="1"/>
    <n v="10"/>
    <s v="Q4"/>
    <x v="403"/>
    <d v="2026-11-03T00:00:00"/>
    <s v="C1403"/>
    <x v="403"/>
    <x v="2"/>
    <s v="India"/>
    <s v="Haryana"/>
    <s v="Gurugram"/>
    <x v="0"/>
    <x v="1"/>
    <x v="1"/>
    <x v="75"/>
    <n v="25659.72"/>
    <n v="4"/>
    <x v="0"/>
    <s v="Medium"/>
    <n v="0.18049963132879079"/>
    <x v="403"/>
    <x v="2"/>
  </r>
  <r>
    <s v="ORD10404"/>
    <x v="1"/>
    <x v="1"/>
    <n v="10"/>
    <s v="Q4"/>
    <x v="404"/>
    <d v="2026-11-04T00:00:00"/>
    <s v="C1404"/>
    <x v="404"/>
    <x v="0"/>
    <s v="India"/>
    <s v="West Bengal"/>
    <s v="Kolkata"/>
    <x v="3"/>
    <x v="2"/>
    <x v="8"/>
    <x v="36"/>
    <n v="5667.06"/>
    <n v="8"/>
    <x v="3"/>
    <s v="Low"/>
    <n v="0.1446058450060525"/>
    <x v="404"/>
    <x v="2"/>
  </r>
  <r>
    <s v="ORD10405"/>
    <x v="1"/>
    <x v="2"/>
    <n v="11"/>
    <s v="Q4"/>
    <x v="405"/>
    <d v="2026-11-05T00:00:00"/>
    <s v="C1405"/>
    <x v="405"/>
    <x v="1"/>
    <s v="India"/>
    <s v="West Bengal"/>
    <s v="Kolkata"/>
    <x v="3"/>
    <x v="1"/>
    <x v="2"/>
    <x v="19"/>
    <n v="36676.01"/>
    <n v="1"/>
    <x v="1"/>
    <s v="High"/>
    <n v="0.16200044661346749"/>
    <x v="405"/>
    <x v="3"/>
  </r>
  <r>
    <s v="ORD10406"/>
    <x v="1"/>
    <x v="2"/>
    <n v="11"/>
    <s v="Q4"/>
    <x v="406"/>
    <d v="2026-11-06T00:00:00"/>
    <s v="C1406"/>
    <x v="406"/>
    <x v="2"/>
    <s v="India"/>
    <s v="Haryana"/>
    <s v="Gurugram"/>
    <x v="0"/>
    <x v="0"/>
    <x v="5"/>
    <x v="159"/>
    <n v="35940.629999999997"/>
    <n v="2"/>
    <x v="0"/>
    <s v="High"/>
    <n v="7.1468975362980566E-2"/>
    <x v="406"/>
    <x v="2"/>
  </r>
  <r>
    <s v="ORD10407"/>
    <x v="1"/>
    <x v="2"/>
    <n v="11"/>
    <s v="Q4"/>
    <x v="407"/>
    <d v="2026-11-07T00:00:00"/>
    <s v="C1407"/>
    <x v="407"/>
    <x v="1"/>
    <s v="India"/>
    <s v="West Bengal"/>
    <s v="Kolkata"/>
    <x v="3"/>
    <x v="1"/>
    <x v="2"/>
    <x v="115"/>
    <n v="38176.19"/>
    <n v="6"/>
    <x v="0"/>
    <s v="High"/>
    <n v="0.15685090628478116"/>
    <x v="407"/>
    <x v="0"/>
  </r>
  <r>
    <s v="ORD10408"/>
    <x v="1"/>
    <x v="2"/>
    <n v="11"/>
    <s v="Q4"/>
    <x v="408"/>
    <d v="2026-11-08T00:00:00"/>
    <s v="C1408"/>
    <x v="408"/>
    <x v="1"/>
    <s v="India"/>
    <s v="Maharashtra"/>
    <s v="Mumbai"/>
    <x v="2"/>
    <x v="0"/>
    <x v="0"/>
    <x v="47"/>
    <n v="33486.589999999997"/>
    <n v="5"/>
    <x v="3"/>
    <s v="High"/>
    <n v="0.22320905174280214"/>
    <x v="408"/>
    <x v="0"/>
  </r>
  <r>
    <s v="ORD10409"/>
    <x v="1"/>
    <x v="2"/>
    <n v="11"/>
    <s v="Q4"/>
    <x v="409"/>
    <d v="2026-11-09T00:00:00"/>
    <s v="C1409"/>
    <x v="409"/>
    <x v="2"/>
    <s v="India"/>
    <s v="Delhi"/>
    <s v="Delhi"/>
    <x v="0"/>
    <x v="1"/>
    <x v="2"/>
    <x v="160"/>
    <n v="11187.55"/>
    <n v="4"/>
    <x v="0"/>
    <s v="Medium"/>
    <n v="-2.7610155932263989E-2"/>
    <x v="409"/>
    <x v="2"/>
  </r>
  <r>
    <s v="ORD10410"/>
    <x v="1"/>
    <x v="2"/>
    <n v="11"/>
    <s v="Q4"/>
    <x v="410"/>
    <d v="2026-11-10T00:00:00"/>
    <s v="C1410"/>
    <x v="410"/>
    <x v="2"/>
    <s v="India"/>
    <s v="Maharashtra"/>
    <s v="Mumbai"/>
    <x v="2"/>
    <x v="1"/>
    <x v="3"/>
    <x v="59"/>
    <n v="49626.46"/>
    <n v="4"/>
    <x v="3"/>
    <s v="High"/>
    <n v="0.23728893819950084"/>
    <x v="410"/>
    <x v="2"/>
  </r>
  <r>
    <s v="ORD10411"/>
    <x v="1"/>
    <x v="2"/>
    <n v="11"/>
    <s v="Q4"/>
    <x v="411"/>
    <d v="2026-11-11T00:00:00"/>
    <s v="C1411"/>
    <x v="411"/>
    <x v="0"/>
    <s v="India"/>
    <s v="Delhi"/>
    <s v="Delhi"/>
    <x v="0"/>
    <x v="0"/>
    <x v="0"/>
    <x v="37"/>
    <n v="18830.79"/>
    <n v="6"/>
    <x v="2"/>
    <s v="Medium"/>
    <n v="0.17674351421262727"/>
    <x v="411"/>
    <x v="0"/>
  </r>
  <r>
    <s v="ORD10412"/>
    <x v="1"/>
    <x v="2"/>
    <n v="11"/>
    <s v="Q4"/>
    <x v="412"/>
    <d v="2026-11-12T00:00:00"/>
    <s v="C1412"/>
    <x v="412"/>
    <x v="2"/>
    <s v="India"/>
    <s v="Delhi"/>
    <s v="Delhi"/>
    <x v="0"/>
    <x v="0"/>
    <x v="5"/>
    <x v="161"/>
    <n v="20552.91"/>
    <n v="5"/>
    <x v="3"/>
    <s v="Medium"/>
    <n v="0.16513476680431141"/>
    <x v="412"/>
    <x v="0"/>
  </r>
  <r>
    <s v="ORD10413"/>
    <x v="1"/>
    <x v="2"/>
    <n v="11"/>
    <s v="Q4"/>
    <x v="413"/>
    <d v="2026-11-13T00:00:00"/>
    <s v="C1413"/>
    <x v="413"/>
    <x v="0"/>
    <s v="India"/>
    <s v="West Bengal"/>
    <s v="Kolkata"/>
    <x v="3"/>
    <x v="1"/>
    <x v="1"/>
    <x v="162"/>
    <n v="36431.82"/>
    <n v="2"/>
    <x v="3"/>
    <s v="High"/>
    <n v="0.18784787584040546"/>
    <x v="413"/>
    <x v="3"/>
  </r>
  <r>
    <s v="ORD10414"/>
    <x v="1"/>
    <x v="2"/>
    <n v="11"/>
    <s v="Q4"/>
    <x v="414"/>
    <d v="2026-11-14T00:00:00"/>
    <s v="C1414"/>
    <x v="414"/>
    <x v="2"/>
    <s v="India"/>
    <s v="Delhi"/>
    <s v="Delhi"/>
    <x v="0"/>
    <x v="0"/>
    <x v="0"/>
    <x v="49"/>
    <n v="27393.48"/>
    <n v="3"/>
    <x v="1"/>
    <s v="Medium"/>
    <n v="9.1038451485535979E-2"/>
    <x v="414"/>
    <x v="3"/>
  </r>
  <r>
    <s v="ORD10415"/>
    <x v="1"/>
    <x v="2"/>
    <n v="11"/>
    <s v="Q4"/>
    <x v="415"/>
    <d v="2026-11-15T00:00:00"/>
    <s v="C1415"/>
    <x v="415"/>
    <x v="1"/>
    <s v="India"/>
    <s v="Delhi"/>
    <s v="Delhi"/>
    <x v="0"/>
    <x v="1"/>
    <x v="2"/>
    <x v="98"/>
    <n v="26835.360000000001"/>
    <n v="1"/>
    <x v="3"/>
    <s v="Medium"/>
    <n v="4.8570244632455094E-2"/>
    <x v="415"/>
    <x v="1"/>
  </r>
  <r>
    <s v="ORD10416"/>
    <x v="1"/>
    <x v="2"/>
    <n v="11"/>
    <s v="Q4"/>
    <x v="416"/>
    <d v="2026-11-16T00:00:00"/>
    <s v="C1416"/>
    <x v="416"/>
    <x v="2"/>
    <s v="India"/>
    <s v="West Bengal"/>
    <s v="Kolkata"/>
    <x v="3"/>
    <x v="1"/>
    <x v="1"/>
    <x v="68"/>
    <n v="18781.38"/>
    <n v="7"/>
    <x v="1"/>
    <s v="Medium"/>
    <n v="-3.384362597423618E-2"/>
    <x v="416"/>
    <x v="1"/>
  </r>
  <r>
    <s v="ORD10417"/>
    <x v="1"/>
    <x v="2"/>
    <n v="11"/>
    <s v="Q4"/>
    <x v="417"/>
    <d v="2026-11-17T00:00:00"/>
    <s v="C1417"/>
    <x v="417"/>
    <x v="2"/>
    <s v="India"/>
    <s v="Haryana"/>
    <s v="Gurugram"/>
    <x v="0"/>
    <x v="2"/>
    <x v="8"/>
    <x v="72"/>
    <n v="4347.68"/>
    <n v="1"/>
    <x v="3"/>
    <s v="Low"/>
    <n v="0.10785982409008942"/>
    <x v="417"/>
    <x v="0"/>
  </r>
  <r>
    <s v="ORD10418"/>
    <x v="1"/>
    <x v="2"/>
    <n v="11"/>
    <s v="Q4"/>
    <x v="418"/>
    <d v="2026-11-18T00:00:00"/>
    <s v="C1418"/>
    <x v="418"/>
    <x v="2"/>
    <s v="India"/>
    <s v="Delhi"/>
    <s v="Delhi"/>
    <x v="0"/>
    <x v="1"/>
    <x v="3"/>
    <x v="59"/>
    <n v="20513.490000000002"/>
    <n v="8"/>
    <x v="1"/>
    <s v="Medium"/>
    <n v="9.7017133603302025E-2"/>
    <x v="418"/>
    <x v="3"/>
  </r>
  <r>
    <s v="ORD10419"/>
    <x v="1"/>
    <x v="2"/>
    <n v="11"/>
    <s v="Q4"/>
    <x v="419"/>
    <d v="2026-11-19T00:00:00"/>
    <s v="C1419"/>
    <x v="419"/>
    <x v="0"/>
    <s v="India"/>
    <s v="Haryana"/>
    <s v="Gurugram"/>
    <x v="0"/>
    <x v="2"/>
    <x v="4"/>
    <x v="32"/>
    <n v="42442.1"/>
    <n v="8"/>
    <x v="0"/>
    <s v="High"/>
    <n v="0.1170799748363064"/>
    <x v="419"/>
    <x v="0"/>
  </r>
  <r>
    <s v="ORD10420"/>
    <x v="1"/>
    <x v="2"/>
    <n v="11"/>
    <s v="Q4"/>
    <x v="420"/>
    <d v="2026-11-20T00:00:00"/>
    <s v="C1420"/>
    <x v="420"/>
    <x v="2"/>
    <s v="India"/>
    <s v="Delhi"/>
    <s v="Delhi"/>
    <x v="0"/>
    <x v="2"/>
    <x v="8"/>
    <x v="72"/>
    <n v="22078.94"/>
    <n v="2"/>
    <x v="1"/>
    <s v="Medium"/>
    <n v="-4.0106544970003093E-2"/>
    <x v="420"/>
    <x v="3"/>
  </r>
  <r>
    <s v="ORD10421"/>
    <x v="1"/>
    <x v="2"/>
    <n v="11"/>
    <s v="Q4"/>
    <x v="421"/>
    <d v="2026-11-21T00:00:00"/>
    <s v="C1421"/>
    <x v="421"/>
    <x v="0"/>
    <s v="India"/>
    <s v="Haryana"/>
    <s v="Gurugram"/>
    <x v="0"/>
    <x v="1"/>
    <x v="3"/>
    <x v="52"/>
    <n v="2887.91"/>
    <n v="2"/>
    <x v="0"/>
    <s v="Low"/>
    <n v="0.21843132230575052"/>
    <x v="421"/>
    <x v="3"/>
  </r>
  <r>
    <s v="ORD10422"/>
    <x v="1"/>
    <x v="2"/>
    <n v="11"/>
    <s v="Q4"/>
    <x v="422"/>
    <d v="2026-11-22T00:00:00"/>
    <s v="C1422"/>
    <x v="422"/>
    <x v="0"/>
    <s v="India"/>
    <s v="West Bengal"/>
    <s v="Kolkata"/>
    <x v="3"/>
    <x v="1"/>
    <x v="3"/>
    <x v="156"/>
    <n v="1653.62"/>
    <n v="2"/>
    <x v="3"/>
    <s v="Low"/>
    <n v="0.16393125385517834"/>
    <x v="422"/>
    <x v="2"/>
  </r>
  <r>
    <s v="ORD10423"/>
    <x v="1"/>
    <x v="2"/>
    <n v="11"/>
    <s v="Q4"/>
    <x v="423"/>
    <d v="2026-11-23T00:00:00"/>
    <s v="C1423"/>
    <x v="423"/>
    <x v="0"/>
    <s v="India"/>
    <s v="Maharashtra"/>
    <s v="Mumbai"/>
    <x v="2"/>
    <x v="2"/>
    <x v="8"/>
    <x v="74"/>
    <n v="13591.97"/>
    <n v="7"/>
    <x v="0"/>
    <s v="Medium"/>
    <n v="0.20635125003954541"/>
    <x v="423"/>
    <x v="3"/>
  </r>
  <r>
    <s v="ORD10424"/>
    <x v="1"/>
    <x v="2"/>
    <n v="11"/>
    <s v="Q4"/>
    <x v="424"/>
    <d v="2026-11-24T00:00:00"/>
    <s v="C1424"/>
    <x v="424"/>
    <x v="1"/>
    <s v="India"/>
    <s v="Haryana"/>
    <s v="Gurugram"/>
    <x v="0"/>
    <x v="1"/>
    <x v="3"/>
    <x v="58"/>
    <n v="39142.339999999997"/>
    <n v="1"/>
    <x v="0"/>
    <s v="High"/>
    <n v="0.20746562418087422"/>
    <x v="424"/>
    <x v="0"/>
  </r>
  <r>
    <s v="ORD10425"/>
    <x v="1"/>
    <x v="2"/>
    <n v="11"/>
    <s v="Q4"/>
    <x v="425"/>
    <d v="2026-11-25T00:00:00"/>
    <s v="C1425"/>
    <x v="425"/>
    <x v="2"/>
    <s v="India"/>
    <s v="Delhi"/>
    <s v="Delhi"/>
    <x v="0"/>
    <x v="0"/>
    <x v="0"/>
    <x v="100"/>
    <n v="11629.62"/>
    <n v="3"/>
    <x v="0"/>
    <s v="Medium"/>
    <n v="7.9561498999967312E-2"/>
    <x v="425"/>
    <x v="0"/>
  </r>
  <r>
    <s v="ORD10426"/>
    <x v="1"/>
    <x v="2"/>
    <n v="11"/>
    <s v="Q4"/>
    <x v="426"/>
    <d v="2026-11-26T00:00:00"/>
    <s v="C1426"/>
    <x v="426"/>
    <x v="0"/>
    <s v="India"/>
    <s v="Delhi"/>
    <s v="Delhi"/>
    <x v="0"/>
    <x v="1"/>
    <x v="3"/>
    <x v="33"/>
    <n v="25040.639999999999"/>
    <n v="6"/>
    <x v="1"/>
    <s v="Medium"/>
    <n v="-4.9427650411491076E-3"/>
    <x v="426"/>
    <x v="1"/>
  </r>
  <r>
    <s v="ORD10427"/>
    <x v="1"/>
    <x v="2"/>
    <n v="11"/>
    <s v="Q4"/>
    <x v="427"/>
    <d v="2026-11-27T00:00:00"/>
    <s v="C1427"/>
    <x v="427"/>
    <x v="0"/>
    <s v="India"/>
    <s v="Haryana"/>
    <s v="Gurugram"/>
    <x v="0"/>
    <x v="0"/>
    <x v="5"/>
    <x v="163"/>
    <n v="9971.7000000000007"/>
    <n v="6"/>
    <x v="2"/>
    <s v="Low"/>
    <n v="0.18941303890008723"/>
    <x v="427"/>
    <x v="1"/>
  </r>
  <r>
    <s v="ORD10428"/>
    <x v="1"/>
    <x v="2"/>
    <n v="11"/>
    <s v="Q4"/>
    <x v="428"/>
    <d v="2026-11-28T00:00:00"/>
    <s v="C1428"/>
    <x v="428"/>
    <x v="0"/>
    <s v="India"/>
    <s v="Maharashtra"/>
    <s v="Mumbai"/>
    <x v="2"/>
    <x v="1"/>
    <x v="2"/>
    <x v="115"/>
    <n v="11235.99"/>
    <n v="6"/>
    <x v="2"/>
    <s v="Medium"/>
    <n v="0.16020039177678158"/>
    <x v="428"/>
    <x v="3"/>
  </r>
  <r>
    <s v="ORD10429"/>
    <x v="1"/>
    <x v="2"/>
    <n v="11"/>
    <s v="Q4"/>
    <x v="429"/>
    <d v="2026-11-29T00:00:00"/>
    <s v="C1429"/>
    <x v="429"/>
    <x v="1"/>
    <s v="India"/>
    <s v="West Bengal"/>
    <s v="Kolkata"/>
    <x v="3"/>
    <x v="2"/>
    <x v="6"/>
    <x v="21"/>
    <n v="39875.82"/>
    <n v="5"/>
    <x v="0"/>
    <s v="High"/>
    <n v="-3.6882000169526294E-3"/>
    <x v="429"/>
    <x v="1"/>
  </r>
  <r>
    <s v="ORD10430"/>
    <x v="1"/>
    <x v="2"/>
    <n v="11"/>
    <s v="Q4"/>
    <x v="430"/>
    <d v="2026-11-30T00:00:00"/>
    <s v="C1430"/>
    <x v="430"/>
    <x v="1"/>
    <s v="India"/>
    <s v="Delhi"/>
    <s v="Delhi"/>
    <x v="0"/>
    <x v="0"/>
    <x v="7"/>
    <x v="106"/>
    <n v="20569.02"/>
    <n v="6"/>
    <x v="3"/>
    <s v="Medium"/>
    <n v="0.23996476254094751"/>
    <x v="430"/>
    <x v="0"/>
  </r>
  <r>
    <s v="ORD10431"/>
    <x v="1"/>
    <x v="2"/>
    <n v="11"/>
    <s v="Q4"/>
    <x v="431"/>
    <d v="2026-12-01T00:00:00"/>
    <s v="C1431"/>
    <x v="431"/>
    <x v="1"/>
    <s v="India"/>
    <s v="Haryana"/>
    <s v="Gurugram"/>
    <x v="0"/>
    <x v="0"/>
    <x v="5"/>
    <x v="39"/>
    <n v="31708.720000000001"/>
    <n v="3"/>
    <x v="2"/>
    <s v="High"/>
    <n v="0.15430298037889892"/>
    <x v="431"/>
    <x v="0"/>
  </r>
  <r>
    <s v="ORD10432"/>
    <x v="1"/>
    <x v="2"/>
    <n v="11"/>
    <s v="Q4"/>
    <x v="432"/>
    <d v="2026-12-02T00:00:00"/>
    <s v="C1432"/>
    <x v="432"/>
    <x v="1"/>
    <s v="India"/>
    <s v="Haryana"/>
    <s v="Gurugram"/>
    <x v="0"/>
    <x v="1"/>
    <x v="2"/>
    <x v="132"/>
    <n v="34979.56"/>
    <n v="8"/>
    <x v="2"/>
    <s v="High"/>
    <n v="0.18989689978947707"/>
    <x v="432"/>
    <x v="0"/>
  </r>
  <r>
    <s v="ORD10433"/>
    <x v="1"/>
    <x v="2"/>
    <n v="11"/>
    <s v="Q4"/>
    <x v="433"/>
    <d v="2026-12-03T00:00:00"/>
    <s v="C1433"/>
    <x v="433"/>
    <x v="1"/>
    <s v="India"/>
    <s v="Karnataka"/>
    <s v="Bengaluru"/>
    <x v="1"/>
    <x v="1"/>
    <x v="2"/>
    <x v="2"/>
    <n v="27272.83"/>
    <n v="7"/>
    <x v="0"/>
    <s v="Medium"/>
    <n v="9.2624784446645236E-2"/>
    <x v="433"/>
    <x v="2"/>
  </r>
  <r>
    <s v="ORD10434"/>
    <x v="1"/>
    <x v="2"/>
    <n v="11"/>
    <s v="Q4"/>
    <x v="434"/>
    <d v="2026-12-04T00:00:00"/>
    <s v="C1434"/>
    <x v="434"/>
    <x v="2"/>
    <s v="India"/>
    <s v="West Bengal"/>
    <s v="Kolkata"/>
    <x v="3"/>
    <x v="0"/>
    <x v="7"/>
    <x v="106"/>
    <n v="30389.62"/>
    <n v="2"/>
    <x v="3"/>
    <s v="High"/>
    <n v="0.16906562174847861"/>
    <x v="434"/>
    <x v="0"/>
  </r>
  <r>
    <s v="ORD10435"/>
    <x v="1"/>
    <x v="3"/>
    <n v="12"/>
    <s v="Q4"/>
    <x v="435"/>
    <d v="2026-12-05T00:00:00"/>
    <s v="C1435"/>
    <x v="435"/>
    <x v="0"/>
    <s v="India"/>
    <s v="Haryana"/>
    <s v="Gurugram"/>
    <x v="0"/>
    <x v="2"/>
    <x v="4"/>
    <x v="69"/>
    <n v="22691.83"/>
    <n v="1"/>
    <x v="2"/>
    <s v="Medium"/>
    <n v="0.10562964732240633"/>
    <x v="435"/>
    <x v="2"/>
  </r>
  <r>
    <s v="ORD10436"/>
    <x v="1"/>
    <x v="3"/>
    <n v="12"/>
    <s v="Q4"/>
    <x v="436"/>
    <d v="2026-12-06T00:00:00"/>
    <s v="C1436"/>
    <x v="436"/>
    <x v="1"/>
    <s v="India"/>
    <s v="Maharashtra"/>
    <s v="Mumbai"/>
    <x v="2"/>
    <x v="1"/>
    <x v="2"/>
    <x v="78"/>
    <n v="5559.38"/>
    <n v="8"/>
    <x v="2"/>
    <s v="Low"/>
    <n v="0.12847835550007375"/>
    <x v="436"/>
    <x v="1"/>
  </r>
  <r>
    <s v="ORD10437"/>
    <x v="1"/>
    <x v="3"/>
    <n v="12"/>
    <s v="Q4"/>
    <x v="437"/>
    <d v="2026-12-07T00:00:00"/>
    <s v="C1437"/>
    <x v="437"/>
    <x v="2"/>
    <s v="India"/>
    <s v="Delhi"/>
    <s v="Delhi"/>
    <x v="0"/>
    <x v="0"/>
    <x v="0"/>
    <x v="105"/>
    <n v="38681.410000000003"/>
    <n v="2"/>
    <x v="2"/>
    <s v="High"/>
    <n v="0.12458413485961344"/>
    <x v="437"/>
    <x v="1"/>
  </r>
  <r>
    <s v="ORD10438"/>
    <x v="1"/>
    <x v="3"/>
    <n v="12"/>
    <s v="Q4"/>
    <x v="438"/>
    <d v="2026-12-08T00:00:00"/>
    <s v="C1438"/>
    <x v="438"/>
    <x v="0"/>
    <s v="India"/>
    <s v="Delhi"/>
    <s v="Delhi"/>
    <x v="0"/>
    <x v="0"/>
    <x v="5"/>
    <x v="39"/>
    <n v="6367.28"/>
    <n v="3"/>
    <x v="2"/>
    <s v="Low"/>
    <n v="7.3954655677149428E-2"/>
    <x v="438"/>
    <x v="1"/>
  </r>
  <r>
    <s v="ORD10439"/>
    <x v="1"/>
    <x v="3"/>
    <n v="12"/>
    <s v="Q4"/>
    <x v="439"/>
    <d v="2026-12-09T00:00:00"/>
    <s v="C1439"/>
    <x v="439"/>
    <x v="0"/>
    <s v="India"/>
    <s v="Karnataka"/>
    <s v="Bengaluru"/>
    <x v="1"/>
    <x v="1"/>
    <x v="2"/>
    <x v="120"/>
    <n v="14920.17"/>
    <n v="1"/>
    <x v="0"/>
    <s v="Medium"/>
    <n v="0.10208663842302065"/>
    <x v="439"/>
    <x v="1"/>
  </r>
  <r>
    <s v="ORD10440"/>
    <x v="1"/>
    <x v="3"/>
    <n v="12"/>
    <s v="Q4"/>
    <x v="440"/>
    <d v="2026-12-10T00:00:00"/>
    <s v="C1440"/>
    <x v="440"/>
    <x v="2"/>
    <s v="India"/>
    <s v="Maharashtra"/>
    <s v="Mumbai"/>
    <x v="2"/>
    <x v="0"/>
    <x v="7"/>
    <x v="17"/>
    <n v="34111.269999999997"/>
    <n v="5"/>
    <x v="3"/>
    <s v="High"/>
    <n v="9.6165578121248499E-2"/>
    <x v="440"/>
    <x v="1"/>
  </r>
  <r>
    <s v="ORD10441"/>
    <x v="1"/>
    <x v="3"/>
    <n v="12"/>
    <s v="Q4"/>
    <x v="441"/>
    <d v="2026-12-11T00:00:00"/>
    <s v="C1441"/>
    <x v="441"/>
    <x v="0"/>
    <s v="India"/>
    <s v="West Bengal"/>
    <s v="Kolkata"/>
    <x v="3"/>
    <x v="2"/>
    <x v="8"/>
    <x v="123"/>
    <n v="5777.26"/>
    <n v="4"/>
    <x v="3"/>
    <s v="Low"/>
    <n v="0.12941775166774561"/>
    <x v="441"/>
    <x v="2"/>
  </r>
  <r>
    <s v="ORD10442"/>
    <x v="1"/>
    <x v="3"/>
    <n v="12"/>
    <s v="Q4"/>
    <x v="442"/>
    <d v="2026-12-12T00:00:00"/>
    <s v="C1442"/>
    <x v="442"/>
    <x v="0"/>
    <s v="India"/>
    <s v="West Bengal"/>
    <s v="Kolkata"/>
    <x v="3"/>
    <x v="0"/>
    <x v="0"/>
    <x v="131"/>
    <n v="36837.300000000003"/>
    <n v="3"/>
    <x v="0"/>
    <s v="High"/>
    <n v="3.8592947908777243E-2"/>
    <x v="442"/>
    <x v="1"/>
  </r>
  <r>
    <s v="ORD10443"/>
    <x v="1"/>
    <x v="3"/>
    <n v="12"/>
    <s v="Q4"/>
    <x v="443"/>
    <d v="2026-12-13T00:00:00"/>
    <s v="C1443"/>
    <x v="443"/>
    <x v="0"/>
    <s v="India"/>
    <s v="West Bengal"/>
    <s v="Kolkata"/>
    <x v="3"/>
    <x v="0"/>
    <x v="0"/>
    <x v="100"/>
    <n v="19799.77"/>
    <n v="7"/>
    <x v="0"/>
    <s v="Medium"/>
    <n v="0.16043822731274149"/>
    <x v="443"/>
    <x v="0"/>
  </r>
  <r>
    <s v="ORD10444"/>
    <x v="1"/>
    <x v="3"/>
    <n v="12"/>
    <s v="Q4"/>
    <x v="444"/>
    <d v="2026-12-14T00:00:00"/>
    <s v="C1444"/>
    <x v="444"/>
    <x v="1"/>
    <s v="India"/>
    <s v="Haryana"/>
    <s v="Gurugram"/>
    <x v="0"/>
    <x v="2"/>
    <x v="6"/>
    <x v="63"/>
    <n v="23398.76"/>
    <n v="1"/>
    <x v="3"/>
    <s v="Medium"/>
    <n v="3.9962374074523611E-2"/>
    <x v="444"/>
    <x v="0"/>
  </r>
  <r>
    <s v="ORD10445"/>
    <x v="1"/>
    <x v="3"/>
    <n v="12"/>
    <s v="Q4"/>
    <x v="445"/>
    <d v="2026-12-15T00:00:00"/>
    <s v="C1445"/>
    <x v="445"/>
    <x v="0"/>
    <s v="India"/>
    <s v="Karnataka"/>
    <s v="Bengaluru"/>
    <x v="1"/>
    <x v="0"/>
    <x v="7"/>
    <x v="42"/>
    <n v="36197.32"/>
    <n v="3"/>
    <x v="0"/>
    <s v="High"/>
    <n v="4.1081494431079425E-2"/>
    <x v="445"/>
    <x v="1"/>
  </r>
  <r>
    <s v="ORD10446"/>
    <x v="1"/>
    <x v="3"/>
    <n v="12"/>
    <s v="Q4"/>
    <x v="446"/>
    <d v="2026-12-16T00:00:00"/>
    <s v="C1446"/>
    <x v="446"/>
    <x v="1"/>
    <s v="India"/>
    <s v="Maharashtra"/>
    <s v="Mumbai"/>
    <x v="2"/>
    <x v="0"/>
    <x v="0"/>
    <x v="136"/>
    <n v="9930.9599999999991"/>
    <n v="4"/>
    <x v="1"/>
    <s v="Low"/>
    <n v="-4.1533749003117529E-2"/>
    <x v="446"/>
    <x v="2"/>
  </r>
  <r>
    <s v="ORD10447"/>
    <x v="1"/>
    <x v="3"/>
    <n v="12"/>
    <s v="Q4"/>
    <x v="447"/>
    <d v="2026-12-17T00:00:00"/>
    <s v="C1447"/>
    <x v="447"/>
    <x v="2"/>
    <s v="India"/>
    <s v="West Bengal"/>
    <s v="Kolkata"/>
    <x v="3"/>
    <x v="0"/>
    <x v="5"/>
    <x v="57"/>
    <n v="15104.04"/>
    <n v="1"/>
    <x v="0"/>
    <s v="Medium"/>
    <n v="3.4699325478481252E-3"/>
    <x v="447"/>
    <x v="3"/>
  </r>
  <r>
    <s v="ORD10448"/>
    <x v="1"/>
    <x v="3"/>
    <n v="12"/>
    <s v="Q4"/>
    <x v="448"/>
    <d v="2026-12-18T00:00:00"/>
    <s v="C1448"/>
    <x v="448"/>
    <x v="0"/>
    <s v="India"/>
    <s v="Maharashtra"/>
    <s v="Mumbai"/>
    <x v="2"/>
    <x v="2"/>
    <x v="8"/>
    <x v="29"/>
    <n v="45656.59"/>
    <n v="8"/>
    <x v="1"/>
    <s v="High"/>
    <n v="-5.9997034382112208E-2"/>
    <x v="448"/>
    <x v="2"/>
  </r>
  <r>
    <s v="ORD10449"/>
    <x v="1"/>
    <x v="3"/>
    <n v="12"/>
    <s v="Q4"/>
    <x v="449"/>
    <d v="2026-12-19T00:00:00"/>
    <s v="C1449"/>
    <x v="449"/>
    <x v="1"/>
    <s v="India"/>
    <s v="Maharashtra"/>
    <s v="Mumbai"/>
    <x v="2"/>
    <x v="1"/>
    <x v="1"/>
    <x v="152"/>
    <n v="28339.72"/>
    <n v="1"/>
    <x v="3"/>
    <s v="Medium"/>
    <n v="7.673999601972073E-2"/>
    <x v="449"/>
    <x v="0"/>
  </r>
  <r>
    <s v="ORD10450"/>
    <x v="1"/>
    <x v="3"/>
    <n v="12"/>
    <s v="Q4"/>
    <x v="450"/>
    <d v="2026-12-20T00:00:00"/>
    <s v="C1450"/>
    <x v="450"/>
    <x v="1"/>
    <s v="India"/>
    <s v="West Bengal"/>
    <s v="Kolkata"/>
    <x v="3"/>
    <x v="1"/>
    <x v="2"/>
    <x v="115"/>
    <n v="10732.73"/>
    <n v="6"/>
    <x v="3"/>
    <s v="Medium"/>
    <n v="0.16948250817825475"/>
    <x v="450"/>
    <x v="1"/>
  </r>
  <r>
    <s v="ORD10451"/>
    <x v="1"/>
    <x v="3"/>
    <n v="12"/>
    <s v="Q4"/>
    <x v="451"/>
    <d v="2026-12-21T00:00:00"/>
    <s v="C1451"/>
    <x v="451"/>
    <x v="1"/>
    <s v="India"/>
    <s v="Karnataka"/>
    <s v="Bengaluru"/>
    <x v="1"/>
    <x v="0"/>
    <x v="0"/>
    <x v="164"/>
    <n v="20086.939999999999"/>
    <n v="8"/>
    <x v="0"/>
    <s v="Medium"/>
    <n v="0.14431765117036244"/>
    <x v="451"/>
    <x v="2"/>
  </r>
  <r>
    <s v="ORD10452"/>
    <x v="1"/>
    <x v="3"/>
    <n v="12"/>
    <s v="Q4"/>
    <x v="452"/>
    <d v="2026-12-22T00:00:00"/>
    <s v="C1452"/>
    <x v="452"/>
    <x v="1"/>
    <s v="India"/>
    <s v="West Bengal"/>
    <s v="Kolkata"/>
    <x v="3"/>
    <x v="1"/>
    <x v="3"/>
    <x v="59"/>
    <n v="25418.06"/>
    <n v="1"/>
    <x v="2"/>
    <s v="Medium"/>
    <n v="0.2780275127212698"/>
    <x v="452"/>
    <x v="2"/>
  </r>
  <r>
    <s v="ORD10453"/>
    <x v="1"/>
    <x v="3"/>
    <n v="12"/>
    <s v="Q4"/>
    <x v="453"/>
    <d v="2026-12-23T00:00:00"/>
    <s v="C1453"/>
    <x v="453"/>
    <x v="0"/>
    <s v="India"/>
    <s v="Delhi"/>
    <s v="Delhi"/>
    <x v="0"/>
    <x v="2"/>
    <x v="8"/>
    <x v="65"/>
    <n v="38035.120000000003"/>
    <n v="3"/>
    <x v="1"/>
    <s v="High"/>
    <n v="8.3221769774881729E-2"/>
    <x v="453"/>
    <x v="0"/>
  </r>
  <r>
    <s v="ORD10454"/>
    <x v="1"/>
    <x v="3"/>
    <n v="12"/>
    <s v="Q4"/>
    <x v="454"/>
    <d v="2026-12-24T00:00:00"/>
    <s v="C1454"/>
    <x v="454"/>
    <x v="1"/>
    <s v="India"/>
    <s v="Haryana"/>
    <s v="Gurugram"/>
    <x v="0"/>
    <x v="0"/>
    <x v="7"/>
    <x v="110"/>
    <n v="12261.93"/>
    <n v="5"/>
    <x v="3"/>
    <s v="Medium"/>
    <n v="0.21632646736688269"/>
    <x v="454"/>
    <x v="0"/>
  </r>
  <r>
    <s v="ORD10455"/>
    <x v="1"/>
    <x v="3"/>
    <n v="12"/>
    <s v="Q4"/>
    <x v="455"/>
    <d v="2026-12-25T00:00:00"/>
    <s v="C1455"/>
    <x v="455"/>
    <x v="0"/>
    <s v="India"/>
    <s v="West Bengal"/>
    <s v="Kolkata"/>
    <x v="3"/>
    <x v="0"/>
    <x v="7"/>
    <x v="79"/>
    <n v="33151.35"/>
    <n v="2"/>
    <x v="1"/>
    <s v="High"/>
    <n v="-6.1026172388153124E-3"/>
    <x v="455"/>
    <x v="3"/>
  </r>
  <r>
    <s v="ORD10456"/>
    <x v="1"/>
    <x v="3"/>
    <n v="12"/>
    <s v="Q4"/>
    <x v="456"/>
    <d v="2026-12-26T00:00:00"/>
    <s v="C1456"/>
    <x v="456"/>
    <x v="2"/>
    <s v="India"/>
    <s v="Delhi"/>
    <s v="Delhi"/>
    <x v="0"/>
    <x v="1"/>
    <x v="2"/>
    <x v="120"/>
    <n v="3534.13"/>
    <n v="4"/>
    <x v="3"/>
    <s v="Low"/>
    <n v="8.3500041028485086E-2"/>
    <x v="456"/>
    <x v="3"/>
  </r>
  <r>
    <s v="ORD10457"/>
    <x v="1"/>
    <x v="3"/>
    <n v="12"/>
    <s v="Q4"/>
    <x v="457"/>
    <d v="2026-12-27T00:00:00"/>
    <s v="C1457"/>
    <x v="457"/>
    <x v="1"/>
    <s v="India"/>
    <s v="West Bengal"/>
    <s v="Kolkata"/>
    <x v="3"/>
    <x v="2"/>
    <x v="4"/>
    <x v="165"/>
    <n v="46076.3"/>
    <n v="1"/>
    <x v="0"/>
    <s v="High"/>
    <n v="8.7439746681048595E-3"/>
    <x v="457"/>
    <x v="1"/>
  </r>
  <r>
    <s v="ORD10458"/>
    <x v="1"/>
    <x v="3"/>
    <n v="12"/>
    <s v="Q4"/>
    <x v="458"/>
    <d v="2026-12-28T00:00:00"/>
    <s v="C1458"/>
    <x v="458"/>
    <x v="2"/>
    <s v="India"/>
    <s v="Maharashtra"/>
    <s v="Mumbai"/>
    <x v="2"/>
    <x v="1"/>
    <x v="1"/>
    <x v="75"/>
    <n v="19768.88"/>
    <n v="7"/>
    <x v="2"/>
    <s v="Medium"/>
    <n v="6.8266386360785233E-2"/>
    <x v="458"/>
    <x v="1"/>
  </r>
  <r>
    <s v="ORD10459"/>
    <x v="1"/>
    <x v="3"/>
    <n v="12"/>
    <s v="Q4"/>
    <x v="459"/>
    <d v="2026-12-29T00:00:00"/>
    <s v="C1459"/>
    <x v="459"/>
    <x v="0"/>
    <s v="India"/>
    <s v="Karnataka"/>
    <s v="Bengaluru"/>
    <x v="1"/>
    <x v="2"/>
    <x v="4"/>
    <x v="119"/>
    <n v="34544.19"/>
    <n v="1"/>
    <x v="3"/>
    <s v="High"/>
    <n v="0.12975438127221972"/>
    <x v="459"/>
    <x v="0"/>
  </r>
  <r>
    <s v="ORD10460"/>
    <x v="1"/>
    <x v="3"/>
    <n v="12"/>
    <s v="Q4"/>
    <x v="460"/>
    <d v="2026-12-30T00:00:00"/>
    <s v="C1460"/>
    <x v="460"/>
    <x v="0"/>
    <s v="India"/>
    <s v="Haryana"/>
    <s v="Gurugram"/>
    <x v="0"/>
    <x v="0"/>
    <x v="5"/>
    <x v="57"/>
    <n v="47645.33"/>
    <n v="4"/>
    <x v="2"/>
    <s v="High"/>
    <n v="0.25943864802699446"/>
    <x v="460"/>
    <x v="0"/>
  </r>
  <r>
    <s v="ORD10461"/>
    <x v="1"/>
    <x v="3"/>
    <n v="12"/>
    <s v="Q4"/>
    <x v="461"/>
    <d v="2026-12-31T00:00:00"/>
    <s v="C1461"/>
    <x v="461"/>
    <x v="1"/>
    <s v="India"/>
    <s v="Maharashtra"/>
    <s v="Mumbai"/>
    <x v="2"/>
    <x v="1"/>
    <x v="2"/>
    <x v="13"/>
    <n v="6816.44"/>
    <n v="5"/>
    <x v="1"/>
    <s v="Low"/>
    <n v="3.5486265557974545E-2"/>
    <x v="461"/>
    <x v="1"/>
  </r>
  <r>
    <s v="ORD10462"/>
    <x v="1"/>
    <x v="3"/>
    <n v="12"/>
    <s v="Q4"/>
    <x v="462"/>
    <d v="2027-01-01T00:00:00"/>
    <s v="C1462"/>
    <x v="462"/>
    <x v="1"/>
    <s v="India"/>
    <s v="Haryana"/>
    <s v="Gurugram"/>
    <x v="0"/>
    <x v="1"/>
    <x v="2"/>
    <x v="125"/>
    <n v="35745.120000000003"/>
    <n v="7"/>
    <x v="3"/>
    <s v="High"/>
    <n v="0.10491110394929433"/>
    <x v="462"/>
    <x v="3"/>
  </r>
  <r>
    <s v="ORD10463"/>
    <x v="1"/>
    <x v="3"/>
    <n v="12"/>
    <s v="Q4"/>
    <x v="463"/>
    <d v="2027-01-02T00:00:00"/>
    <s v="C1463"/>
    <x v="463"/>
    <x v="1"/>
    <s v="India"/>
    <s v="Haryana"/>
    <s v="Gurugram"/>
    <x v="0"/>
    <x v="2"/>
    <x v="4"/>
    <x v="4"/>
    <n v="40102.21"/>
    <n v="4"/>
    <x v="3"/>
    <s v="High"/>
    <n v="0.15714744898099134"/>
    <x v="463"/>
    <x v="0"/>
  </r>
  <r>
    <s v="ORD10464"/>
    <x v="1"/>
    <x v="3"/>
    <n v="12"/>
    <s v="Q4"/>
    <x v="464"/>
    <d v="2027-01-03T00:00:00"/>
    <s v="C1464"/>
    <x v="464"/>
    <x v="0"/>
    <s v="India"/>
    <s v="West Bengal"/>
    <s v="Kolkata"/>
    <x v="3"/>
    <x v="2"/>
    <x v="8"/>
    <x v="24"/>
    <n v="27932.74"/>
    <n v="5"/>
    <x v="0"/>
    <s v="Medium"/>
    <n v="5.2433452643743501E-2"/>
    <x v="464"/>
    <x v="2"/>
  </r>
  <r>
    <s v="ORD10465"/>
    <x v="1"/>
    <x v="3"/>
    <n v="12"/>
    <s v="Q4"/>
    <x v="465"/>
    <d v="2027-01-04T00:00:00"/>
    <s v="C1465"/>
    <x v="465"/>
    <x v="1"/>
    <s v="India"/>
    <s v="Karnataka"/>
    <s v="Bengaluru"/>
    <x v="1"/>
    <x v="0"/>
    <x v="0"/>
    <x v="27"/>
    <n v="5665.17"/>
    <n v="2"/>
    <x v="3"/>
    <s v="Low"/>
    <n v="0.25716792258661259"/>
    <x v="465"/>
    <x v="0"/>
  </r>
  <r>
    <s v="ORD10466"/>
    <x v="2"/>
    <x v="4"/>
    <n v="1"/>
    <s v="Q1"/>
    <x v="466"/>
    <d v="2027-01-05T00:00:00"/>
    <s v="C1466"/>
    <x v="466"/>
    <x v="1"/>
    <s v="India"/>
    <s v="Delhi"/>
    <s v="Delhi"/>
    <x v="0"/>
    <x v="0"/>
    <x v="5"/>
    <x v="55"/>
    <n v="41062.81"/>
    <n v="5"/>
    <x v="0"/>
    <s v="High"/>
    <n v="3.0937726862823079E-2"/>
    <x v="466"/>
    <x v="3"/>
  </r>
  <r>
    <s v="ORD10467"/>
    <x v="2"/>
    <x v="4"/>
    <n v="1"/>
    <s v="Q1"/>
    <x v="467"/>
    <d v="2027-01-06T00:00:00"/>
    <s v="C1467"/>
    <x v="467"/>
    <x v="0"/>
    <s v="India"/>
    <s v="Haryana"/>
    <s v="Gurugram"/>
    <x v="0"/>
    <x v="1"/>
    <x v="2"/>
    <x v="120"/>
    <n v="21289.3"/>
    <n v="8"/>
    <x v="2"/>
    <s v="Medium"/>
    <n v="6.8236625910668744E-2"/>
    <x v="467"/>
    <x v="2"/>
  </r>
  <r>
    <s v="ORD10468"/>
    <x v="2"/>
    <x v="4"/>
    <n v="1"/>
    <s v="Q1"/>
    <x v="468"/>
    <d v="2027-01-07T00:00:00"/>
    <s v="C1468"/>
    <x v="468"/>
    <x v="0"/>
    <s v="India"/>
    <s v="Haryana"/>
    <s v="Gurugram"/>
    <x v="0"/>
    <x v="1"/>
    <x v="2"/>
    <x v="125"/>
    <n v="44073.71"/>
    <n v="1"/>
    <x v="0"/>
    <s v="High"/>
    <n v="0.15324872809663628"/>
    <x v="468"/>
    <x v="3"/>
  </r>
  <r>
    <s v="ORD10469"/>
    <x v="2"/>
    <x v="4"/>
    <n v="1"/>
    <s v="Q1"/>
    <x v="469"/>
    <d v="2027-01-08T00:00:00"/>
    <s v="C1469"/>
    <x v="469"/>
    <x v="2"/>
    <s v="India"/>
    <s v="Maharashtra"/>
    <s v="Mumbai"/>
    <x v="2"/>
    <x v="0"/>
    <x v="5"/>
    <x v="26"/>
    <n v="24978.45"/>
    <n v="8"/>
    <x v="3"/>
    <s v="Medium"/>
    <n v="0.16184711221072565"/>
    <x v="469"/>
    <x v="3"/>
  </r>
  <r>
    <s v="ORD10470"/>
    <x v="2"/>
    <x v="4"/>
    <n v="1"/>
    <s v="Q1"/>
    <x v="470"/>
    <d v="2027-01-09T00:00:00"/>
    <s v="C1470"/>
    <x v="470"/>
    <x v="0"/>
    <s v="India"/>
    <s v="Haryana"/>
    <s v="Gurugram"/>
    <x v="0"/>
    <x v="1"/>
    <x v="1"/>
    <x v="109"/>
    <n v="38089.93"/>
    <n v="6"/>
    <x v="3"/>
    <s v="High"/>
    <n v="0.11927351927399184"/>
    <x v="470"/>
    <x v="1"/>
  </r>
  <r>
    <s v="ORD10471"/>
    <x v="2"/>
    <x v="4"/>
    <n v="1"/>
    <s v="Q1"/>
    <x v="471"/>
    <d v="2027-01-10T00:00:00"/>
    <s v="C1471"/>
    <x v="471"/>
    <x v="2"/>
    <s v="India"/>
    <s v="Karnataka"/>
    <s v="Bengaluru"/>
    <x v="1"/>
    <x v="2"/>
    <x v="4"/>
    <x v="50"/>
    <n v="4833.25"/>
    <n v="3"/>
    <x v="3"/>
    <s v="Low"/>
    <n v="0.15407851859514821"/>
    <x v="471"/>
    <x v="3"/>
  </r>
  <r>
    <s v="ORD10472"/>
    <x v="2"/>
    <x v="4"/>
    <n v="1"/>
    <s v="Q1"/>
    <x v="472"/>
    <d v="2027-01-11T00:00:00"/>
    <s v="C1472"/>
    <x v="472"/>
    <x v="1"/>
    <s v="India"/>
    <s v="Maharashtra"/>
    <s v="Mumbai"/>
    <x v="2"/>
    <x v="1"/>
    <x v="1"/>
    <x v="82"/>
    <n v="31219.54"/>
    <n v="8"/>
    <x v="2"/>
    <s v="High"/>
    <n v="0.29821483596491166"/>
    <x v="472"/>
    <x v="0"/>
  </r>
  <r>
    <s v="ORD10473"/>
    <x v="2"/>
    <x v="4"/>
    <n v="1"/>
    <s v="Q1"/>
    <x v="473"/>
    <d v="2027-01-12T00:00:00"/>
    <s v="C1473"/>
    <x v="473"/>
    <x v="0"/>
    <s v="India"/>
    <s v="Delhi"/>
    <s v="Delhi"/>
    <x v="0"/>
    <x v="0"/>
    <x v="5"/>
    <x v="90"/>
    <n v="39498.61"/>
    <n v="3"/>
    <x v="2"/>
    <s v="High"/>
    <n v="0.24582105547511671"/>
    <x v="473"/>
    <x v="1"/>
  </r>
  <r>
    <s v="ORD10474"/>
    <x v="2"/>
    <x v="4"/>
    <n v="1"/>
    <s v="Q1"/>
    <x v="474"/>
    <d v="2027-01-13T00:00:00"/>
    <s v="C1474"/>
    <x v="474"/>
    <x v="2"/>
    <s v="India"/>
    <s v="Karnataka"/>
    <s v="Bengaluru"/>
    <x v="1"/>
    <x v="0"/>
    <x v="5"/>
    <x v="39"/>
    <n v="36977.15"/>
    <n v="4"/>
    <x v="2"/>
    <s v="High"/>
    <n v="7.9804149319241735E-2"/>
    <x v="474"/>
    <x v="2"/>
  </r>
  <r>
    <s v="ORD10475"/>
    <x v="2"/>
    <x v="4"/>
    <n v="1"/>
    <s v="Q1"/>
    <x v="475"/>
    <d v="2027-01-14T00:00:00"/>
    <s v="C1475"/>
    <x v="475"/>
    <x v="2"/>
    <s v="India"/>
    <s v="Haryana"/>
    <s v="Gurugram"/>
    <x v="0"/>
    <x v="0"/>
    <x v="0"/>
    <x v="27"/>
    <n v="13301.7"/>
    <n v="5"/>
    <x v="3"/>
    <s v="Medium"/>
    <n v="0.25436823864618807"/>
    <x v="475"/>
    <x v="0"/>
  </r>
  <r>
    <s v="ORD10476"/>
    <x v="2"/>
    <x v="4"/>
    <n v="1"/>
    <s v="Q1"/>
    <x v="476"/>
    <d v="2027-01-15T00:00:00"/>
    <s v="C1476"/>
    <x v="476"/>
    <x v="0"/>
    <s v="India"/>
    <s v="Maharashtra"/>
    <s v="Mumbai"/>
    <x v="2"/>
    <x v="2"/>
    <x v="8"/>
    <x v="94"/>
    <n v="16690.89"/>
    <n v="1"/>
    <x v="3"/>
    <s v="Medium"/>
    <n v="7.9863326641059884E-2"/>
    <x v="476"/>
    <x v="0"/>
  </r>
  <r>
    <s v="ORD10477"/>
    <x v="2"/>
    <x v="4"/>
    <n v="1"/>
    <s v="Q1"/>
    <x v="477"/>
    <d v="2027-01-16T00:00:00"/>
    <s v="C1477"/>
    <x v="477"/>
    <x v="2"/>
    <s v="India"/>
    <s v="Maharashtra"/>
    <s v="Mumbai"/>
    <x v="2"/>
    <x v="1"/>
    <x v="2"/>
    <x v="166"/>
    <n v="25209.11"/>
    <n v="4"/>
    <x v="1"/>
    <s v="Medium"/>
    <n v="-3.6549485483620803E-2"/>
    <x v="477"/>
    <x v="2"/>
  </r>
  <r>
    <s v="ORD10478"/>
    <x v="2"/>
    <x v="4"/>
    <n v="1"/>
    <s v="Q1"/>
    <x v="478"/>
    <d v="2027-01-17T00:00:00"/>
    <s v="C1478"/>
    <x v="478"/>
    <x v="1"/>
    <s v="India"/>
    <s v="Karnataka"/>
    <s v="Bengaluru"/>
    <x v="1"/>
    <x v="0"/>
    <x v="7"/>
    <x v="122"/>
    <n v="7843.9"/>
    <n v="2"/>
    <x v="3"/>
    <s v="Low"/>
    <n v="0.23985389920830202"/>
    <x v="478"/>
    <x v="3"/>
  </r>
  <r>
    <s v="ORD10479"/>
    <x v="2"/>
    <x v="4"/>
    <n v="1"/>
    <s v="Q1"/>
    <x v="479"/>
    <d v="2027-01-18T00:00:00"/>
    <s v="C1479"/>
    <x v="479"/>
    <x v="0"/>
    <s v="India"/>
    <s v="Karnataka"/>
    <s v="Bengaluru"/>
    <x v="1"/>
    <x v="2"/>
    <x v="8"/>
    <x v="94"/>
    <n v="39140.129999999997"/>
    <n v="7"/>
    <x v="0"/>
    <s v="High"/>
    <n v="-8.7350246409503493E-3"/>
    <x v="479"/>
    <x v="2"/>
  </r>
  <r>
    <s v="ORD10480"/>
    <x v="2"/>
    <x v="4"/>
    <n v="1"/>
    <s v="Q1"/>
    <x v="480"/>
    <d v="2027-01-19T00:00:00"/>
    <s v="C1480"/>
    <x v="480"/>
    <x v="0"/>
    <s v="India"/>
    <s v="Delhi"/>
    <s v="Delhi"/>
    <x v="0"/>
    <x v="1"/>
    <x v="1"/>
    <x v="152"/>
    <n v="7437.15"/>
    <n v="7"/>
    <x v="0"/>
    <s v="Low"/>
    <n v="0.10143805086625925"/>
    <x v="480"/>
    <x v="0"/>
  </r>
  <r>
    <s v="ORD10481"/>
    <x v="2"/>
    <x v="4"/>
    <n v="1"/>
    <s v="Q1"/>
    <x v="481"/>
    <d v="2027-01-20T00:00:00"/>
    <s v="C1481"/>
    <x v="481"/>
    <x v="2"/>
    <s v="India"/>
    <s v="West Bengal"/>
    <s v="Kolkata"/>
    <x v="3"/>
    <x v="2"/>
    <x v="4"/>
    <x v="148"/>
    <n v="6737.28"/>
    <n v="8"/>
    <x v="1"/>
    <s v="Low"/>
    <n v="0.11053570580412274"/>
    <x v="481"/>
    <x v="0"/>
  </r>
  <r>
    <s v="ORD10482"/>
    <x v="2"/>
    <x v="4"/>
    <n v="1"/>
    <s v="Q1"/>
    <x v="482"/>
    <d v="2027-01-21T00:00:00"/>
    <s v="C1482"/>
    <x v="482"/>
    <x v="0"/>
    <s v="India"/>
    <s v="Delhi"/>
    <s v="Delhi"/>
    <x v="0"/>
    <x v="0"/>
    <x v="7"/>
    <x v="79"/>
    <n v="20253.98"/>
    <n v="5"/>
    <x v="3"/>
    <s v="Medium"/>
    <n v="0.17432228134914718"/>
    <x v="482"/>
    <x v="3"/>
  </r>
  <r>
    <s v="ORD10483"/>
    <x v="2"/>
    <x v="4"/>
    <n v="1"/>
    <s v="Q1"/>
    <x v="483"/>
    <d v="2027-01-22T00:00:00"/>
    <s v="C1483"/>
    <x v="483"/>
    <x v="1"/>
    <s v="India"/>
    <s v="West Bengal"/>
    <s v="Kolkata"/>
    <x v="3"/>
    <x v="1"/>
    <x v="1"/>
    <x v="143"/>
    <n v="19221.34"/>
    <n v="6"/>
    <x v="3"/>
    <s v="Medium"/>
    <n v="0.24071526750996547"/>
    <x v="483"/>
    <x v="2"/>
  </r>
  <r>
    <s v="ORD10484"/>
    <x v="2"/>
    <x v="4"/>
    <n v="1"/>
    <s v="Q1"/>
    <x v="484"/>
    <d v="2027-01-23T00:00:00"/>
    <s v="C1484"/>
    <x v="484"/>
    <x v="0"/>
    <s v="India"/>
    <s v="Haryana"/>
    <s v="Gurugram"/>
    <x v="0"/>
    <x v="2"/>
    <x v="6"/>
    <x v="87"/>
    <n v="40652.65"/>
    <n v="2"/>
    <x v="0"/>
    <s v="High"/>
    <n v="0.14391484933946497"/>
    <x v="484"/>
    <x v="2"/>
  </r>
  <r>
    <s v="ORD10485"/>
    <x v="2"/>
    <x v="4"/>
    <n v="1"/>
    <s v="Q1"/>
    <x v="485"/>
    <d v="2027-01-24T00:00:00"/>
    <s v="C1485"/>
    <x v="485"/>
    <x v="2"/>
    <s v="India"/>
    <s v="West Bengal"/>
    <s v="Kolkata"/>
    <x v="3"/>
    <x v="1"/>
    <x v="2"/>
    <x v="98"/>
    <n v="25380.52"/>
    <n v="6"/>
    <x v="2"/>
    <s v="Medium"/>
    <n v="0.25348416817307134"/>
    <x v="485"/>
    <x v="3"/>
  </r>
  <r>
    <s v="ORD10486"/>
    <x v="2"/>
    <x v="4"/>
    <n v="1"/>
    <s v="Q1"/>
    <x v="486"/>
    <d v="2027-01-25T00:00:00"/>
    <s v="C1486"/>
    <x v="486"/>
    <x v="2"/>
    <s v="India"/>
    <s v="Karnataka"/>
    <s v="Bengaluru"/>
    <x v="1"/>
    <x v="1"/>
    <x v="3"/>
    <x v="102"/>
    <n v="23934.35"/>
    <n v="3"/>
    <x v="1"/>
    <s v="Medium"/>
    <n v="0.16255925061679136"/>
    <x v="486"/>
    <x v="2"/>
  </r>
  <r>
    <s v="ORD10487"/>
    <x v="2"/>
    <x v="4"/>
    <n v="1"/>
    <s v="Q1"/>
    <x v="487"/>
    <d v="2027-01-26T00:00:00"/>
    <s v="C1487"/>
    <x v="487"/>
    <x v="0"/>
    <s v="India"/>
    <s v="Karnataka"/>
    <s v="Bengaluru"/>
    <x v="1"/>
    <x v="1"/>
    <x v="3"/>
    <x v="3"/>
    <n v="26413.88"/>
    <n v="2"/>
    <x v="1"/>
    <s v="Medium"/>
    <n v="3.069787551090563E-2"/>
    <x v="487"/>
    <x v="0"/>
  </r>
  <r>
    <s v="ORD10488"/>
    <x v="2"/>
    <x v="4"/>
    <n v="1"/>
    <s v="Q1"/>
    <x v="488"/>
    <d v="2027-01-27T00:00:00"/>
    <s v="C1488"/>
    <x v="488"/>
    <x v="2"/>
    <s v="India"/>
    <s v="Karnataka"/>
    <s v="Bengaluru"/>
    <x v="1"/>
    <x v="0"/>
    <x v="7"/>
    <x v="17"/>
    <n v="3519.91"/>
    <n v="6"/>
    <x v="3"/>
    <s v="Low"/>
    <n v="0.14527644172720328"/>
    <x v="488"/>
    <x v="0"/>
  </r>
  <r>
    <s v="ORD10489"/>
    <x v="2"/>
    <x v="4"/>
    <n v="1"/>
    <s v="Q1"/>
    <x v="489"/>
    <d v="2027-01-28T00:00:00"/>
    <s v="C1489"/>
    <x v="489"/>
    <x v="2"/>
    <s v="India"/>
    <s v="Haryana"/>
    <s v="Gurugram"/>
    <x v="0"/>
    <x v="1"/>
    <x v="1"/>
    <x v="103"/>
    <n v="5728.26"/>
    <n v="5"/>
    <x v="0"/>
    <s v="Low"/>
    <n v="0.19685558965549749"/>
    <x v="489"/>
    <x v="3"/>
  </r>
  <r>
    <s v="ORD10490"/>
    <x v="2"/>
    <x v="4"/>
    <n v="1"/>
    <s v="Q1"/>
    <x v="490"/>
    <d v="2027-01-29T00:00:00"/>
    <s v="C1490"/>
    <x v="490"/>
    <x v="2"/>
    <s v="India"/>
    <s v="Karnataka"/>
    <s v="Bengaluru"/>
    <x v="1"/>
    <x v="2"/>
    <x v="4"/>
    <x v="165"/>
    <n v="28142.25"/>
    <n v="4"/>
    <x v="0"/>
    <s v="Medium"/>
    <n v="0.13647593920173404"/>
    <x v="490"/>
    <x v="2"/>
  </r>
  <r>
    <s v="ORD10491"/>
    <x v="2"/>
    <x v="4"/>
    <n v="1"/>
    <s v="Q1"/>
    <x v="491"/>
    <d v="2027-01-30T00:00:00"/>
    <s v="C1491"/>
    <x v="491"/>
    <x v="1"/>
    <s v="India"/>
    <s v="Karnataka"/>
    <s v="Bengaluru"/>
    <x v="1"/>
    <x v="0"/>
    <x v="7"/>
    <x v="61"/>
    <n v="21215.16"/>
    <n v="5"/>
    <x v="2"/>
    <s v="Medium"/>
    <n v="7.3945706749324533E-2"/>
    <x v="491"/>
    <x v="1"/>
  </r>
  <r>
    <s v="ORD10492"/>
    <x v="2"/>
    <x v="4"/>
    <n v="1"/>
    <s v="Q1"/>
    <x v="492"/>
    <d v="2027-01-31T00:00:00"/>
    <s v="C1492"/>
    <x v="492"/>
    <x v="1"/>
    <s v="India"/>
    <s v="Karnataka"/>
    <s v="Bengaluru"/>
    <x v="1"/>
    <x v="2"/>
    <x v="4"/>
    <x v="32"/>
    <n v="21916.959999999999"/>
    <n v="2"/>
    <x v="1"/>
    <s v="Medium"/>
    <n v="-5.6396963812499541E-2"/>
    <x v="492"/>
    <x v="2"/>
  </r>
  <r>
    <s v="ORD10493"/>
    <x v="2"/>
    <x v="4"/>
    <n v="1"/>
    <s v="Q1"/>
    <x v="493"/>
    <d v="2027-02-01T00:00:00"/>
    <s v="C1493"/>
    <x v="493"/>
    <x v="2"/>
    <s v="India"/>
    <s v="Delhi"/>
    <s v="Delhi"/>
    <x v="0"/>
    <x v="1"/>
    <x v="1"/>
    <x v="152"/>
    <n v="26115.82"/>
    <n v="2"/>
    <x v="1"/>
    <s v="Medium"/>
    <n v="0.11145619781419844"/>
    <x v="493"/>
    <x v="2"/>
  </r>
  <r>
    <s v="ORD10494"/>
    <x v="2"/>
    <x v="4"/>
    <n v="1"/>
    <s v="Q1"/>
    <x v="494"/>
    <d v="2027-02-02T00:00:00"/>
    <s v="C1494"/>
    <x v="494"/>
    <x v="2"/>
    <s v="India"/>
    <s v="Haryana"/>
    <s v="Gurugram"/>
    <x v="0"/>
    <x v="2"/>
    <x v="6"/>
    <x v="67"/>
    <n v="38649.58"/>
    <n v="5"/>
    <x v="2"/>
    <s v="High"/>
    <n v="0.21076658530312617"/>
    <x v="494"/>
    <x v="3"/>
  </r>
  <r>
    <s v="ORD10495"/>
    <x v="2"/>
    <x v="4"/>
    <n v="1"/>
    <s v="Q1"/>
    <x v="495"/>
    <d v="2027-02-03T00:00:00"/>
    <s v="C1495"/>
    <x v="495"/>
    <x v="1"/>
    <s v="India"/>
    <s v="Karnataka"/>
    <s v="Bengaluru"/>
    <x v="1"/>
    <x v="1"/>
    <x v="3"/>
    <x v="133"/>
    <n v="13885.82"/>
    <n v="5"/>
    <x v="0"/>
    <s v="Medium"/>
    <n v="0.1578005476089997"/>
    <x v="495"/>
    <x v="1"/>
  </r>
  <r>
    <s v="ORD10496"/>
    <x v="2"/>
    <x v="4"/>
    <n v="1"/>
    <s v="Q1"/>
    <x v="496"/>
    <d v="2027-02-04T00:00:00"/>
    <s v="C1496"/>
    <x v="496"/>
    <x v="2"/>
    <s v="India"/>
    <s v="Karnataka"/>
    <s v="Bengaluru"/>
    <x v="1"/>
    <x v="2"/>
    <x v="6"/>
    <x v="155"/>
    <n v="23454.57"/>
    <n v="1"/>
    <x v="1"/>
    <s v="Medium"/>
    <n v="2.1420558978484792E-2"/>
    <x v="496"/>
    <x v="3"/>
  </r>
  <r>
    <s v="ORD10497"/>
    <x v="2"/>
    <x v="5"/>
    <n v="2"/>
    <s v="Q1"/>
    <x v="497"/>
    <d v="2027-02-05T00:00:00"/>
    <s v="C1497"/>
    <x v="497"/>
    <x v="2"/>
    <s v="India"/>
    <s v="Haryana"/>
    <s v="Gurugram"/>
    <x v="0"/>
    <x v="2"/>
    <x v="4"/>
    <x v="4"/>
    <n v="40359.49"/>
    <n v="5"/>
    <x v="1"/>
    <s v="High"/>
    <n v="-2.8973359177729946E-2"/>
    <x v="497"/>
    <x v="1"/>
  </r>
  <r>
    <s v="ORD10498"/>
    <x v="2"/>
    <x v="5"/>
    <n v="2"/>
    <s v="Q1"/>
    <x v="498"/>
    <d v="2027-02-06T00:00:00"/>
    <s v="C1498"/>
    <x v="498"/>
    <x v="0"/>
    <s v="India"/>
    <s v="Delhi"/>
    <s v="Delhi"/>
    <x v="0"/>
    <x v="2"/>
    <x v="6"/>
    <x v="108"/>
    <n v="36304.22"/>
    <n v="7"/>
    <x v="0"/>
    <s v="High"/>
    <n v="1.3736970522986032E-2"/>
    <x v="498"/>
    <x v="2"/>
  </r>
  <r>
    <s v="ORD10499"/>
    <x v="2"/>
    <x v="5"/>
    <n v="2"/>
    <s v="Q1"/>
    <x v="499"/>
    <d v="2027-02-07T00:00:00"/>
    <s v="C1499"/>
    <x v="499"/>
    <x v="1"/>
    <s v="India"/>
    <s v="Haryana"/>
    <s v="Gurugram"/>
    <x v="0"/>
    <x v="1"/>
    <x v="3"/>
    <x v="64"/>
    <n v="16867.240000000002"/>
    <n v="4"/>
    <x v="2"/>
    <s v="Medium"/>
    <n v="0.19098856718704421"/>
    <x v="499"/>
    <x v="0"/>
  </r>
  <r>
    <s v="ORD10500"/>
    <x v="2"/>
    <x v="5"/>
    <n v="2"/>
    <s v="Q1"/>
    <x v="500"/>
    <d v="2027-02-08T00:00:00"/>
    <s v="C1500"/>
    <x v="500"/>
    <x v="0"/>
    <s v="India"/>
    <s v="Delhi"/>
    <s v="Delhi"/>
    <x v="0"/>
    <x v="2"/>
    <x v="6"/>
    <x v="128"/>
    <n v="14888.25"/>
    <n v="5"/>
    <x v="3"/>
    <s v="Medium"/>
    <n v="0.19998925327019629"/>
    <x v="500"/>
    <x v="0"/>
  </r>
  <r>
    <s v="ORD10501"/>
    <x v="2"/>
    <x v="5"/>
    <n v="2"/>
    <s v="Q1"/>
    <x v="501"/>
    <d v="2027-02-09T00:00:00"/>
    <s v="C1501"/>
    <x v="501"/>
    <x v="0"/>
    <s v="India"/>
    <s v="Delhi"/>
    <s v="Delhi"/>
    <x v="0"/>
    <x v="2"/>
    <x v="8"/>
    <x v="94"/>
    <n v="28302.27"/>
    <n v="4"/>
    <x v="3"/>
    <s v="Medium"/>
    <n v="0.15944622109816631"/>
    <x v="501"/>
    <x v="1"/>
  </r>
  <r>
    <s v="ORD10502"/>
    <x v="2"/>
    <x v="5"/>
    <n v="2"/>
    <s v="Q1"/>
    <x v="502"/>
    <d v="2027-02-10T00:00:00"/>
    <s v="C1502"/>
    <x v="502"/>
    <x v="0"/>
    <s v="India"/>
    <s v="Karnataka"/>
    <s v="Bengaluru"/>
    <x v="1"/>
    <x v="2"/>
    <x v="6"/>
    <x v="167"/>
    <n v="20334.52"/>
    <n v="6"/>
    <x v="0"/>
    <s v="Medium"/>
    <n v="0.12627738446739828"/>
    <x v="502"/>
    <x v="0"/>
  </r>
  <r>
    <s v="ORD10503"/>
    <x v="2"/>
    <x v="5"/>
    <n v="2"/>
    <s v="Q1"/>
    <x v="503"/>
    <d v="2027-02-11T00:00:00"/>
    <s v="C1503"/>
    <x v="503"/>
    <x v="2"/>
    <s v="India"/>
    <s v="Karnataka"/>
    <s v="Bengaluru"/>
    <x v="1"/>
    <x v="2"/>
    <x v="4"/>
    <x v="127"/>
    <n v="44193.74"/>
    <n v="5"/>
    <x v="3"/>
    <s v="High"/>
    <n v="0.1449739261714442"/>
    <x v="503"/>
    <x v="2"/>
  </r>
  <r>
    <s v="ORD10504"/>
    <x v="2"/>
    <x v="5"/>
    <n v="2"/>
    <s v="Q1"/>
    <x v="504"/>
    <d v="2027-02-12T00:00:00"/>
    <s v="C1504"/>
    <x v="504"/>
    <x v="1"/>
    <s v="India"/>
    <s v="West Bengal"/>
    <s v="Kolkata"/>
    <x v="3"/>
    <x v="0"/>
    <x v="5"/>
    <x v="16"/>
    <n v="10718.8"/>
    <n v="7"/>
    <x v="1"/>
    <s v="Medium"/>
    <n v="1.88528566630593E-2"/>
    <x v="504"/>
    <x v="3"/>
  </r>
  <r>
    <s v="ORD10505"/>
    <x v="2"/>
    <x v="5"/>
    <n v="2"/>
    <s v="Q1"/>
    <x v="505"/>
    <d v="2027-02-13T00:00:00"/>
    <s v="C1505"/>
    <x v="505"/>
    <x v="0"/>
    <s v="India"/>
    <s v="West Bengal"/>
    <s v="Kolkata"/>
    <x v="3"/>
    <x v="0"/>
    <x v="5"/>
    <x v="55"/>
    <n v="13758.74"/>
    <n v="6"/>
    <x v="1"/>
    <s v="Medium"/>
    <n v="0.17943358185415237"/>
    <x v="505"/>
    <x v="2"/>
  </r>
  <r>
    <s v="ORD10506"/>
    <x v="2"/>
    <x v="5"/>
    <n v="2"/>
    <s v="Q1"/>
    <x v="506"/>
    <d v="2027-02-14T00:00:00"/>
    <s v="C1506"/>
    <x v="506"/>
    <x v="1"/>
    <s v="India"/>
    <s v="Maharashtra"/>
    <s v="Mumbai"/>
    <x v="2"/>
    <x v="2"/>
    <x v="8"/>
    <x v="168"/>
    <n v="24963.08"/>
    <n v="7"/>
    <x v="1"/>
    <s v="Medium"/>
    <n v="0.15705433784613115"/>
    <x v="506"/>
    <x v="2"/>
  </r>
  <r>
    <s v="ORD10507"/>
    <x v="2"/>
    <x v="5"/>
    <n v="2"/>
    <s v="Q1"/>
    <x v="507"/>
    <d v="2027-02-15T00:00:00"/>
    <s v="C1507"/>
    <x v="507"/>
    <x v="1"/>
    <s v="India"/>
    <s v="Delhi"/>
    <s v="Delhi"/>
    <x v="0"/>
    <x v="0"/>
    <x v="0"/>
    <x v="169"/>
    <n v="6804.13"/>
    <n v="7"/>
    <x v="0"/>
    <s v="Low"/>
    <n v="0.13178172668658594"/>
    <x v="507"/>
    <x v="0"/>
  </r>
  <r>
    <s v="ORD10508"/>
    <x v="2"/>
    <x v="5"/>
    <n v="2"/>
    <s v="Q1"/>
    <x v="508"/>
    <d v="2027-02-16T00:00:00"/>
    <s v="C1508"/>
    <x v="508"/>
    <x v="1"/>
    <s v="India"/>
    <s v="Karnataka"/>
    <s v="Bengaluru"/>
    <x v="1"/>
    <x v="2"/>
    <x v="8"/>
    <x v="46"/>
    <n v="31472.25"/>
    <n v="4"/>
    <x v="3"/>
    <s v="High"/>
    <n v="4.7096728069966398E-2"/>
    <x v="508"/>
    <x v="2"/>
  </r>
  <r>
    <s v="ORD10509"/>
    <x v="2"/>
    <x v="5"/>
    <n v="2"/>
    <s v="Q1"/>
    <x v="509"/>
    <d v="2027-02-17T00:00:00"/>
    <s v="C1509"/>
    <x v="509"/>
    <x v="2"/>
    <s v="India"/>
    <s v="Karnataka"/>
    <s v="Bengaluru"/>
    <x v="1"/>
    <x v="1"/>
    <x v="3"/>
    <x v="147"/>
    <n v="10370.280000000001"/>
    <n v="6"/>
    <x v="3"/>
    <s v="Medium"/>
    <n v="0.24517660082466433"/>
    <x v="509"/>
    <x v="1"/>
  </r>
  <r>
    <s v="ORD10510"/>
    <x v="2"/>
    <x v="5"/>
    <n v="2"/>
    <s v="Q1"/>
    <x v="510"/>
    <d v="2027-02-18T00:00:00"/>
    <s v="C1510"/>
    <x v="510"/>
    <x v="0"/>
    <s v="India"/>
    <s v="Haryana"/>
    <s v="Gurugram"/>
    <x v="0"/>
    <x v="0"/>
    <x v="0"/>
    <x v="62"/>
    <n v="12402.66"/>
    <n v="2"/>
    <x v="3"/>
    <s v="Medium"/>
    <n v="0.1092620453999384"/>
    <x v="510"/>
    <x v="2"/>
  </r>
  <r>
    <s v="ORD10511"/>
    <x v="2"/>
    <x v="5"/>
    <n v="2"/>
    <s v="Q1"/>
    <x v="511"/>
    <d v="2027-02-19T00:00:00"/>
    <s v="C1511"/>
    <x v="511"/>
    <x v="2"/>
    <s v="India"/>
    <s v="Haryana"/>
    <s v="Gurugram"/>
    <x v="0"/>
    <x v="0"/>
    <x v="5"/>
    <x v="157"/>
    <n v="6977.8"/>
    <n v="7"/>
    <x v="0"/>
    <s v="Low"/>
    <n v="0.14815557912235947"/>
    <x v="511"/>
    <x v="2"/>
  </r>
  <r>
    <s v="ORD10512"/>
    <x v="2"/>
    <x v="5"/>
    <n v="2"/>
    <s v="Q1"/>
    <x v="512"/>
    <d v="2027-02-20T00:00:00"/>
    <s v="C1512"/>
    <x v="512"/>
    <x v="2"/>
    <s v="India"/>
    <s v="Karnataka"/>
    <s v="Bengaluru"/>
    <x v="1"/>
    <x v="0"/>
    <x v="7"/>
    <x v="110"/>
    <n v="1924.3"/>
    <n v="2"/>
    <x v="1"/>
    <s v="Low"/>
    <n v="5.6394533076963051E-2"/>
    <x v="512"/>
    <x v="3"/>
  </r>
  <r>
    <s v="ORD10513"/>
    <x v="2"/>
    <x v="5"/>
    <n v="2"/>
    <s v="Q1"/>
    <x v="513"/>
    <d v="2027-02-21T00:00:00"/>
    <s v="C1513"/>
    <x v="513"/>
    <x v="0"/>
    <s v="India"/>
    <s v="Haryana"/>
    <s v="Gurugram"/>
    <x v="0"/>
    <x v="2"/>
    <x v="4"/>
    <x v="95"/>
    <n v="42334.79"/>
    <n v="7"/>
    <x v="1"/>
    <s v="High"/>
    <n v="-2.5420227666181881E-2"/>
    <x v="513"/>
    <x v="0"/>
  </r>
  <r>
    <s v="ORD10514"/>
    <x v="2"/>
    <x v="5"/>
    <n v="2"/>
    <s v="Q1"/>
    <x v="514"/>
    <d v="2027-02-22T00:00:00"/>
    <s v="C1514"/>
    <x v="514"/>
    <x v="1"/>
    <s v="India"/>
    <s v="Haryana"/>
    <s v="Gurugram"/>
    <x v="0"/>
    <x v="0"/>
    <x v="0"/>
    <x v="169"/>
    <n v="43686.63"/>
    <n v="8"/>
    <x v="0"/>
    <s v="High"/>
    <n v="0.20239281446062563"/>
    <x v="514"/>
    <x v="0"/>
  </r>
  <r>
    <s v="ORD10515"/>
    <x v="2"/>
    <x v="5"/>
    <n v="2"/>
    <s v="Q1"/>
    <x v="515"/>
    <d v="2027-02-23T00:00:00"/>
    <s v="C1515"/>
    <x v="515"/>
    <x v="1"/>
    <s v="India"/>
    <s v="Haryana"/>
    <s v="Gurugram"/>
    <x v="0"/>
    <x v="1"/>
    <x v="3"/>
    <x v="102"/>
    <n v="28130.33"/>
    <n v="5"/>
    <x v="2"/>
    <s v="Medium"/>
    <n v="0.19219113320035702"/>
    <x v="515"/>
    <x v="0"/>
  </r>
  <r>
    <s v="ORD10516"/>
    <x v="2"/>
    <x v="5"/>
    <n v="2"/>
    <s v="Q1"/>
    <x v="516"/>
    <d v="2027-02-24T00:00:00"/>
    <s v="C1516"/>
    <x v="516"/>
    <x v="2"/>
    <s v="India"/>
    <s v="Delhi"/>
    <s v="Delhi"/>
    <x v="0"/>
    <x v="1"/>
    <x v="3"/>
    <x v="52"/>
    <n v="7244.18"/>
    <n v="6"/>
    <x v="1"/>
    <s v="Low"/>
    <n v="0.17070116976662644"/>
    <x v="516"/>
    <x v="3"/>
  </r>
  <r>
    <s v="ORD10517"/>
    <x v="2"/>
    <x v="5"/>
    <n v="2"/>
    <s v="Q1"/>
    <x v="517"/>
    <d v="2027-02-25T00:00:00"/>
    <s v="C1517"/>
    <x v="517"/>
    <x v="0"/>
    <s v="India"/>
    <s v="Karnataka"/>
    <s v="Bengaluru"/>
    <x v="1"/>
    <x v="0"/>
    <x v="5"/>
    <x v="16"/>
    <n v="30952.959999999999"/>
    <n v="2"/>
    <x v="1"/>
    <s v="High"/>
    <n v="0.16062599505830785"/>
    <x v="517"/>
    <x v="0"/>
  </r>
  <r>
    <s v="ORD10518"/>
    <x v="2"/>
    <x v="5"/>
    <n v="2"/>
    <s v="Q1"/>
    <x v="518"/>
    <d v="2027-02-26T00:00:00"/>
    <s v="C1518"/>
    <x v="518"/>
    <x v="0"/>
    <s v="India"/>
    <s v="Delhi"/>
    <s v="Delhi"/>
    <x v="0"/>
    <x v="0"/>
    <x v="7"/>
    <x v="99"/>
    <n v="44999.01"/>
    <n v="2"/>
    <x v="0"/>
    <s v="High"/>
    <n v="-2.109446407820972E-2"/>
    <x v="518"/>
    <x v="3"/>
  </r>
  <r>
    <s v="ORD10519"/>
    <x v="2"/>
    <x v="5"/>
    <n v="2"/>
    <s v="Q1"/>
    <x v="519"/>
    <d v="2027-02-27T00:00:00"/>
    <s v="C1519"/>
    <x v="519"/>
    <x v="1"/>
    <s v="India"/>
    <s v="Delhi"/>
    <s v="Delhi"/>
    <x v="0"/>
    <x v="0"/>
    <x v="7"/>
    <x v="144"/>
    <n v="27958.79"/>
    <n v="1"/>
    <x v="0"/>
    <s v="Medium"/>
    <n v="0.10616625397594102"/>
    <x v="519"/>
    <x v="0"/>
  </r>
  <r>
    <s v="ORD10520"/>
    <x v="2"/>
    <x v="5"/>
    <n v="2"/>
    <s v="Q1"/>
    <x v="520"/>
    <d v="2027-02-28T00:00:00"/>
    <s v="C1520"/>
    <x v="520"/>
    <x v="1"/>
    <s v="India"/>
    <s v="Haryana"/>
    <s v="Gurugram"/>
    <x v="0"/>
    <x v="0"/>
    <x v="7"/>
    <x v="122"/>
    <n v="33780.86"/>
    <n v="5"/>
    <x v="1"/>
    <s v="High"/>
    <n v="0.12720576089537092"/>
    <x v="520"/>
    <x v="2"/>
  </r>
  <r>
    <s v="ORD10521"/>
    <x v="2"/>
    <x v="5"/>
    <n v="2"/>
    <s v="Q1"/>
    <x v="521"/>
    <d v="2027-03-01T00:00:00"/>
    <s v="C1521"/>
    <x v="521"/>
    <x v="2"/>
    <s v="India"/>
    <s v="West Bengal"/>
    <s v="Kolkata"/>
    <x v="3"/>
    <x v="0"/>
    <x v="7"/>
    <x v="106"/>
    <n v="43475.01"/>
    <n v="5"/>
    <x v="2"/>
    <s v="High"/>
    <n v="0.20849241897816698"/>
    <x v="521"/>
    <x v="3"/>
  </r>
  <r>
    <s v="ORD10522"/>
    <x v="2"/>
    <x v="5"/>
    <n v="2"/>
    <s v="Q1"/>
    <x v="522"/>
    <d v="2027-03-02T00:00:00"/>
    <s v="C1522"/>
    <x v="522"/>
    <x v="2"/>
    <s v="India"/>
    <s v="West Bengal"/>
    <s v="Kolkata"/>
    <x v="3"/>
    <x v="1"/>
    <x v="2"/>
    <x v="13"/>
    <n v="29386.84"/>
    <n v="7"/>
    <x v="2"/>
    <s v="Medium"/>
    <n v="0.16529677910248261"/>
    <x v="522"/>
    <x v="1"/>
  </r>
  <r>
    <s v="ORD10523"/>
    <x v="2"/>
    <x v="5"/>
    <n v="2"/>
    <s v="Q1"/>
    <x v="523"/>
    <d v="2027-03-03T00:00:00"/>
    <s v="C1523"/>
    <x v="523"/>
    <x v="0"/>
    <s v="India"/>
    <s v="Haryana"/>
    <s v="Gurugram"/>
    <x v="0"/>
    <x v="1"/>
    <x v="2"/>
    <x v="170"/>
    <n v="17163.68"/>
    <n v="1"/>
    <x v="0"/>
    <s v="Medium"/>
    <n v="1.1600659066121019E-2"/>
    <x v="523"/>
    <x v="1"/>
  </r>
  <r>
    <s v="ORD10524"/>
    <x v="2"/>
    <x v="5"/>
    <n v="2"/>
    <s v="Q1"/>
    <x v="524"/>
    <d v="2027-03-04T00:00:00"/>
    <s v="C1524"/>
    <x v="524"/>
    <x v="0"/>
    <s v="India"/>
    <s v="Karnataka"/>
    <s v="Bengaluru"/>
    <x v="1"/>
    <x v="0"/>
    <x v="5"/>
    <x v="41"/>
    <n v="4803.07"/>
    <n v="1"/>
    <x v="3"/>
    <s v="Low"/>
    <n v="0.16171531957685398"/>
    <x v="524"/>
    <x v="0"/>
  </r>
  <r>
    <s v="ORD10525"/>
    <x v="2"/>
    <x v="6"/>
    <n v="3"/>
    <s v="Q1"/>
    <x v="525"/>
    <d v="2027-03-05T00:00:00"/>
    <s v="C1525"/>
    <x v="525"/>
    <x v="0"/>
    <s v="India"/>
    <s v="Haryana"/>
    <s v="Gurugram"/>
    <x v="0"/>
    <x v="0"/>
    <x v="5"/>
    <x v="41"/>
    <n v="24203.1"/>
    <n v="3"/>
    <x v="3"/>
    <s v="Medium"/>
    <n v="0.15361585912548392"/>
    <x v="525"/>
    <x v="3"/>
  </r>
  <r>
    <s v="ORD10526"/>
    <x v="2"/>
    <x v="6"/>
    <n v="3"/>
    <s v="Q1"/>
    <x v="526"/>
    <d v="2027-03-06T00:00:00"/>
    <s v="C1526"/>
    <x v="526"/>
    <x v="0"/>
    <s v="India"/>
    <s v="Haryana"/>
    <s v="Gurugram"/>
    <x v="0"/>
    <x v="1"/>
    <x v="2"/>
    <x v="141"/>
    <n v="4229.7700000000004"/>
    <n v="4"/>
    <x v="2"/>
    <s v="Low"/>
    <n v="0.13034987718008306"/>
    <x v="526"/>
    <x v="3"/>
  </r>
  <r>
    <s v="ORD10527"/>
    <x v="2"/>
    <x v="6"/>
    <n v="3"/>
    <s v="Q1"/>
    <x v="527"/>
    <d v="2027-03-07T00:00:00"/>
    <s v="C1527"/>
    <x v="527"/>
    <x v="1"/>
    <s v="India"/>
    <s v="Karnataka"/>
    <s v="Bengaluru"/>
    <x v="1"/>
    <x v="0"/>
    <x v="5"/>
    <x v="159"/>
    <n v="1787.45"/>
    <n v="6"/>
    <x v="3"/>
    <s v="Low"/>
    <n v="0.17135584212145796"/>
    <x v="527"/>
    <x v="1"/>
  </r>
  <r>
    <s v="ORD10528"/>
    <x v="2"/>
    <x v="6"/>
    <n v="3"/>
    <s v="Q1"/>
    <x v="528"/>
    <d v="2027-03-08T00:00:00"/>
    <s v="C1528"/>
    <x v="528"/>
    <x v="0"/>
    <s v="India"/>
    <s v="Maharashtra"/>
    <s v="Mumbai"/>
    <x v="2"/>
    <x v="1"/>
    <x v="3"/>
    <x v="156"/>
    <n v="43574.15"/>
    <n v="6"/>
    <x v="1"/>
    <s v="High"/>
    <n v="-3.7028834756386526E-2"/>
    <x v="528"/>
    <x v="2"/>
  </r>
  <r>
    <s v="ORD10529"/>
    <x v="2"/>
    <x v="6"/>
    <n v="3"/>
    <s v="Q1"/>
    <x v="529"/>
    <d v="2027-03-09T00:00:00"/>
    <s v="C1529"/>
    <x v="529"/>
    <x v="0"/>
    <s v="India"/>
    <s v="Haryana"/>
    <s v="Gurugram"/>
    <x v="0"/>
    <x v="1"/>
    <x v="2"/>
    <x v="141"/>
    <n v="1411.08"/>
    <n v="2"/>
    <x v="0"/>
    <s v="Low"/>
    <n v="0.13258638773138307"/>
    <x v="529"/>
    <x v="2"/>
  </r>
  <r>
    <s v="ORD10530"/>
    <x v="2"/>
    <x v="6"/>
    <n v="3"/>
    <s v="Q1"/>
    <x v="530"/>
    <d v="2027-03-10T00:00:00"/>
    <s v="C1530"/>
    <x v="530"/>
    <x v="1"/>
    <s v="India"/>
    <s v="Haryana"/>
    <s v="Gurugram"/>
    <x v="0"/>
    <x v="2"/>
    <x v="8"/>
    <x v="46"/>
    <n v="41414.300000000003"/>
    <n v="2"/>
    <x v="2"/>
    <s v="High"/>
    <n v="0.24577187106868881"/>
    <x v="530"/>
    <x v="0"/>
  </r>
  <r>
    <s v="ORD10531"/>
    <x v="2"/>
    <x v="6"/>
    <n v="3"/>
    <s v="Q1"/>
    <x v="531"/>
    <d v="2027-03-11T00:00:00"/>
    <s v="C1531"/>
    <x v="531"/>
    <x v="2"/>
    <s v="India"/>
    <s v="Karnataka"/>
    <s v="Bengaluru"/>
    <x v="1"/>
    <x v="0"/>
    <x v="0"/>
    <x v="164"/>
    <n v="9374.7000000000007"/>
    <n v="5"/>
    <x v="2"/>
    <s v="Low"/>
    <n v="6.6918408055724451E-2"/>
    <x v="531"/>
    <x v="1"/>
  </r>
  <r>
    <s v="ORD10532"/>
    <x v="2"/>
    <x v="6"/>
    <n v="3"/>
    <s v="Q1"/>
    <x v="532"/>
    <d v="2027-03-12T00:00:00"/>
    <s v="C1532"/>
    <x v="532"/>
    <x v="2"/>
    <s v="India"/>
    <s v="Haryana"/>
    <s v="Gurugram"/>
    <x v="0"/>
    <x v="1"/>
    <x v="1"/>
    <x v="109"/>
    <n v="22213.14"/>
    <n v="4"/>
    <x v="0"/>
    <s v="Medium"/>
    <n v="0.1003113472476201"/>
    <x v="532"/>
    <x v="1"/>
  </r>
  <r>
    <s v="ORD10533"/>
    <x v="2"/>
    <x v="6"/>
    <n v="3"/>
    <s v="Q1"/>
    <x v="533"/>
    <d v="2027-03-13T00:00:00"/>
    <s v="C1533"/>
    <x v="533"/>
    <x v="2"/>
    <s v="India"/>
    <s v="West Bengal"/>
    <s v="Kolkata"/>
    <x v="3"/>
    <x v="2"/>
    <x v="4"/>
    <x v="119"/>
    <n v="29256.89"/>
    <n v="6"/>
    <x v="2"/>
    <s v="Medium"/>
    <n v="0.12902567566135703"/>
    <x v="533"/>
    <x v="2"/>
  </r>
  <r>
    <s v="ORD10534"/>
    <x v="2"/>
    <x v="6"/>
    <n v="3"/>
    <s v="Q1"/>
    <x v="534"/>
    <d v="2027-03-14T00:00:00"/>
    <s v="C1534"/>
    <x v="534"/>
    <x v="2"/>
    <s v="India"/>
    <s v="Haryana"/>
    <s v="Gurugram"/>
    <x v="0"/>
    <x v="0"/>
    <x v="0"/>
    <x v="0"/>
    <n v="32979.519999999997"/>
    <n v="1"/>
    <x v="1"/>
    <s v="High"/>
    <n v="0.12748699799148078"/>
    <x v="534"/>
    <x v="0"/>
  </r>
  <r>
    <s v="ORD10535"/>
    <x v="2"/>
    <x v="6"/>
    <n v="3"/>
    <s v="Q1"/>
    <x v="535"/>
    <d v="2027-03-15T00:00:00"/>
    <s v="C1535"/>
    <x v="535"/>
    <x v="1"/>
    <s v="India"/>
    <s v="Haryana"/>
    <s v="Gurugram"/>
    <x v="0"/>
    <x v="1"/>
    <x v="1"/>
    <x v="112"/>
    <n v="30300.58"/>
    <n v="3"/>
    <x v="1"/>
    <s v="High"/>
    <n v="5.758965669964073E-2"/>
    <x v="535"/>
    <x v="3"/>
  </r>
  <r>
    <s v="ORD10536"/>
    <x v="2"/>
    <x v="6"/>
    <n v="3"/>
    <s v="Q1"/>
    <x v="536"/>
    <d v="2027-03-16T00:00:00"/>
    <s v="C1536"/>
    <x v="536"/>
    <x v="2"/>
    <s v="India"/>
    <s v="Maharashtra"/>
    <s v="Mumbai"/>
    <x v="2"/>
    <x v="2"/>
    <x v="8"/>
    <x v="81"/>
    <n v="32597.55"/>
    <n v="8"/>
    <x v="3"/>
    <s v="High"/>
    <n v="0.18321622330512569"/>
    <x v="536"/>
    <x v="0"/>
  </r>
  <r>
    <s v="ORD10537"/>
    <x v="2"/>
    <x v="6"/>
    <n v="3"/>
    <s v="Q1"/>
    <x v="537"/>
    <d v="2027-03-17T00:00:00"/>
    <s v="C1537"/>
    <x v="537"/>
    <x v="0"/>
    <s v="India"/>
    <s v="Karnataka"/>
    <s v="Bengaluru"/>
    <x v="1"/>
    <x v="0"/>
    <x v="7"/>
    <x v="99"/>
    <n v="27160.31"/>
    <n v="1"/>
    <x v="1"/>
    <s v="Medium"/>
    <n v="0.17271084166565109"/>
    <x v="537"/>
    <x v="1"/>
  </r>
  <r>
    <s v="ORD10538"/>
    <x v="2"/>
    <x v="6"/>
    <n v="3"/>
    <s v="Q1"/>
    <x v="538"/>
    <d v="2027-03-18T00:00:00"/>
    <s v="C1538"/>
    <x v="538"/>
    <x v="2"/>
    <s v="India"/>
    <s v="Haryana"/>
    <s v="Gurugram"/>
    <x v="0"/>
    <x v="2"/>
    <x v="4"/>
    <x v="5"/>
    <n v="4441.05"/>
    <n v="8"/>
    <x v="2"/>
    <s v="Low"/>
    <n v="0.26199659990317603"/>
    <x v="538"/>
    <x v="0"/>
  </r>
  <r>
    <s v="ORD10539"/>
    <x v="2"/>
    <x v="6"/>
    <n v="3"/>
    <s v="Q1"/>
    <x v="539"/>
    <d v="2027-03-19T00:00:00"/>
    <s v="C1539"/>
    <x v="539"/>
    <x v="2"/>
    <s v="India"/>
    <s v="Karnataka"/>
    <s v="Bengaluru"/>
    <x v="1"/>
    <x v="2"/>
    <x v="6"/>
    <x v="63"/>
    <n v="18736.79"/>
    <n v="4"/>
    <x v="3"/>
    <s v="Medium"/>
    <n v="6.5419957207184368E-2"/>
    <x v="539"/>
    <x v="3"/>
  </r>
  <r>
    <s v="ORD10540"/>
    <x v="2"/>
    <x v="6"/>
    <n v="3"/>
    <s v="Q1"/>
    <x v="540"/>
    <d v="2027-03-20T00:00:00"/>
    <s v="C1540"/>
    <x v="540"/>
    <x v="2"/>
    <s v="India"/>
    <s v="Haryana"/>
    <s v="Gurugram"/>
    <x v="0"/>
    <x v="0"/>
    <x v="7"/>
    <x v="129"/>
    <n v="27134.3"/>
    <n v="7"/>
    <x v="3"/>
    <s v="Medium"/>
    <n v="5.7491440722627817E-2"/>
    <x v="540"/>
    <x v="2"/>
  </r>
  <r>
    <s v="ORD10541"/>
    <x v="2"/>
    <x v="6"/>
    <n v="3"/>
    <s v="Q1"/>
    <x v="541"/>
    <d v="2027-03-21T00:00:00"/>
    <s v="C1541"/>
    <x v="541"/>
    <x v="1"/>
    <s v="India"/>
    <s v="Maharashtra"/>
    <s v="Mumbai"/>
    <x v="2"/>
    <x v="0"/>
    <x v="7"/>
    <x v="106"/>
    <n v="11561.28"/>
    <n v="2"/>
    <x v="1"/>
    <s v="Medium"/>
    <n v="7.0988679454178083E-2"/>
    <x v="541"/>
    <x v="3"/>
  </r>
  <r>
    <s v="ORD10542"/>
    <x v="2"/>
    <x v="6"/>
    <n v="3"/>
    <s v="Q1"/>
    <x v="542"/>
    <d v="2027-03-22T00:00:00"/>
    <s v="C1542"/>
    <x v="542"/>
    <x v="1"/>
    <s v="India"/>
    <s v="Maharashtra"/>
    <s v="Mumbai"/>
    <x v="2"/>
    <x v="2"/>
    <x v="6"/>
    <x v="87"/>
    <n v="40364.82"/>
    <n v="8"/>
    <x v="0"/>
    <s v="High"/>
    <n v="0.1713566417489289"/>
    <x v="542"/>
    <x v="3"/>
  </r>
  <r>
    <s v="ORD10543"/>
    <x v="2"/>
    <x v="6"/>
    <n v="3"/>
    <s v="Q1"/>
    <x v="543"/>
    <d v="2027-03-23T00:00:00"/>
    <s v="C1543"/>
    <x v="543"/>
    <x v="0"/>
    <s v="India"/>
    <s v="Karnataka"/>
    <s v="Bengaluru"/>
    <x v="1"/>
    <x v="2"/>
    <x v="8"/>
    <x v="81"/>
    <n v="42659.09"/>
    <n v="4"/>
    <x v="3"/>
    <s v="High"/>
    <n v="0.10282404055032586"/>
    <x v="543"/>
    <x v="2"/>
  </r>
  <r>
    <s v="ORD10544"/>
    <x v="2"/>
    <x v="6"/>
    <n v="3"/>
    <s v="Q1"/>
    <x v="544"/>
    <d v="2027-03-24T00:00:00"/>
    <s v="C1544"/>
    <x v="544"/>
    <x v="2"/>
    <s v="India"/>
    <s v="West Bengal"/>
    <s v="Kolkata"/>
    <x v="3"/>
    <x v="0"/>
    <x v="7"/>
    <x v="10"/>
    <n v="36338.269999999997"/>
    <n v="1"/>
    <x v="1"/>
    <s v="High"/>
    <n v="-1.2330801658967255E-2"/>
    <x v="544"/>
    <x v="0"/>
  </r>
  <r>
    <s v="ORD10545"/>
    <x v="2"/>
    <x v="6"/>
    <n v="3"/>
    <s v="Q1"/>
    <x v="545"/>
    <d v="2027-03-25T00:00:00"/>
    <s v="C1545"/>
    <x v="545"/>
    <x v="2"/>
    <s v="India"/>
    <s v="Haryana"/>
    <s v="Gurugram"/>
    <x v="0"/>
    <x v="1"/>
    <x v="2"/>
    <x v="78"/>
    <n v="39894.339999999997"/>
    <n v="8"/>
    <x v="1"/>
    <s v="High"/>
    <n v="6.4556526063596992E-2"/>
    <x v="545"/>
    <x v="1"/>
  </r>
  <r>
    <s v="ORD10546"/>
    <x v="2"/>
    <x v="6"/>
    <n v="3"/>
    <s v="Q1"/>
    <x v="546"/>
    <d v="2027-03-26T00:00:00"/>
    <s v="C1546"/>
    <x v="546"/>
    <x v="0"/>
    <s v="India"/>
    <s v="Karnataka"/>
    <s v="Bengaluru"/>
    <x v="1"/>
    <x v="1"/>
    <x v="1"/>
    <x v="152"/>
    <n v="48414.37"/>
    <n v="5"/>
    <x v="1"/>
    <s v="High"/>
    <n v="8.5890614707988561E-2"/>
    <x v="546"/>
    <x v="0"/>
  </r>
  <r>
    <s v="ORD10547"/>
    <x v="2"/>
    <x v="6"/>
    <n v="3"/>
    <s v="Q1"/>
    <x v="547"/>
    <d v="2027-03-27T00:00:00"/>
    <s v="C1547"/>
    <x v="547"/>
    <x v="1"/>
    <s v="India"/>
    <s v="West Bengal"/>
    <s v="Kolkata"/>
    <x v="3"/>
    <x v="0"/>
    <x v="5"/>
    <x v="171"/>
    <n v="2102.75"/>
    <n v="2"/>
    <x v="1"/>
    <s v="Low"/>
    <n v="-3.3698727856378549E-2"/>
    <x v="547"/>
    <x v="2"/>
  </r>
  <r>
    <s v="ORD10548"/>
    <x v="2"/>
    <x v="6"/>
    <n v="3"/>
    <s v="Q1"/>
    <x v="548"/>
    <d v="2027-03-28T00:00:00"/>
    <s v="C1548"/>
    <x v="548"/>
    <x v="1"/>
    <s v="India"/>
    <s v="Haryana"/>
    <s v="Gurugram"/>
    <x v="0"/>
    <x v="0"/>
    <x v="5"/>
    <x v="30"/>
    <n v="25750.21"/>
    <n v="3"/>
    <x v="3"/>
    <s v="Medium"/>
    <n v="8.0303811114550136E-2"/>
    <x v="548"/>
    <x v="3"/>
  </r>
  <r>
    <s v="ORD10549"/>
    <x v="2"/>
    <x v="6"/>
    <n v="3"/>
    <s v="Q1"/>
    <x v="549"/>
    <d v="2027-03-29T00:00:00"/>
    <s v="C1549"/>
    <x v="549"/>
    <x v="1"/>
    <s v="India"/>
    <s v="Haryana"/>
    <s v="Gurugram"/>
    <x v="0"/>
    <x v="1"/>
    <x v="1"/>
    <x v="109"/>
    <n v="31440.02"/>
    <n v="3"/>
    <x v="1"/>
    <s v="High"/>
    <n v="-6.4038763334120022E-2"/>
    <x v="549"/>
    <x v="2"/>
  </r>
  <r>
    <s v="ORD10550"/>
    <x v="2"/>
    <x v="6"/>
    <n v="3"/>
    <s v="Q1"/>
    <x v="550"/>
    <d v="2027-03-30T00:00:00"/>
    <s v="C1550"/>
    <x v="550"/>
    <x v="0"/>
    <s v="India"/>
    <s v="Maharashtra"/>
    <s v="Mumbai"/>
    <x v="2"/>
    <x v="0"/>
    <x v="7"/>
    <x v="122"/>
    <n v="48870.03"/>
    <n v="3"/>
    <x v="2"/>
    <s v="High"/>
    <n v="0.28250136126374387"/>
    <x v="550"/>
    <x v="1"/>
  </r>
  <r>
    <s v="ORD10551"/>
    <x v="2"/>
    <x v="6"/>
    <n v="3"/>
    <s v="Q1"/>
    <x v="551"/>
    <d v="2027-03-31T00:00:00"/>
    <s v="C1551"/>
    <x v="551"/>
    <x v="2"/>
    <s v="India"/>
    <s v="West Bengal"/>
    <s v="Kolkata"/>
    <x v="3"/>
    <x v="0"/>
    <x v="7"/>
    <x v="122"/>
    <n v="41719.39"/>
    <n v="2"/>
    <x v="2"/>
    <s v="High"/>
    <n v="0.1658447067418771"/>
    <x v="551"/>
    <x v="1"/>
  </r>
  <r>
    <s v="ORD10552"/>
    <x v="2"/>
    <x v="6"/>
    <n v="3"/>
    <s v="Q1"/>
    <x v="552"/>
    <d v="2027-04-01T00:00:00"/>
    <s v="C1552"/>
    <x v="552"/>
    <x v="1"/>
    <s v="India"/>
    <s v="West Bengal"/>
    <s v="Kolkata"/>
    <x v="3"/>
    <x v="0"/>
    <x v="5"/>
    <x v="7"/>
    <n v="16232.14"/>
    <n v="8"/>
    <x v="0"/>
    <s v="Medium"/>
    <n v="0.13052561153366099"/>
    <x v="552"/>
    <x v="3"/>
  </r>
  <r>
    <s v="ORD10553"/>
    <x v="2"/>
    <x v="6"/>
    <n v="3"/>
    <s v="Q1"/>
    <x v="553"/>
    <d v="2027-04-02T00:00:00"/>
    <s v="C1553"/>
    <x v="553"/>
    <x v="0"/>
    <s v="India"/>
    <s v="Karnataka"/>
    <s v="Bengaluru"/>
    <x v="1"/>
    <x v="1"/>
    <x v="1"/>
    <x v="152"/>
    <n v="17813.54"/>
    <n v="7"/>
    <x v="0"/>
    <s v="Medium"/>
    <n v="-1.056892678266083E-2"/>
    <x v="553"/>
    <x v="2"/>
  </r>
  <r>
    <s v="ORD10554"/>
    <x v="2"/>
    <x v="6"/>
    <n v="3"/>
    <s v="Q1"/>
    <x v="554"/>
    <d v="2027-04-03T00:00:00"/>
    <s v="C1554"/>
    <x v="554"/>
    <x v="2"/>
    <s v="India"/>
    <s v="Haryana"/>
    <s v="Gurugram"/>
    <x v="0"/>
    <x v="2"/>
    <x v="4"/>
    <x v="96"/>
    <n v="44701.58"/>
    <n v="2"/>
    <x v="1"/>
    <s v="High"/>
    <n v="6.8498249950001769E-2"/>
    <x v="554"/>
    <x v="2"/>
  </r>
  <r>
    <s v="ORD10555"/>
    <x v="2"/>
    <x v="6"/>
    <n v="3"/>
    <s v="Q1"/>
    <x v="555"/>
    <d v="2027-04-04T00:00:00"/>
    <s v="C1555"/>
    <x v="555"/>
    <x v="0"/>
    <s v="India"/>
    <s v="Haryana"/>
    <s v="Gurugram"/>
    <x v="0"/>
    <x v="0"/>
    <x v="5"/>
    <x v="39"/>
    <n v="18752.16"/>
    <n v="8"/>
    <x v="3"/>
    <s v="Medium"/>
    <n v="0.11645858397112652"/>
    <x v="555"/>
    <x v="0"/>
  </r>
  <r>
    <s v="ORD10556"/>
    <x v="2"/>
    <x v="7"/>
    <n v="4"/>
    <s v="Q2"/>
    <x v="556"/>
    <d v="2027-04-05T00:00:00"/>
    <s v="C1556"/>
    <x v="556"/>
    <x v="2"/>
    <s v="India"/>
    <s v="Maharashtra"/>
    <s v="Mumbai"/>
    <x v="2"/>
    <x v="2"/>
    <x v="6"/>
    <x v="21"/>
    <n v="22002.58"/>
    <n v="7"/>
    <x v="2"/>
    <s v="Medium"/>
    <n v="0.29857316732855871"/>
    <x v="556"/>
    <x v="2"/>
  </r>
  <r>
    <s v="ORD10557"/>
    <x v="2"/>
    <x v="7"/>
    <n v="4"/>
    <s v="Q2"/>
    <x v="557"/>
    <d v="2027-04-06T00:00:00"/>
    <s v="C1557"/>
    <x v="557"/>
    <x v="1"/>
    <s v="India"/>
    <s v="Maharashtra"/>
    <s v="Mumbai"/>
    <x v="2"/>
    <x v="0"/>
    <x v="5"/>
    <x v="26"/>
    <n v="11935.57"/>
    <n v="1"/>
    <x v="1"/>
    <s v="Medium"/>
    <n v="0.16095670336649193"/>
    <x v="557"/>
    <x v="3"/>
  </r>
  <r>
    <s v="ORD10558"/>
    <x v="2"/>
    <x v="7"/>
    <n v="4"/>
    <s v="Q2"/>
    <x v="558"/>
    <d v="2027-04-07T00:00:00"/>
    <s v="C1558"/>
    <x v="558"/>
    <x v="2"/>
    <s v="India"/>
    <s v="West Bengal"/>
    <s v="Kolkata"/>
    <x v="3"/>
    <x v="1"/>
    <x v="1"/>
    <x v="112"/>
    <n v="30633.29"/>
    <n v="8"/>
    <x v="1"/>
    <s v="High"/>
    <n v="-3.3790036917353633E-2"/>
    <x v="558"/>
    <x v="0"/>
  </r>
  <r>
    <s v="ORD10559"/>
    <x v="2"/>
    <x v="7"/>
    <n v="4"/>
    <s v="Q2"/>
    <x v="559"/>
    <d v="2027-04-08T00:00:00"/>
    <s v="C1559"/>
    <x v="559"/>
    <x v="2"/>
    <s v="India"/>
    <s v="Haryana"/>
    <s v="Gurugram"/>
    <x v="0"/>
    <x v="0"/>
    <x v="0"/>
    <x v="91"/>
    <n v="35904.79"/>
    <n v="1"/>
    <x v="2"/>
    <s v="High"/>
    <n v="6.5654192657859864E-2"/>
    <x v="559"/>
    <x v="3"/>
  </r>
  <r>
    <s v="ORD10560"/>
    <x v="2"/>
    <x v="7"/>
    <n v="4"/>
    <s v="Q2"/>
    <x v="560"/>
    <d v="2027-04-09T00:00:00"/>
    <s v="C1560"/>
    <x v="560"/>
    <x v="2"/>
    <s v="India"/>
    <s v="Maharashtra"/>
    <s v="Mumbai"/>
    <x v="2"/>
    <x v="0"/>
    <x v="7"/>
    <x v="106"/>
    <n v="18717.990000000002"/>
    <n v="5"/>
    <x v="3"/>
    <s v="Medium"/>
    <n v="0.11750300112351807"/>
    <x v="560"/>
    <x v="2"/>
  </r>
  <r>
    <s v="ORD10561"/>
    <x v="2"/>
    <x v="7"/>
    <n v="4"/>
    <s v="Q2"/>
    <x v="561"/>
    <d v="2027-04-10T00:00:00"/>
    <s v="C1561"/>
    <x v="561"/>
    <x v="2"/>
    <s v="India"/>
    <s v="Delhi"/>
    <s v="Delhi"/>
    <x v="0"/>
    <x v="0"/>
    <x v="5"/>
    <x v="113"/>
    <n v="23781.83"/>
    <n v="7"/>
    <x v="2"/>
    <s v="Medium"/>
    <n v="8.7402020786457549E-2"/>
    <x v="561"/>
    <x v="1"/>
  </r>
  <r>
    <s v="ORD10562"/>
    <x v="2"/>
    <x v="7"/>
    <n v="4"/>
    <s v="Q2"/>
    <x v="562"/>
    <d v="2027-04-11T00:00:00"/>
    <s v="C1562"/>
    <x v="562"/>
    <x v="0"/>
    <s v="India"/>
    <s v="Karnataka"/>
    <s v="Bengaluru"/>
    <x v="1"/>
    <x v="1"/>
    <x v="2"/>
    <x v="19"/>
    <n v="38601.9"/>
    <n v="2"/>
    <x v="3"/>
    <s v="High"/>
    <n v="0.1584683655467736"/>
    <x v="562"/>
    <x v="3"/>
  </r>
  <r>
    <s v="ORD10563"/>
    <x v="2"/>
    <x v="7"/>
    <n v="4"/>
    <s v="Q2"/>
    <x v="563"/>
    <d v="2027-04-12T00:00:00"/>
    <s v="C1563"/>
    <x v="563"/>
    <x v="1"/>
    <s v="India"/>
    <s v="Maharashtra"/>
    <s v="Mumbai"/>
    <x v="2"/>
    <x v="0"/>
    <x v="7"/>
    <x v="17"/>
    <n v="39141.85"/>
    <n v="4"/>
    <x v="0"/>
    <s v="High"/>
    <n v="4.5593910354262766E-2"/>
    <x v="563"/>
    <x v="1"/>
  </r>
  <r>
    <s v="ORD10564"/>
    <x v="2"/>
    <x v="7"/>
    <n v="4"/>
    <s v="Q2"/>
    <x v="564"/>
    <d v="2027-04-13T00:00:00"/>
    <s v="C1564"/>
    <x v="564"/>
    <x v="0"/>
    <s v="India"/>
    <s v="Maharashtra"/>
    <s v="Mumbai"/>
    <x v="2"/>
    <x v="2"/>
    <x v="6"/>
    <x v="134"/>
    <n v="22969.1"/>
    <n v="6"/>
    <x v="0"/>
    <s v="Medium"/>
    <n v="7.5893700667418407E-2"/>
    <x v="564"/>
    <x v="2"/>
  </r>
  <r>
    <s v="ORD10565"/>
    <x v="2"/>
    <x v="7"/>
    <n v="4"/>
    <s v="Q2"/>
    <x v="565"/>
    <d v="2027-04-14T00:00:00"/>
    <s v="C1565"/>
    <x v="565"/>
    <x v="0"/>
    <s v="India"/>
    <s v="Karnataka"/>
    <s v="Bengaluru"/>
    <x v="1"/>
    <x v="2"/>
    <x v="4"/>
    <x v="148"/>
    <n v="25846.7"/>
    <n v="5"/>
    <x v="1"/>
    <s v="Medium"/>
    <n v="6.777809159389786E-2"/>
    <x v="565"/>
    <x v="0"/>
  </r>
  <r>
    <s v="ORD10566"/>
    <x v="2"/>
    <x v="7"/>
    <n v="4"/>
    <s v="Q2"/>
    <x v="566"/>
    <d v="2027-04-15T00:00:00"/>
    <s v="C1566"/>
    <x v="566"/>
    <x v="0"/>
    <s v="India"/>
    <s v="Haryana"/>
    <s v="Gurugram"/>
    <x v="0"/>
    <x v="2"/>
    <x v="4"/>
    <x v="119"/>
    <n v="29035.62"/>
    <n v="7"/>
    <x v="1"/>
    <s v="Medium"/>
    <n v="3.0085460548112973E-2"/>
    <x v="566"/>
    <x v="2"/>
  </r>
  <r>
    <s v="ORD10567"/>
    <x v="2"/>
    <x v="7"/>
    <n v="4"/>
    <s v="Q2"/>
    <x v="567"/>
    <d v="2027-04-16T00:00:00"/>
    <s v="C1567"/>
    <x v="567"/>
    <x v="0"/>
    <s v="India"/>
    <s v="Haryana"/>
    <s v="Gurugram"/>
    <x v="0"/>
    <x v="1"/>
    <x v="3"/>
    <x v="172"/>
    <n v="37452.92"/>
    <n v="5"/>
    <x v="2"/>
    <s v="High"/>
    <n v="0.13392093326768648"/>
    <x v="567"/>
    <x v="2"/>
  </r>
  <r>
    <s v="ORD10568"/>
    <x v="2"/>
    <x v="7"/>
    <n v="4"/>
    <s v="Q2"/>
    <x v="568"/>
    <d v="2027-04-17T00:00:00"/>
    <s v="C1568"/>
    <x v="568"/>
    <x v="0"/>
    <s v="India"/>
    <s v="Maharashtra"/>
    <s v="Mumbai"/>
    <x v="2"/>
    <x v="2"/>
    <x v="8"/>
    <x v="46"/>
    <n v="28009.599999999999"/>
    <n v="8"/>
    <x v="3"/>
    <s v="Medium"/>
    <n v="8.0336384668113797E-2"/>
    <x v="568"/>
    <x v="1"/>
  </r>
  <r>
    <s v="ORD10569"/>
    <x v="2"/>
    <x v="7"/>
    <n v="4"/>
    <s v="Q2"/>
    <x v="569"/>
    <d v="2027-04-18T00:00:00"/>
    <s v="C1569"/>
    <x v="569"/>
    <x v="0"/>
    <s v="India"/>
    <s v="Karnataka"/>
    <s v="Bengaluru"/>
    <x v="1"/>
    <x v="2"/>
    <x v="6"/>
    <x v="71"/>
    <n v="19724.93"/>
    <n v="3"/>
    <x v="2"/>
    <s v="Medium"/>
    <n v="8.4383569422046112E-2"/>
    <x v="569"/>
    <x v="0"/>
  </r>
  <r>
    <s v="ORD10570"/>
    <x v="2"/>
    <x v="7"/>
    <n v="4"/>
    <s v="Q2"/>
    <x v="570"/>
    <d v="2027-04-19T00:00:00"/>
    <s v="C1570"/>
    <x v="570"/>
    <x v="1"/>
    <s v="India"/>
    <s v="Karnataka"/>
    <s v="Bengaluru"/>
    <x v="1"/>
    <x v="0"/>
    <x v="0"/>
    <x v="62"/>
    <n v="10445.540000000001"/>
    <n v="8"/>
    <x v="2"/>
    <s v="Medium"/>
    <n v="0.24145520480511298"/>
    <x v="570"/>
    <x v="1"/>
  </r>
  <r>
    <s v="ORD10571"/>
    <x v="2"/>
    <x v="7"/>
    <n v="4"/>
    <s v="Q2"/>
    <x v="571"/>
    <d v="2027-04-20T00:00:00"/>
    <s v="C1571"/>
    <x v="571"/>
    <x v="0"/>
    <s v="India"/>
    <s v="Delhi"/>
    <s v="Delhi"/>
    <x v="0"/>
    <x v="1"/>
    <x v="3"/>
    <x v="64"/>
    <n v="21905.95"/>
    <n v="6"/>
    <x v="0"/>
    <s v="Medium"/>
    <n v="0.13389238996710939"/>
    <x v="571"/>
    <x v="3"/>
  </r>
  <r>
    <s v="ORD10572"/>
    <x v="2"/>
    <x v="7"/>
    <n v="4"/>
    <s v="Q2"/>
    <x v="572"/>
    <d v="2027-04-21T00:00:00"/>
    <s v="C1572"/>
    <x v="572"/>
    <x v="2"/>
    <s v="India"/>
    <s v="Maharashtra"/>
    <s v="Mumbai"/>
    <x v="2"/>
    <x v="1"/>
    <x v="2"/>
    <x v="166"/>
    <n v="10910.79"/>
    <n v="1"/>
    <x v="2"/>
    <s v="Medium"/>
    <n v="0.11382860452817807"/>
    <x v="572"/>
    <x v="0"/>
  </r>
  <r>
    <s v="ORD10573"/>
    <x v="2"/>
    <x v="7"/>
    <n v="4"/>
    <s v="Q2"/>
    <x v="573"/>
    <d v="2027-04-22T00:00:00"/>
    <s v="C1573"/>
    <x v="573"/>
    <x v="2"/>
    <s v="India"/>
    <s v="Delhi"/>
    <s v="Delhi"/>
    <x v="0"/>
    <x v="2"/>
    <x v="6"/>
    <x v="9"/>
    <n v="30681.39"/>
    <n v="4"/>
    <x v="3"/>
    <s v="High"/>
    <n v="0.22192964529964254"/>
    <x v="573"/>
    <x v="0"/>
  </r>
  <r>
    <s v="ORD10574"/>
    <x v="2"/>
    <x v="7"/>
    <n v="4"/>
    <s v="Q2"/>
    <x v="574"/>
    <d v="2027-04-23T00:00:00"/>
    <s v="C1574"/>
    <x v="574"/>
    <x v="2"/>
    <s v="India"/>
    <s v="Maharashtra"/>
    <s v="Mumbai"/>
    <x v="2"/>
    <x v="1"/>
    <x v="2"/>
    <x v="19"/>
    <n v="1303.74"/>
    <n v="5"/>
    <x v="3"/>
    <s v="Low"/>
    <n v="0.11549081872152422"/>
    <x v="574"/>
    <x v="3"/>
  </r>
  <r>
    <s v="ORD10575"/>
    <x v="2"/>
    <x v="7"/>
    <n v="4"/>
    <s v="Q2"/>
    <x v="575"/>
    <d v="2027-04-24T00:00:00"/>
    <s v="C1575"/>
    <x v="575"/>
    <x v="1"/>
    <s v="India"/>
    <s v="Karnataka"/>
    <s v="Bengaluru"/>
    <x v="1"/>
    <x v="1"/>
    <x v="3"/>
    <x v="64"/>
    <n v="6097.43"/>
    <n v="6"/>
    <x v="1"/>
    <s v="Low"/>
    <n v="8.4511015296608566E-2"/>
    <x v="575"/>
    <x v="2"/>
  </r>
  <r>
    <s v="ORD10576"/>
    <x v="2"/>
    <x v="7"/>
    <n v="4"/>
    <s v="Q2"/>
    <x v="576"/>
    <d v="2027-04-25T00:00:00"/>
    <s v="C1576"/>
    <x v="576"/>
    <x v="2"/>
    <s v="India"/>
    <s v="West Bengal"/>
    <s v="Kolkata"/>
    <x v="3"/>
    <x v="2"/>
    <x v="8"/>
    <x v="130"/>
    <n v="35006"/>
    <n v="7"/>
    <x v="1"/>
    <s v="High"/>
    <n v="-4.0618179740615899E-2"/>
    <x v="576"/>
    <x v="3"/>
  </r>
  <r>
    <s v="ORD10577"/>
    <x v="2"/>
    <x v="7"/>
    <n v="4"/>
    <s v="Q2"/>
    <x v="577"/>
    <d v="2027-04-26T00:00:00"/>
    <s v="C1577"/>
    <x v="577"/>
    <x v="1"/>
    <s v="India"/>
    <s v="Delhi"/>
    <s v="Delhi"/>
    <x v="0"/>
    <x v="0"/>
    <x v="7"/>
    <x v="99"/>
    <n v="10591.38"/>
    <n v="8"/>
    <x v="1"/>
    <s v="Medium"/>
    <n v="-5.731170064713003E-2"/>
    <x v="577"/>
    <x v="2"/>
  </r>
  <r>
    <s v="ORD10578"/>
    <x v="2"/>
    <x v="7"/>
    <n v="4"/>
    <s v="Q2"/>
    <x v="578"/>
    <d v="2027-04-27T00:00:00"/>
    <s v="C1578"/>
    <x v="578"/>
    <x v="2"/>
    <s v="India"/>
    <s v="Maharashtra"/>
    <s v="Mumbai"/>
    <x v="2"/>
    <x v="0"/>
    <x v="0"/>
    <x v="88"/>
    <n v="44197.59"/>
    <n v="2"/>
    <x v="1"/>
    <s v="High"/>
    <n v="1.7454797874725751E-2"/>
    <x v="578"/>
    <x v="3"/>
  </r>
  <r>
    <s v="ORD10579"/>
    <x v="2"/>
    <x v="7"/>
    <n v="4"/>
    <s v="Q2"/>
    <x v="579"/>
    <d v="2027-04-28T00:00:00"/>
    <s v="C1579"/>
    <x v="579"/>
    <x v="1"/>
    <s v="India"/>
    <s v="Maharashtra"/>
    <s v="Mumbai"/>
    <x v="2"/>
    <x v="2"/>
    <x v="4"/>
    <x v="54"/>
    <n v="3064.63"/>
    <n v="1"/>
    <x v="0"/>
    <s v="Low"/>
    <n v="3.6810316416663678E-2"/>
    <x v="579"/>
    <x v="2"/>
  </r>
  <r>
    <s v="ORD10580"/>
    <x v="2"/>
    <x v="7"/>
    <n v="4"/>
    <s v="Q2"/>
    <x v="580"/>
    <d v="2027-04-29T00:00:00"/>
    <s v="C1580"/>
    <x v="580"/>
    <x v="0"/>
    <s v="India"/>
    <s v="Maharashtra"/>
    <s v="Mumbai"/>
    <x v="2"/>
    <x v="1"/>
    <x v="1"/>
    <x v="109"/>
    <n v="49744.87"/>
    <n v="1"/>
    <x v="3"/>
    <s v="High"/>
    <n v="0.15819279455348861"/>
    <x v="580"/>
    <x v="2"/>
  </r>
  <r>
    <s v="ORD10581"/>
    <x v="2"/>
    <x v="7"/>
    <n v="4"/>
    <s v="Q2"/>
    <x v="581"/>
    <d v="2027-04-30T00:00:00"/>
    <s v="C1581"/>
    <x v="581"/>
    <x v="1"/>
    <s v="India"/>
    <s v="Delhi"/>
    <s v="Delhi"/>
    <x v="0"/>
    <x v="1"/>
    <x v="2"/>
    <x v="84"/>
    <n v="37219.949999999997"/>
    <n v="8"/>
    <x v="0"/>
    <s v="High"/>
    <n v="0.10205548368549663"/>
    <x v="581"/>
    <x v="0"/>
  </r>
  <r>
    <s v="ORD10582"/>
    <x v="2"/>
    <x v="7"/>
    <n v="4"/>
    <s v="Q2"/>
    <x v="582"/>
    <d v="2027-05-01T00:00:00"/>
    <s v="C1582"/>
    <x v="582"/>
    <x v="0"/>
    <s v="India"/>
    <s v="Delhi"/>
    <s v="Delhi"/>
    <x v="0"/>
    <x v="0"/>
    <x v="5"/>
    <x v="39"/>
    <n v="9122.9500000000007"/>
    <n v="6"/>
    <x v="0"/>
    <s v="Low"/>
    <n v="9.0711885957941218E-2"/>
    <x v="582"/>
    <x v="2"/>
  </r>
  <r>
    <s v="ORD10583"/>
    <x v="2"/>
    <x v="7"/>
    <n v="4"/>
    <s v="Q2"/>
    <x v="583"/>
    <d v="2027-05-02T00:00:00"/>
    <s v="C1583"/>
    <x v="583"/>
    <x v="1"/>
    <s v="India"/>
    <s v="Delhi"/>
    <s v="Delhi"/>
    <x v="0"/>
    <x v="0"/>
    <x v="5"/>
    <x v="142"/>
    <n v="21313.69"/>
    <n v="7"/>
    <x v="0"/>
    <s v="Medium"/>
    <n v="8.037275572648378E-2"/>
    <x v="583"/>
    <x v="2"/>
  </r>
  <r>
    <s v="ORD10584"/>
    <x v="2"/>
    <x v="7"/>
    <n v="4"/>
    <s v="Q2"/>
    <x v="584"/>
    <d v="2027-05-03T00:00:00"/>
    <s v="C1584"/>
    <x v="584"/>
    <x v="1"/>
    <s v="India"/>
    <s v="Maharashtra"/>
    <s v="Mumbai"/>
    <x v="2"/>
    <x v="1"/>
    <x v="3"/>
    <x v="31"/>
    <n v="11687.8"/>
    <n v="6"/>
    <x v="1"/>
    <s v="Medium"/>
    <n v="0.10605075377744315"/>
    <x v="584"/>
    <x v="2"/>
  </r>
  <r>
    <s v="ORD10585"/>
    <x v="2"/>
    <x v="7"/>
    <n v="4"/>
    <s v="Q2"/>
    <x v="585"/>
    <d v="2027-05-04T00:00:00"/>
    <s v="C1585"/>
    <x v="585"/>
    <x v="2"/>
    <s v="India"/>
    <s v="Karnataka"/>
    <s v="Bengaluru"/>
    <x v="1"/>
    <x v="2"/>
    <x v="8"/>
    <x v="114"/>
    <n v="24903.439999999999"/>
    <n v="1"/>
    <x v="0"/>
    <s v="Medium"/>
    <n v="2.8654274268936342E-2"/>
    <x v="585"/>
    <x v="3"/>
  </r>
  <r>
    <s v="ORD10586"/>
    <x v="2"/>
    <x v="8"/>
    <n v="5"/>
    <s v="Q2"/>
    <x v="586"/>
    <d v="2027-05-05T00:00:00"/>
    <s v="C1586"/>
    <x v="586"/>
    <x v="1"/>
    <s v="India"/>
    <s v="West Bengal"/>
    <s v="Kolkata"/>
    <x v="3"/>
    <x v="2"/>
    <x v="6"/>
    <x v="44"/>
    <n v="24179.33"/>
    <n v="1"/>
    <x v="1"/>
    <s v="Medium"/>
    <n v="0.17834985502079667"/>
    <x v="586"/>
    <x v="2"/>
  </r>
  <r>
    <s v="ORD10587"/>
    <x v="2"/>
    <x v="8"/>
    <n v="5"/>
    <s v="Q2"/>
    <x v="587"/>
    <d v="2027-05-06T00:00:00"/>
    <s v="C1587"/>
    <x v="587"/>
    <x v="1"/>
    <s v="India"/>
    <s v="Haryana"/>
    <s v="Gurugram"/>
    <x v="0"/>
    <x v="1"/>
    <x v="2"/>
    <x v="132"/>
    <n v="12550.36"/>
    <n v="8"/>
    <x v="2"/>
    <s v="Medium"/>
    <n v="0.1979265933407488"/>
    <x v="587"/>
    <x v="2"/>
  </r>
  <r>
    <s v="ORD10588"/>
    <x v="2"/>
    <x v="8"/>
    <n v="5"/>
    <s v="Q2"/>
    <x v="588"/>
    <d v="2027-05-07T00:00:00"/>
    <s v="C1588"/>
    <x v="588"/>
    <x v="0"/>
    <s v="India"/>
    <s v="Haryana"/>
    <s v="Gurugram"/>
    <x v="0"/>
    <x v="2"/>
    <x v="6"/>
    <x v="21"/>
    <n v="25280.65"/>
    <n v="3"/>
    <x v="3"/>
    <s v="Medium"/>
    <n v="9.6070710207213819E-2"/>
    <x v="588"/>
    <x v="2"/>
  </r>
  <r>
    <s v="ORD10589"/>
    <x v="2"/>
    <x v="8"/>
    <n v="5"/>
    <s v="Q2"/>
    <x v="589"/>
    <d v="2027-05-08T00:00:00"/>
    <s v="C1589"/>
    <x v="589"/>
    <x v="2"/>
    <s v="India"/>
    <s v="Haryana"/>
    <s v="Gurugram"/>
    <x v="0"/>
    <x v="2"/>
    <x v="4"/>
    <x v="18"/>
    <n v="28138.06"/>
    <n v="6"/>
    <x v="0"/>
    <s v="Medium"/>
    <n v="0.1106291620673209"/>
    <x v="589"/>
    <x v="2"/>
  </r>
  <r>
    <s v="ORD10590"/>
    <x v="2"/>
    <x v="8"/>
    <n v="5"/>
    <s v="Q2"/>
    <x v="590"/>
    <d v="2027-05-09T00:00:00"/>
    <s v="C1590"/>
    <x v="590"/>
    <x v="0"/>
    <s v="India"/>
    <s v="Maharashtra"/>
    <s v="Mumbai"/>
    <x v="2"/>
    <x v="2"/>
    <x v="4"/>
    <x v="77"/>
    <n v="26663.83"/>
    <n v="8"/>
    <x v="2"/>
    <s v="Medium"/>
    <n v="0.14655884019662591"/>
    <x v="590"/>
    <x v="3"/>
  </r>
  <r>
    <s v="ORD10591"/>
    <x v="2"/>
    <x v="8"/>
    <n v="5"/>
    <s v="Q2"/>
    <x v="591"/>
    <d v="2027-05-10T00:00:00"/>
    <s v="C1591"/>
    <x v="591"/>
    <x v="2"/>
    <s v="India"/>
    <s v="Maharashtra"/>
    <s v="Mumbai"/>
    <x v="2"/>
    <x v="0"/>
    <x v="5"/>
    <x v="30"/>
    <n v="41223.93"/>
    <n v="1"/>
    <x v="3"/>
    <s v="High"/>
    <n v="0.13620583966642674"/>
    <x v="591"/>
    <x v="1"/>
  </r>
  <r>
    <s v="ORD10592"/>
    <x v="2"/>
    <x v="8"/>
    <n v="5"/>
    <s v="Q2"/>
    <x v="592"/>
    <d v="2027-05-11T00:00:00"/>
    <s v="C1592"/>
    <x v="592"/>
    <x v="2"/>
    <s v="India"/>
    <s v="Maharashtra"/>
    <s v="Mumbai"/>
    <x v="2"/>
    <x v="2"/>
    <x v="8"/>
    <x v="81"/>
    <n v="19493.66"/>
    <n v="5"/>
    <x v="1"/>
    <s v="Medium"/>
    <n v="0.12952621518996432"/>
    <x v="592"/>
    <x v="0"/>
  </r>
  <r>
    <s v="ORD10593"/>
    <x v="2"/>
    <x v="8"/>
    <n v="5"/>
    <s v="Q2"/>
    <x v="593"/>
    <d v="2027-05-12T00:00:00"/>
    <s v="C1593"/>
    <x v="593"/>
    <x v="1"/>
    <s v="India"/>
    <s v="Karnataka"/>
    <s v="Bengaluru"/>
    <x v="1"/>
    <x v="2"/>
    <x v="6"/>
    <x v="128"/>
    <n v="31868.13"/>
    <n v="2"/>
    <x v="2"/>
    <s v="High"/>
    <n v="0.26136739118360569"/>
    <x v="593"/>
    <x v="3"/>
  </r>
  <r>
    <s v="ORD10594"/>
    <x v="2"/>
    <x v="8"/>
    <n v="5"/>
    <s v="Q2"/>
    <x v="594"/>
    <d v="2027-05-13T00:00:00"/>
    <s v="C1594"/>
    <x v="594"/>
    <x v="0"/>
    <s v="India"/>
    <s v="Delhi"/>
    <s v="Delhi"/>
    <x v="0"/>
    <x v="2"/>
    <x v="4"/>
    <x v="137"/>
    <n v="15109.9"/>
    <n v="6"/>
    <x v="1"/>
    <s v="Medium"/>
    <n v="-1.7337639560817745E-2"/>
    <x v="594"/>
    <x v="3"/>
  </r>
  <r>
    <s v="ORD10595"/>
    <x v="2"/>
    <x v="8"/>
    <n v="5"/>
    <s v="Q2"/>
    <x v="595"/>
    <d v="2027-05-14T00:00:00"/>
    <s v="C1595"/>
    <x v="595"/>
    <x v="0"/>
    <s v="India"/>
    <s v="Maharashtra"/>
    <s v="Mumbai"/>
    <x v="2"/>
    <x v="2"/>
    <x v="8"/>
    <x v="83"/>
    <n v="49575.46"/>
    <n v="4"/>
    <x v="0"/>
    <s v="High"/>
    <n v="0.172580748620386"/>
    <x v="595"/>
    <x v="3"/>
  </r>
  <r>
    <s v="ORD10596"/>
    <x v="2"/>
    <x v="8"/>
    <n v="5"/>
    <s v="Q2"/>
    <x v="596"/>
    <d v="2027-05-15T00:00:00"/>
    <s v="C1596"/>
    <x v="596"/>
    <x v="1"/>
    <s v="India"/>
    <s v="Maharashtra"/>
    <s v="Mumbai"/>
    <x v="2"/>
    <x v="1"/>
    <x v="1"/>
    <x v="162"/>
    <n v="9399.76"/>
    <n v="5"/>
    <x v="0"/>
    <s v="Low"/>
    <n v="0.20447330570142216"/>
    <x v="596"/>
    <x v="0"/>
  </r>
  <r>
    <s v="ORD10597"/>
    <x v="2"/>
    <x v="8"/>
    <n v="5"/>
    <s v="Q2"/>
    <x v="597"/>
    <d v="2027-05-16T00:00:00"/>
    <s v="C1597"/>
    <x v="597"/>
    <x v="2"/>
    <s v="India"/>
    <s v="Haryana"/>
    <s v="Gurugram"/>
    <x v="0"/>
    <x v="1"/>
    <x v="1"/>
    <x v="118"/>
    <n v="1284.18"/>
    <n v="1"/>
    <x v="1"/>
    <s v="Low"/>
    <n v="0.15336635051161052"/>
    <x v="597"/>
    <x v="1"/>
  </r>
  <r>
    <s v="ORD10598"/>
    <x v="2"/>
    <x v="8"/>
    <n v="5"/>
    <s v="Q2"/>
    <x v="598"/>
    <d v="2027-05-17T00:00:00"/>
    <s v="C1598"/>
    <x v="598"/>
    <x v="2"/>
    <s v="India"/>
    <s v="Karnataka"/>
    <s v="Bengaluru"/>
    <x v="1"/>
    <x v="2"/>
    <x v="8"/>
    <x v="92"/>
    <n v="30929.89"/>
    <n v="6"/>
    <x v="1"/>
    <s v="High"/>
    <n v="-4.0614434774905442E-3"/>
    <x v="598"/>
    <x v="2"/>
  </r>
  <r>
    <s v="ORD10599"/>
    <x v="2"/>
    <x v="8"/>
    <n v="5"/>
    <s v="Q2"/>
    <x v="599"/>
    <d v="2027-05-18T00:00:00"/>
    <s v="C1599"/>
    <x v="599"/>
    <x v="2"/>
    <s v="India"/>
    <s v="Haryana"/>
    <s v="Gurugram"/>
    <x v="0"/>
    <x v="0"/>
    <x v="5"/>
    <x v="20"/>
    <n v="894.8"/>
    <n v="1"/>
    <x v="1"/>
    <s v="Low"/>
    <n v="8.7974966472954857E-2"/>
    <x v="599"/>
    <x v="0"/>
  </r>
  <r>
    <s v="ORD10600"/>
    <x v="2"/>
    <x v="8"/>
    <n v="5"/>
    <s v="Q2"/>
    <x v="600"/>
    <d v="2027-05-19T00:00:00"/>
    <s v="C1600"/>
    <x v="600"/>
    <x v="0"/>
    <s v="India"/>
    <s v="Delhi"/>
    <s v="Delhi"/>
    <x v="0"/>
    <x v="1"/>
    <x v="3"/>
    <x v="102"/>
    <n v="34851.370000000003"/>
    <n v="8"/>
    <x v="0"/>
    <s v="High"/>
    <n v="6.7178420819611964E-2"/>
    <x v="600"/>
    <x v="3"/>
  </r>
  <r>
    <s v="ORD10601"/>
    <x v="2"/>
    <x v="8"/>
    <n v="5"/>
    <s v="Q2"/>
    <x v="601"/>
    <d v="2027-05-20T00:00:00"/>
    <s v="C1601"/>
    <x v="601"/>
    <x v="1"/>
    <s v="India"/>
    <s v="West Bengal"/>
    <s v="Kolkata"/>
    <x v="3"/>
    <x v="1"/>
    <x v="3"/>
    <x v="173"/>
    <n v="43639.88"/>
    <n v="5"/>
    <x v="0"/>
    <s v="High"/>
    <n v="2.7368773699652703E-2"/>
    <x v="601"/>
    <x v="0"/>
  </r>
  <r>
    <s v="ORD10602"/>
    <x v="2"/>
    <x v="8"/>
    <n v="5"/>
    <s v="Q2"/>
    <x v="602"/>
    <d v="2027-05-21T00:00:00"/>
    <s v="C1602"/>
    <x v="602"/>
    <x v="2"/>
    <s v="India"/>
    <s v="Haryana"/>
    <s v="Gurugram"/>
    <x v="0"/>
    <x v="1"/>
    <x v="1"/>
    <x v="116"/>
    <n v="25636.45"/>
    <n v="4"/>
    <x v="0"/>
    <s v="Medium"/>
    <n v="9.647864661448835E-2"/>
    <x v="602"/>
    <x v="0"/>
  </r>
  <r>
    <s v="ORD10603"/>
    <x v="2"/>
    <x v="8"/>
    <n v="5"/>
    <s v="Q2"/>
    <x v="603"/>
    <d v="2027-05-22T00:00:00"/>
    <s v="C1603"/>
    <x v="603"/>
    <x v="2"/>
    <s v="India"/>
    <s v="Maharashtra"/>
    <s v="Mumbai"/>
    <x v="2"/>
    <x v="2"/>
    <x v="6"/>
    <x v="9"/>
    <n v="19391.560000000001"/>
    <n v="4"/>
    <x v="1"/>
    <s v="Medium"/>
    <n v="0.16222418412959039"/>
    <x v="603"/>
    <x v="1"/>
  </r>
  <r>
    <s v="ORD10604"/>
    <x v="2"/>
    <x v="8"/>
    <n v="5"/>
    <s v="Q2"/>
    <x v="604"/>
    <d v="2027-05-23T00:00:00"/>
    <s v="C1604"/>
    <x v="604"/>
    <x v="0"/>
    <s v="India"/>
    <s v="West Bengal"/>
    <s v="Kolkata"/>
    <x v="3"/>
    <x v="0"/>
    <x v="5"/>
    <x v="158"/>
    <n v="41987.45"/>
    <n v="7"/>
    <x v="1"/>
    <s v="High"/>
    <n v="-3.5948598926584023E-2"/>
    <x v="604"/>
    <x v="0"/>
  </r>
  <r>
    <s v="ORD10605"/>
    <x v="2"/>
    <x v="8"/>
    <n v="5"/>
    <s v="Q2"/>
    <x v="605"/>
    <d v="2027-05-24T00:00:00"/>
    <s v="C1605"/>
    <x v="605"/>
    <x v="0"/>
    <s v="India"/>
    <s v="Maharashtra"/>
    <s v="Mumbai"/>
    <x v="2"/>
    <x v="1"/>
    <x v="2"/>
    <x v="132"/>
    <n v="20248.29"/>
    <n v="6"/>
    <x v="3"/>
    <s v="Medium"/>
    <n v="0.22162957958425131"/>
    <x v="605"/>
    <x v="1"/>
  </r>
  <r>
    <s v="ORD10606"/>
    <x v="2"/>
    <x v="8"/>
    <n v="5"/>
    <s v="Q2"/>
    <x v="606"/>
    <d v="2027-05-25T00:00:00"/>
    <s v="C1606"/>
    <x v="606"/>
    <x v="1"/>
    <s v="India"/>
    <s v="Maharashtra"/>
    <s v="Mumbai"/>
    <x v="2"/>
    <x v="0"/>
    <x v="7"/>
    <x v="17"/>
    <n v="11800.57"/>
    <n v="3"/>
    <x v="3"/>
    <s v="Medium"/>
    <n v="0.17903796172557768"/>
    <x v="606"/>
    <x v="1"/>
  </r>
  <r>
    <s v="ORD10607"/>
    <x v="2"/>
    <x v="8"/>
    <n v="5"/>
    <s v="Q2"/>
    <x v="607"/>
    <d v="2027-05-26T00:00:00"/>
    <s v="C1607"/>
    <x v="607"/>
    <x v="1"/>
    <s v="India"/>
    <s v="Karnataka"/>
    <s v="Bengaluru"/>
    <x v="1"/>
    <x v="2"/>
    <x v="8"/>
    <x v="130"/>
    <n v="49632.38"/>
    <n v="8"/>
    <x v="2"/>
    <s v="High"/>
    <n v="0.17773175495513213"/>
    <x v="607"/>
    <x v="1"/>
  </r>
  <r>
    <s v="ORD10608"/>
    <x v="2"/>
    <x v="8"/>
    <n v="5"/>
    <s v="Q2"/>
    <x v="608"/>
    <d v="2027-05-27T00:00:00"/>
    <s v="C1608"/>
    <x v="608"/>
    <x v="1"/>
    <s v="India"/>
    <s v="Karnataka"/>
    <s v="Bengaluru"/>
    <x v="1"/>
    <x v="2"/>
    <x v="8"/>
    <x v="74"/>
    <n v="10919.64"/>
    <n v="4"/>
    <x v="1"/>
    <s v="Medium"/>
    <n v="0.14206329146382116"/>
    <x v="608"/>
    <x v="0"/>
  </r>
  <r>
    <s v="ORD10609"/>
    <x v="2"/>
    <x v="8"/>
    <n v="5"/>
    <s v="Q2"/>
    <x v="609"/>
    <d v="2027-05-28T00:00:00"/>
    <s v="C1609"/>
    <x v="609"/>
    <x v="0"/>
    <s v="India"/>
    <s v="Karnataka"/>
    <s v="Bengaluru"/>
    <x v="1"/>
    <x v="0"/>
    <x v="0"/>
    <x v="91"/>
    <n v="28135.54"/>
    <n v="3"/>
    <x v="1"/>
    <s v="Medium"/>
    <n v="7.8265780575030724E-2"/>
    <x v="609"/>
    <x v="1"/>
  </r>
  <r>
    <s v="ORD10610"/>
    <x v="2"/>
    <x v="8"/>
    <n v="5"/>
    <s v="Q2"/>
    <x v="610"/>
    <d v="2027-05-29T00:00:00"/>
    <s v="C1610"/>
    <x v="610"/>
    <x v="0"/>
    <s v="India"/>
    <s v="West Bengal"/>
    <s v="Kolkata"/>
    <x v="3"/>
    <x v="1"/>
    <x v="3"/>
    <x v="52"/>
    <n v="37275.360000000001"/>
    <n v="1"/>
    <x v="1"/>
    <s v="High"/>
    <n v="-5.9786947731691922E-2"/>
    <x v="610"/>
    <x v="3"/>
  </r>
  <r>
    <s v="ORD10611"/>
    <x v="2"/>
    <x v="8"/>
    <n v="5"/>
    <s v="Q2"/>
    <x v="611"/>
    <d v="2027-05-30T00:00:00"/>
    <s v="C1611"/>
    <x v="611"/>
    <x v="1"/>
    <s v="India"/>
    <s v="Delhi"/>
    <s v="Delhi"/>
    <x v="0"/>
    <x v="0"/>
    <x v="5"/>
    <x v="26"/>
    <n v="7994.49"/>
    <n v="8"/>
    <x v="1"/>
    <s v="Low"/>
    <n v="-6.7156253869852855E-2"/>
    <x v="611"/>
    <x v="1"/>
  </r>
  <r>
    <s v="ORD10612"/>
    <x v="2"/>
    <x v="8"/>
    <n v="5"/>
    <s v="Q2"/>
    <x v="612"/>
    <d v="2027-05-31T00:00:00"/>
    <s v="C1612"/>
    <x v="612"/>
    <x v="0"/>
    <s v="India"/>
    <s v="West Bengal"/>
    <s v="Kolkata"/>
    <x v="3"/>
    <x v="1"/>
    <x v="1"/>
    <x v="109"/>
    <n v="13018.32"/>
    <n v="7"/>
    <x v="1"/>
    <s v="Medium"/>
    <n v="0.10125346434870246"/>
    <x v="612"/>
    <x v="0"/>
  </r>
  <r>
    <s v="ORD10613"/>
    <x v="2"/>
    <x v="8"/>
    <n v="5"/>
    <s v="Q2"/>
    <x v="613"/>
    <d v="2027-06-01T00:00:00"/>
    <s v="C1613"/>
    <x v="613"/>
    <x v="2"/>
    <s v="India"/>
    <s v="Haryana"/>
    <s v="Gurugram"/>
    <x v="0"/>
    <x v="2"/>
    <x v="8"/>
    <x v="72"/>
    <n v="48695.7"/>
    <n v="5"/>
    <x v="1"/>
    <s v="High"/>
    <n v="1.7698687974502882E-2"/>
    <x v="613"/>
    <x v="0"/>
  </r>
  <r>
    <s v="ORD10614"/>
    <x v="2"/>
    <x v="8"/>
    <n v="5"/>
    <s v="Q2"/>
    <x v="614"/>
    <d v="2027-06-02T00:00:00"/>
    <s v="C1614"/>
    <x v="614"/>
    <x v="1"/>
    <s v="India"/>
    <s v="West Bengal"/>
    <s v="Kolkata"/>
    <x v="3"/>
    <x v="0"/>
    <x v="7"/>
    <x v="40"/>
    <n v="49606.91"/>
    <n v="7"/>
    <x v="1"/>
    <s v="High"/>
    <n v="5.2747288633781059E-2"/>
    <x v="614"/>
    <x v="2"/>
  </r>
  <r>
    <s v="ORD10615"/>
    <x v="2"/>
    <x v="8"/>
    <n v="5"/>
    <s v="Q2"/>
    <x v="615"/>
    <d v="2027-06-03T00:00:00"/>
    <s v="C1615"/>
    <x v="615"/>
    <x v="0"/>
    <s v="India"/>
    <s v="Haryana"/>
    <s v="Gurugram"/>
    <x v="0"/>
    <x v="0"/>
    <x v="0"/>
    <x v="51"/>
    <n v="41661.03"/>
    <n v="1"/>
    <x v="2"/>
    <s v="High"/>
    <n v="0.24849793680089044"/>
    <x v="615"/>
    <x v="2"/>
  </r>
  <r>
    <s v="ORD10616"/>
    <x v="2"/>
    <x v="8"/>
    <n v="5"/>
    <s v="Q2"/>
    <x v="616"/>
    <d v="2027-06-04T00:00:00"/>
    <s v="C1616"/>
    <x v="616"/>
    <x v="1"/>
    <s v="India"/>
    <s v="Delhi"/>
    <s v="Delhi"/>
    <x v="0"/>
    <x v="2"/>
    <x v="6"/>
    <x v="87"/>
    <n v="32727.63"/>
    <n v="6"/>
    <x v="3"/>
    <s v="High"/>
    <n v="5.5921250637458321E-2"/>
    <x v="616"/>
    <x v="2"/>
  </r>
  <r>
    <s v="ORD10617"/>
    <x v="2"/>
    <x v="9"/>
    <n v="6"/>
    <s v="Q2"/>
    <x v="617"/>
    <d v="2027-06-05T00:00:00"/>
    <s v="C1617"/>
    <x v="617"/>
    <x v="2"/>
    <s v="India"/>
    <s v="Karnataka"/>
    <s v="Bengaluru"/>
    <x v="1"/>
    <x v="1"/>
    <x v="2"/>
    <x v="98"/>
    <n v="12519.09"/>
    <n v="4"/>
    <x v="1"/>
    <s v="Medium"/>
    <n v="9.4927027443687997E-3"/>
    <x v="617"/>
    <x v="2"/>
  </r>
  <r>
    <s v="ORD10618"/>
    <x v="2"/>
    <x v="9"/>
    <n v="6"/>
    <s v="Q2"/>
    <x v="618"/>
    <d v="2027-06-06T00:00:00"/>
    <s v="C1618"/>
    <x v="618"/>
    <x v="1"/>
    <s v="India"/>
    <s v="Haryana"/>
    <s v="Gurugram"/>
    <x v="0"/>
    <x v="0"/>
    <x v="0"/>
    <x v="62"/>
    <n v="6473.78"/>
    <n v="5"/>
    <x v="1"/>
    <s v="Low"/>
    <n v="9.4130477093753578E-2"/>
    <x v="618"/>
    <x v="3"/>
  </r>
  <r>
    <s v="ORD10619"/>
    <x v="2"/>
    <x v="9"/>
    <n v="6"/>
    <s v="Q2"/>
    <x v="619"/>
    <d v="2027-06-07T00:00:00"/>
    <s v="C1619"/>
    <x v="619"/>
    <x v="0"/>
    <s v="India"/>
    <s v="Haryana"/>
    <s v="Gurugram"/>
    <x v="0"/>
    <x v="2"/>
    <x v="4"/>
    <x v="119"/>
    <n v="29572"/>
    <n v="7"/>
    <x v="3"/>
    <s v="Medium"/>
    <n v="9.0376031381036115E-2"/>
    <x v="619"/>
    <x v="1"/>
  </r>
  <r>
    <s v="ORD10620"/>
    <x v="2"/>
    <x v="9"/>
    <n v="6"/>
    <s v="Q2"/>
    <x v="620"/>
    <d v="2027-06-08T00:00:00"/>
    <s v="C1620"/>
    <x v="620"/>
    <x v="1"/>
    <s v="India"/>
    <s v="Karnataka"/>
    <s v="Bengaluru"/>
    <x v="1"/>
    <x v="1"/>
    <x v="2"/>
    <x v="140"/>
    <n v="36437.19"/>
    <n v="5"/>
    <x v="0"/>
    <s v="High"/>
    <n v="0.21018662525842413"/>
    <x v="620"/>
    <x v="2"/>
  </r>
  <r>
    <s v="ORD10621"/>
    <x v="2"/>
    <x v="9"/>
    <n v="6"/>
    <s v="Q2"/>
    <x v="621"/>
    <d v="2027-06-09T00:00:00"/>
    <s v="C1621"/>
    <x v="621"/>
    <x v="2"/>
    <s v="India"/>
    <s v="Maharashtra"/>
    <s v="Mumbai"/>
    <x v="2"/>
    <x v="2"/>
    <x v="4"/>
    <x v="54"/>
    <n v="48966.21"/>
    <n v="2"/>
    <x v="2"/>
    <s v="High"/>
    <n v="0.25773160716338878"/>
    <x v="621"/>
    <x v="1"/>
  </r>
  <r>
    <s v="ORD10622"/>
    <x v="2"/>
    <x v="9"/>
    <n v="6"/>
    <s v="Q2"/>
    <x v="622"/>
    <d v="2027-06-10T00:00:00"/>
    <s v="C1622"/>
    <x v="622"/>
    <x v="0"/>
    <s v="India"/>
    <s v="Karnataka"/>
    <s v="Bengaluru"/>
    <x v="1"/>
    <x v="2"/>
    <x v="4"/>
    <x v="95"/>
    <n v="26186.18"/>
    <n v="2"/>
    <x v="2"/>
    <s v="Medium"/>
    <n v="0.21412821572295004"/>
    <x v="622"/>
    <x v="3"/>
  </r>
  <r>
    <s v="ORD10623"/>
    <x v="2"/>
    <x v="9"/>
    <n v="6"/>
    <s v="Q2"/>
    <x v="623"/>
    <d v="2027-06-11T00:00:00"/>
    <s v="C1623"/>
    <x v="623"/>
    <x v="2"/>
    <s v="India"/>
    <s v="Maharashtra"/>
    <s v="Mumbai"/>
    <x v="2"/>
    <x v="2"/>
    <x v="4"/>
    <x v="4"/>
    <n v="38690.29"/>
    <n v="3"/>
    <x v="2"/>
    <s v="High"/>
    <n v="0.16806645801827796"/>
    <x v="623"/>
    <x v="0"/>
  </r>
  <r>
    <s v="ORD10624"/>
    <x v="2"/>
    <x v="9"/>
    <n v="6"/>
    <s v="Q2"/>
    <x v="624"/>
    <d v="2027-06-12T00:00:00"/>
    <s v="C1624"/>
    <x v="624"/>
    <x v="1"/>
    <s v="India"/>
    <s v="Haryana"/>
    <s v="Gurugram"/>
    <x v="0"/>
    <x v="2"/>
    <x v="6"/>
    <x v="128"/>
    <n v="2666.34"/>
    <n v="6"/>
    <x v="2"/>
    <s v="Low"/>
    <n v="0.14274248595452943"/>
    <x v="624"/>
    <x v="3"/>
  </r>
  <r>
    <s v="ORD10625"/>
    <x v="2"/>
    <x v="9"/>
    <n v="6"/>
    <s v="Q2"/>
    <x v="625"/>
    <d v="2027-06-13T00:00:00"/>
    <s v="C1625"/>
    <x v="625"/>
    <x v="1"/>
    <s v="India"/>
    <s v="Delhi"/>
    <s v="Delhi"/>
    <x v="0"/>
    <x v="1"/>
    <x v="1"/>
    <x v="23"/>
    <n v="29879.31"/>
    <n v="1"/>
    <x v="2"/>
    <s v="Medium"/>
    <n v="0.21411438215942738"/>
    <x v="625"/>
    <x v="0"/>
  </r>
  <r>
    <s v="ORD10626"/>
    <x v="2"/>
    <x v="9"/>
    <n v="6"/>
    <s v="Q2"/>
    <x v="626"/>
    <d v="2027-06-14T00:00:00"/>
    <s v="C1626"/>
    <x v="626"/>
    <x v="0"/>
    <s v="India"/>
    <s v="Delhi"/>
    <s v="Delhi"/>
    <x v="0"/>
    <x v="2"/>
    <x v="4"/>
    <x v="96"/>
    <n v="9297.82"/>
    <n v="4"/>
    <x v="0"/>
    <s v="Low"/>
    <n v="3.9549055585072636E-2"/>
    <x v="626"/>
    <x v="0"/>
  </r>
  <r>
    <s v="ORD10627"/>
    <x v="2"/>
    <x v="9"/>
    <n v="6"/>
    <s v="Q2"/>
    <x v="627"/>
    <d v="2027-06-15T00:00:00"/>
    <s v="C1627"/>
    <x v="627"/>
    <x v="2"/>
    <s v="India"/>
    <s v="Maharashtra"/>
    <s v="Mumbai"/>
    <x v="2"/>
    <x v="2"/>
    <x v="8"/>
    <x v="25"/>
    <n v="42266.080000000002"/>
    <n v="4"/>
    <x v="0"/>
    <s v="High"/>
    <n v="5.0249041311614416E-2"/>
    <x v="627"/>
    <x v="1"/>
  </r>
  <r>
    <s v="ORD10628"/>
    <x v="2"/>
    <x v="9"/>
    <n v="6"/>
    <s v="Q2"/>
    <x v="628"/>
    <d v="2027-06-16T00:00:00"/>
    <s v="C1628"/>
    <x v="628"/>
    <x v="2"/>
    <s v="India"/>
    <s v="Delhi"/>
    <s v="Delhi"/>
    <x v="0"/>
    <x v="1"/>
    <x v="3"/>
    <x v="3"/>
    <n v="29566.95"/>
    <n v="3"/>
    <x v="0"/>
    <s v="Medium"/>
    <n v="0.11458334390256689"/>
    <x v="628"/>
    <x v="3"/>
  </r>
  <r>
    <s v="ORD10629"/>
    <x v="2"/>
    <x v="9"/>
    <n v="6"/>
    <s v="Q2"/>
    <x v="629"/>
    <d v="2027-06-17T00:00:00"/>
    <s v="C1629"/>
    <x v="629"/>
    <x v="0"/>
    <s v="India"/>
    <s v="Maharashtra"/>
    <s v="Mumbai"/>
    <x v="2"/>
    <x v="1"/>
    <x v="1"/>
    <x v="135"/>
    <n v="17991.7"/>
    <n v="3"/>
    <x v="3"/>
    <s v="Medium"/>
    <n v="0.18641873752897167"/>
    <x v="629"/>
    <x v="2"/>
  </r>
  <r>
    <s v="ORD10630"/>
    <x v="2"/>
    <x v="9"/>
    <n v="6"/>
    <s v="Q2"/>
    <x v="630"/>
    <d v="2027-06-18T00:00:00"/>
    <s v="C1630"/>
    <x v="630"/>
    <x v="0"/>
    <s v="India"/>
    <s v="West Bengal"/>
    <s v="Kolkata"/>
    <x v="3"/>
    <x v="2"/>
    <x v="4"/>
    <x v="127"/>
    <n v="46048.29"/>
    <n v="4"/>
    <x v="1"/>
    <s v="High"/>
    <n v="-5.6309582831414587E-2"/>
    <x v="630"/>
    <x v="1"/>
  </r>
  <r>
    <s v="ORD10631"/>
    <x v="2"/>
    <x v="9"/>
    <n v="6"/>
    <s v="Q2"/>
    <x v="631"/>
    <d v="2027-06-19T00:00:00"/>
    <s v="C1631"/>
    <x v="631"/>
    <x v="2"/>
    <s v="India"/>
    <s v="Maharashtra"/>
    <s v="Mumbai"/>
    <x v="2"/>
    <x v="1"/>
    <x v="2"/>
    <x v="115"/>
    <n v="27285.39"/>
    <n v="6"/>
    <x v="2"/>
    <s v="Medium"/>
    <n v="0.15238118275018242"/>
    <x v="631"/>
    <x v="3"/>
  </r>
  <r>
    <s v="ORD10632"/>
    <x v="2"/>
    <x v="9"/>
    <n v="6"/>
    <s v="Q2"/>
    <x v="632"/>
    <d v="2027-06-20T00:00:00"/>
    <s v="C1632"/>
    <x v="632"/>
    <x v="1"/>
    <s v="India"/>
    <s v="Haryana"/>
    <s v="Gurugram"/>
    <x v="0"/>
    <x v="0"/>
    <x v="7"/>
    <x v="144"/>
    <n v="2738.07"/>
    <n v="3"/>
    <x v="1"/>
    <s v="Low"/>
    <n v="0.12100494143685149"/>
    <x v="632"/>
    <x v="1"/>
  </r>
  <r>
    <s v="ORD10633"/>
    <x v="2"/>
    <x v="9"/>
    <n v="6"/>
    <s v="Q2"/>
    <x v="633"/>
    <d v="2027-06-21T00:00:00"/>
    <s v="C1633"/>
    <x v="633"/>
    <x v="0"/>
    <s v="India"/>
    <s v="Delhi"/>
    <s v="Delhi"/>
    <x v="0"/>
    <x v="1"/>
    <x v="2"/>
    <x v="170"/>
    <n v="26015.11"/>
    <n v="8"/>
    <x v="3"/>
    <s v="Medium"/>
    <n v="0.13440227621563006"/>
    <x v="633"/>
    <x v="2"/>
  </r>
  <r>
    <s v="ORD10634"/>
    <x v="2"/>
    <x v="9"/>
    <n v="6"/>
    <s v="Q2"/>
    <x v="634"/>
    <d v="2027-06-22T00:00:00"/>
    <s v="C1634"/>
    <x v="634"/>
    <x v="0"/>
    <s v="India"/>
    <s v="Delhi"/>
    <s v="Delhi"/>
    <x v="0"/>
    <x v="2"/>
    <x v="6"/>
    <x v="134"/>
    <n v="2947.4"/>
    <n v="6"/>
    <x v="0"/>
    <s v="Low"/>
    <n v="1.2896111827373278E-2"/>
    <x v="634"/>
    <x v="2"/>
  </r>
  <r>
    <s v="ORD10635"/>
    <x v="2"/>
    <x v="9"/>
    <n v="6"/>
    <s v="Q2"/>
    <x v="635"/>
    <d v="2027-06-23T00:00:00"/>
    <s v="C1635"/>
    <x v="635"/>
    <x v="1"/>
    <s v="India"/>
    <s v="Delhi"/>
    <s v="Delhi"/>
    <x v="0"/>
    <x v="1"/>
    <x v="2"/>
    <x v="101"/>
    <n v="20528.03"/>
    <n v="7"/>
    <x v="1"/>
    <s v="Medium"/>
    <n v="3.2434188765312601E-2"/>
    <x v="635"/>
    <x v="3"/>
  </r>
  <r>
    <s v="ORD10636"/>
    <x v="2"/>
    <x v="9"/>
    <n v="6"/>
    <s v="Q2"/>
    <x v="636"/>
    <d v="2027-06-24T00:00:00"/>
    <s v="C1636"/>
    <x v="636"/>
    <x v="1"/>
    <s v="India"/>
    <s v="Delhi"/>
    <s v="Delhi"/>
    <x v="0"/>
    <x v="2"/>
    <x v="4"/>
    <x v="54"/>
    <n v="35935.089999999997"/>
    <n v="5"/>
    <x v="2"/>
    <s v="High"/>
    <n v="0.19544295005244181"/>
    <x v="636"/>
    <x v="3"/>
  </r>
  <r>
    <s v="ORD10637"/>
    <x v="2"/>
    <x v="9"/>
    <n v="6"/>
    <s v="Q2"/>
    <x v="637"/>
    <d v="2027-06-25T00:00:00"/>
    <s v="C1637"/>
    <x v="637"/>
    <x v="0"/>
    <s v="India"/>
    <s v="Maharashtra"/>
    <s v="Mumbai"/>
    <x v="2"/>
    <x v="0"/>
    <x v="7"/>
    <x v="89"/>
    <n v="3095.01"/>
    <n v="3"/>
    <x v="0"/>
    <s v="Low"/>
    <n v="0.13230975021082322"/>
    <x v="637"/>
    <x v="1"/>
  </r>
  <r>
    <s v="ORD10638"/>
    <x v="2"/>
    <x v="9"/>
    <n v="6"/>
    <s v="Q2"/>
    <x v="638"/>
    <d v="2027-06-26T00:00:00"/>
    <s v="C1638"/>
    <x v="638"/>
    <x v="2"/>
    <s v="India"/>
    <s v="Delhi"/>
    <s v="Delhi"/>
    <x v="0"/>
    <x v="2"/>
    <x v="8"/>
    <x v="94"/>
    <n v="1073.04"/>
    <n v="5"/>
    <x v="0"/>
    <s v="Low"/>
    <n v="0.21725191977931857"/>
    <x v="638"/>
    <x v="3"/>
  </r>
  <r>
    <s v="ORD10639"/>
    <x v="2"/>
    <x v="9"/>
    <n v="6"/>
    <s v="Q2"/>
    <x v="639"/>
    <d v="2027-06-27T00:00:00"/>
    <s v="C1639"/>
    <x v="639"/>
    <x v="2"/>
    <s v="India"/>
    <s v="Karnataka"/>
    <s v="Bengaluru"/>
    <x v="1"/>
    <x v="1"/>
    <x v="3"/>
    <x v="35"/>
    <n v="22856.6"/>
    <n v="5"/>
    <x v="1"/>
    <s v="Medium"/>
    <n v="-6.4879728393549357E-2"/>
    <x v="639"/>
    <x v="0"/>
  </r>
  <r>
    <s v="ORD10640"/>
    <x v="2"/>
    <x v="9"/>
    <n v="6"/>
    <s v="Q2"/>
    <x v="640"/>
    <d v="2027-06-28T00:00:00"/>
    <s v="C1640"/>
    <x v="640"/>
    <x v="2"/>
    <s v="India"/>
    <s v="Haryana"/>
    <s v="Gurugram"/>
    <x v="0"/>
    <x v="1"/>
    <x v="1"/>
    <x v="112"/>
    <n v="7979.4"/>
    <n v="1"/>
    <x v="1"/>
    <s v="Low"/>
    <n v="0.16178158758803921"/>
    <x v="640"/>
    <x v="1"/>
  </r>
  <r>
    <s v="ORD10641"/>
    <x v="2"/>
    <x v="9"/>
    <n v="6"/>
    <s v="Q2"/>
    <x v="641"/>
    <d v="2027-06-29T00:00:00"/>
    <s v="C1641"/>
    <x v="641"/>
    <x v="1"/>
    <s v="India"/>
    <s v="West Bengal"/>
    <s v="Kolkata"/>
    <x v="3"/>
    <x v="0"/>
    <x v="0"/>
    <x v="169"/>
    <n v="21011.86"/>
    <n v="5"/>
    <x v="1"/>
    <s v="Medium"/>
    <n v="0.15764620552392791"/>
    <x v="641"/>
    <x v="1"/>
  </r>
  <r>
    <s v="ORD10642"/>
    <x v="2"/>
    <x v="9"/>
    <n v="6"/>
    <s v="Q2"/>
    <x v="642"/>
    <d v="2027-06-30T00:00:00"/>
    <s v="C1642"/>
    <x v="642"/>
    <x v="0"/>
    <s v="India"/>
    <s v="Karnataka"/>
    <s v="Bengaluru"/>
    <x v="1"/>
    <x v="0"/>
    <x v="5"/>
    <x v="16"/>
    <n v="2600.35"/>
    <n v="8"/>
    <x v="1"/>
    <s v="Low"/>
    <n v="0.13577403041898206"/>
    <x v="642"/>
    <x v="2"/>
  </r>
  <r>
    <s v="ORD10643"/>
    <x v="2"/>
    <x v="9"/>
    <n v="6"/>
    <s v="Q2"/>
    <x v="643"/>
    <d v="2027-07-01T00:00:00"/>
    <s v="C1643"/>
    <x v="643"/>
    <x v="1"/>
    <s v="India"/>
    <s v="Maharashtra"/>
    <s v="Mumbai"/>
    <x v="2"/>
    <x v="0"/>
    <x v="0"/>
    <x v="80"/>
    <n v="22215.77"/>
    <n v="5"/>
    <x v="1"/>
    <s v="Medium"/>
    <n v="0.15415265822431543"/>
    <x v="643"/>
    <x v="1"/>
  </r>
  <r>
    <s v="ORD10644"/>
    <x v="2"/>
    <x v="9"/>
    <n v="6"/>
    <s v="Q2"/>
    <x v="644"/>
    <d v="2027-07-02T00:00:00"/>
    <s v="C1644"/>
    <x v="644"/>
    <x v="2"/>
    <s v="India"/>
    <s v="Delhi"/>
    <s v="Delhi"/>
    <x v="0"/>
    <x v="1"/>
    <x v="3"/>
    <x v="174"/>
    <n v="14608.32"/>
    <n v="5"/>
    <x v="3"/>
    <s v="Medium"/>
    <n v="0.21300943571882325"/>
    <x v="644"/>
    <x v="2"/>
  </r>
  <r>
    <s v="ORD10645"/>
    <x v="2"/>
    <x v="9"/>
    <n v="6"/>
    <s v="Q2"/>
    <x v="645"/>
    <d v="2027-07-03T00:00:00"/>
    <s v="C1645"/>
    <x v="645"/>
    <x v="1"/>
    <s v="India"/>
    <s v="Karnataka"/>
    <s v="Bengaluru"/>
    <x v="1"/>
    <x v="0"/>
    <x v="7"/>
    <x v="89"/>
    <n v="8270.18"/>
    <n v="4"/>
    <x v="1"/>
    <s v="Low"/>
    <n v="7.9306617268306123E-2"/>
    <x v="645"/>
    <x v="0"/>
  </r>
  <r>
    <s v="ORD10646"/>
    <x v="2"/>
    <x v="9"/>
    <n v="6"/>
    <s v="Q2"/>
    <x v="646"/>
    <d v="2027-07-04T00:00:00"/>
    <s v="C1646"/>
    <x v="646"/>
    <x v="2"/>
    <s v="India"/>
    <s v="West Bengal"/>
    <s v="Kolkata"/>
    <x v="3"/>
    <x v="2"/>
    <x v="4"/>
    <x v="69"/>
    <n v="10279.19"/>
    <n v="6"/>
    <x v="2"/>
    <s v="Medium"/>
    <n v="0.28606826024229537"/>
    <x v="646"/>
    <x v="2"/>
  </r>
  <r>
    <s v="ORD10647"/>
    <x v="2"/>
    <x v="10"/>
    <n v="7"/>
    <s v="Q3"/>
    <x v="647"/>
    <d v="2027-07-05T00:00:00"/>
    <s v="C1647"/>
    <x v="647"/>
    <x v="0"/>
    <s v="India"/>
    <s v="Karnataka"/>
    <s v="Bengaluru"/>
    <x v="1"/>
    <x v="1"/>
    <x v="2"/>
    <x v="19"/>
    <n v="24329.77"/>
    <n v="7"/>
    <x v="2"/>
    <s v="Medium"/>
    <n v="0.10698004954424148"/>
    <x v="647"/>
    <x v="3"/>
  </r>
  <r>
    <s v="ORD10648"/>
    <x v="2"/>
    <x v="10"/>
    <n v="7"/>
    <s v="Q3"/>
    <x v="648"/>
    <d v="2027-07-06T00:00:00"/>
    <s v="C1648"/>
    <x v="648"/>
    <x v="0"/>
    <s v="India"/>
    <s v="Delhi"/>
    <s v="Delhi"/>
    <x v="0"/>
    <x v="1"/>
    <x v="1"/>
    <x v="139"/>
    <n v="29244.27"/>
    <n v="8"/>
    <x v="0"/>
    <s v="Medium"/>
    <n v="4.3871842244651689E-4"/>
    <x v="648"/>
    <x v="2"/>
  </r>
  <r>
    <s v="ORD10649"/>
    <x v="2"/>
    <x v="10"/>
    <n v="7"/>
    <s v="Q3"/>
    <x v="649"/>
    <d v="2027-07-07T00:00:00"/>
    <s v="C1649"/>
    <x v="649"/>
    <x v="1"/>
    <s v="India"/>
    <s v="Delhi"/>
    <s v="Delhi"/>
    <x v="0"/>
    <x v="0"/>
    <x v="7"/>
    <x v="79"/>
    <n v="15364.34"/>
    <n v="2"/>
    <x v="1"/>
    <s v="Medium"/>
    <n v="4.623628479973757E-2"/>
    <x v="649"/>
    <x v="2"/>
  </r>
  <r>
    <s v="ORD10650"/>
    <x v="2"/>
    <x v="10"/>
    <n v="7"/>
    <s v="Q3"/>
    <x v="650"/>
    <d v="2027-07-08T00:00:00"/>
    <s v="C1650"/>
    <x v="650"/>
    <x v="1"/>
    <s v="India"/>
    <s v="West Bengal"/>
    <s v="Kolkata"/>
    <x v="3"/>
    <x v="1"/>
    <x v="3"/>
    <x v="102"/>
    <n v="6168.35"/>
    <n v="3"/>
    <x v="2"/>
    <s v="Low"/>
    <n v="0.12626553292209425"/>
    <x v="650"/>
    <x v="3"/>
  </r>
  <r>
    <s v="ORD10651"/>
    <x v="2"/>
    <x v="10"/>
    <n v="7"/>
    <s v="Q3"/>
    <x v="651"/>
    <d v="2027-07-09T00:00:00"/>
    <s v="C1651"/>
    <x v="651"/>
    <x v="1"/>
    <s v="India"/>
    <s v="Delhi"/>
    <s v="Delhi"/>
    <x v="0"/>
    <x v="0"/>
    <x v="7"/>
    <x v="129"/>
    <n v="14552.7"/>
    <n v="7"/>
    <x v="0"/>
    <s v="Medium"/>
    <n v="-6.7891181705113143E-4"/>
    <x v="651"/>
    <x v="0"/>
  </r>
  <r>
    <s v="ORD10652"/>
    <x v="2"/>
    <x v="10"/>
    <n v="7"/>
    <s v="Q3"/>
    <x v="652"/>
    <d v="2027-07-10T00:00:00"/>
    <s v="C1652"/>
    <x v="652"/>
    <x v="2"/>
    <s v="India"/>
    <s v="Haryana"/>
    <s v="Gurugram"/>
    <x v="0"/>
    <x v="1"/>
    <x v="2"/>
    <x v="141"/>
    <n v="849.78"/>
    <n v="4"/>
    <x v="3"/>
    <s v="Low"/>
    <n v="0.20340558732848502"/>
    <x v="652"/>
    <x v="1"/>
  </r>
  <r>
    <s v="ORD10653"/>
    <x v="2"/>
    <x v="10"/>
    <n v="7"/>
    <s v="Q3"/>
    <x v="653"/>
    <d v="2027-07-11T00:00:00"/>
    <s v="C1653"/>
    <x v="653"/>
    <x v="2"/>
    <s v="India"/>
    <s v="West Bengal"/>
    <s v="Kolkata"/>
    <x v="3"/>
    <x v="2"/>
    <x v="6"/>
    <x v="63"/>
    <n v="31637.34"/>
    <n v="4"/>
    <x v="0"/>
    <s v="High"/>
    <n v="9.4183645021989837E-2"/>
    <x v="653"/>
    <x v="3"/>
  </r>
  <r>
    <s v="ORD10654"/>
    <x v="2"/>
    <x v="10"/>
    <n v="7"/>
    <s v="Q3"/>
    <x v="654"/>
    <d v="2027-07-12T00:00:00"/>
    <s v="C1654"/>
    <x v="654"/>
    <x v="0"/>
    <s v="India"/>
    <s v="Karnataka"/>
    <s v="Bengaluru"/>
    <x v="1"/>
    <x v="2"/>
    <x v="4"/>
    <x v="32"/>
    <n v="35744.910000000003"/>
    <n v="1"/>
    <x v="0"/>
    <s v="High"/>
    <n v="0.16975843553669598"/>
    <x v="654"/>
    <x v="2"/>
  </r>
  <r>
    <s v="ORD10655"/>
    <x v="2"/>
    <x v="10"/>
    <n v="7"/>
    <s v="Q3"/>
    <x v="655"/>
    <d v="2027-07-13T00:00:00"/>
    <s v="C1655"/>
    <x v="655"/>
    <x v="2"/>
    <s v="India"/>
    <s v="Haryana"/>
    <s v="Gurugram"/>
    <x v="0"/>
    <x v="1"/>
    <x v="2"/>
    <x v="140"/>
    <n v="25823.14"/>
    <n v="7"/>
    <x v="2"/>
    <s v="Medium"/>
    <n v="0.24429949262560635"/>
    <x v="655"/>
    <x v="2"/>
  </r>
  <r>
    <s v="ORD10656"/>
    <x v="2"/>
    <x v="10"/>
    <n v="7"/>
    <s v="Q3"/>
    <x v="656"/>
    <d v="2027-07-14T00:00:00"/>
    <s v="C1656"/>
    <x v="656"/>
    <x v="1"/>
    <s v="India"/>
    <s v="Haryana"/>
    <s v="Gurugram"/>
    <x v="0"/>
    <x v="0"/>
    <x v="5"/>
    <x v="113"/>
    <n v="39650.47"/>
    <n v="1"/>
    <x v="1"/>
    <s v="High"/>
    <n v="0.10721007846817453"/>
    <x v="656"/>
    <x v="1"/>
  </r>
  <r>
    <s v="ORD10657"/>
    <x v="2"/>
    <x v="10"/>
    <n v="7"/>
    <s v="Q3"/>
    <x v="657"/>
    <d v="2027-07-15T00:00:00"/>
    <s v="C1657"/>
    <x v="657"/>
    <x v="0"/>
    <s v="India"/>
    <s v="Haryana"/>
    <s v="Gurugram"/>
    <x v="0"/>
    <x v="0"/>
    <x v="0"/>
    <x v="105"/>
    <n v="16032.08"/>
    <n v="2"/>
    <x v="3"/>
    <s v="Medium"/>
    <n v="4.4904965544084109E-2"/>
    <x v="657"/>
    <x v="1"/>
  </r>
  <r>
    <s v="ORD10658"/>
    <x v="2"/>
    <x v="10"/>
    <n v="7"/>
    <s v="Q3"/>
    <x v="658"/>
    <d v="2027-07-16T00:00:00"/>
    <s v="C1658"/>
    <x v="658"/>
    <x v="0"/>
    <s v="India"/>
    <s v="Maharashtra"/>
    <s v="Mumbai"/>
    <x v="2"/>
    <x v="2"/>
    <x v="4"/>
    <x v="154"/>
    <n v="40352.639999999999"/>
    <n v="3"/>
    <x v="1"/>
    <s v="High"/>
    <n v="2.5946257791311794E-3"/>
    <x v="658"/>
    <x v="0"/>
  </r>
  <r>
    <s v="ORD10659"/>
    <x v="2"/>
    <x v="10"/>
    <n v="7"/>
    <s v="Q3"/>
    <x v="659"/>
    <d v="2027-07-17T00:00:00"/>
    <s v="C1659"/>
    <x v="659"/>
    <x v="1"/>
    <s v="India"/>
    <s v="Haryana"/>
    <s v="Gurugram"/>
    <x v="0"/>
    <x v="2"/>
    <x v="8"/>
    <x v="175"/>
    <n v="43349.32"/>
    <n v="4"/>
    <x v="2"/>
    <s v="High"/>
    <n v="0.13620951839613632"/>
    <x v="659"/>
    <x v="1"/>
  </r>
  <r>
    <s v="ORD10660"/>
    <x v="2"/>
    <x v="10"/>
    <n v="7"/>
    <s v="Q3"/>
    <x v="660"/>
    <d v="2027-07-18T00:00:00"/>
    <s v="C1660"/>
    <x v="660"/>
    <x v="0"/>
    <s v="India"/>
    <s v="Maharashtra"/>
    <s v="Mumbai"/>
    <x v="2"/>
    <x v="0"/>
    <x v="0"/>
    <x v="27"/>
    <n v="19781.82"/>
    <n v="6"/>
    <x v="2"/>
    <s v="Medium"/>
    <n v="0.2613788822262057"/>
    <x v="660"/>
    <x v="3"/>
  </r>
  <r>
    <s v="ORD10661"/>
    <x v="2"/>
    <x v="10"/>
    <n v="7"/>
    <s v="Q3"/>
    <x v="661"/>
    <d v="2027-07-19T00:00:00"/>
    <s v="C1661"/>
    <x v="661"/>
    <x v="2"/>
    <s v="India"/>
    <s v="Karnataka"/>
    <s v="Bengaluru"/>
    <x v="1"/>
    <x v="1"/>
    <x v="2"/>
    <x v="34"/>
    <n v="43950.54"/>
    <n v="5"/>
    <x v="0"/>
    <s v="High"/>
    <n v="9.9437458561373759E-2"/>
    <x v="661"/>
    <x v="2"/>
  </r>
  <r>
    <s v="ORD10662"/>
    <x v="2"/>
    <x v="10"/>
    <n v="7"/>
    <s v="Q3"/>
    <x v="662"/>
    <d v="2027-07-20T00:00:00"/>
    <s v="C1662"/>
    <x v="662"/>
    <x v="1"/>
    <s v="India"/>
    <s v="Karnataka"/>
    <s v="Bengaluru"/>
    <x v="1"/>
    <x v="1"/>
    <x v="2"/>
    <x v="166"/>
    <n v="18252.07"/>
    <n v="3"/>
    <x v="1"/>
    <s v="Medium"/>
    <n v="4.4192247783402102E-3"/>
    <x v="662"/>
    <x v="2"/>
  </r>
  <r>
    <s v="ORD10663"/>
    <x v="2"/>
    <x v="10"/>
    <n v="7"/>
    <s v="Q3"/>
    <x v="663"/>
    <d v="2027-07-21T00:00:00"/>
    <s v="C1663"/>
    <x v="663"/>
    <x v="0"/>
    <s v="India"/>
    <s v="Maharashtra"/>
    <s v="Mumbai"/>
    <x v="2"/>
    <x v="1"/>
    <x v="3"/>
    <x v="33"/>
    <n v="22826"/>
    <n v="4"/>
    <x v="3"/>
    <s v="Medium"/>
    <n v="0.19866774730570402"/>
    <x v="663"/>
    <x v="3"/>
  </r>
  <r>
    <s v="ORD10664"/>
    <x v="2"/>
    <x v="10"/>
    <n v="7"/>
    <s v="Q3"/>
    <x v="664"/>
    <d v="2027-07-22T00:00:00"/>
    <s v="C1664"/>
    <x v="664"/>
    <x v="0"/>
    <s v="India"/>
    <s v="Haryana"/>
    <s v="Gurugram"/>
    <x v="0"/>
    <x v="1"/>
    <x v="1"/>
    <x v="143"/>
    <n v="45241.56"/>
    <n v="5"/>
    <x v="2"/>
    <s v="High"/>
    <n v="0.15085686700458606"/>
    <x v="664"/>
    <x v="2"/>
  </r>
  <r>
    <s v="ORD10665"/>
    <x v="2"/>
    <x v="10"/>
    <n v="7"/>
    <s v="Q3"/>
    <x v="665"/>
    <d v="2027-07-23T00:00:00"/>
    <s v="C1665"/>
    <x v="665"/>
    <x v="1"/>
    <s v="India"/>
    <s v="Delhi"/>
    <s v="Delhi"/>
    <x v="0"/>
    <x v="0"/>
    <x v="0"/>
    <x v="91"/>
    <n v="34613.57"/>
    <n v="4"/>
    <x v="0"/>
    <s v="High"/>
    <n v="8.0292209096027942E-3"/>
    <x v="665"/>
    <x v="3"/>
  </r>
  <r>
    <s v="ORD10666"/>
    <x v="2"/>
    <x v="10"/>
    <n v="7"/>
    <s v="Q3"/>
    <x v="666"/>
    <d v="2027-07-24T00:00:00"/>
    <s v="C1666"/>
    <x v="666"/>
    <x v="0"/>
    <s v="India"/>
    <s v="Maharashtra"/>
    <s v="Mumbai"/>
    <x v="2"/>
    <x v="1"/>
    <x v="3"/>
    <x v="121"/>
    <n v="39437.26"/>
    <n v="6"/>
    <x v="0"/>
    <s v="High"/>
    <n v="0.16289798023493518"/>
    <x v="666"/>
    <x v="1"/>
  </r>
  <r>
    <s v="ORD10667"/>
    <x v="2"/>
    <x v="10"/>
    <n v="7"/>
    <s v="Q3"/>
    <x v="667"/>
    <d v="2027-07-25T00:00:00"/>
    <s v="C1667"/>
    <x v="667"/>
    <x v="2"/>
    <s v="India"/>
    <s v="Haryana"/>
    <s v="Gurugram"/>
    <x v="0"/>
    <x v="2"/>
    <x v="8"/>
    <x v="175"/>
    <n v="32281.18"/>
    <n v="6"/>
    <x v="0"/>
    <s v="High"/>
    <n v="0.2143069119530327"/>
    <x v="667"/>
    <x v="0"/>
  </r>
  <r>
    <s v="ORD10668"/>
    <x v="2"/>
    <x v="10"/>
    <n v="7"/>
    <s v="Q3"/>
    <x v="668"/>
    <d v="2027-07-26T00:00:00"/>
    <s v="C1668"/>
    <x v="668"/>
    <x v="2"/>
    <s v="India"/>
    <s v="Haryana"/>
    <s v="Gurugram"/>
    <x v="0"/>
    <x v="0"/>
    <x v="5"/>
    <x v="55"/>
    <n v="23087.26"/>
    <n v="1"/>
    <x v="2"/>
    <s v="Medium"/>
    <n v="0.25817182290146168"/>
    <x v="668"/>
    <x v="0"/>
  </r>
  <r>
    <s v="ORD10669"/>
    <x v="2"/>
    <x v="10"/>
    <n v="7"/>
    <s v="Q3"/>
    <x v="669"/>
    <d v="2027-07-27T00:00:00"/>
    <s v="C1669"/>
    <x v="669"/>
    <x v="1"/>
    <s v="India"/>
    <s v="Haryana"/>
    <s v="Gurugram"/>
    <x v="0"/>
    <x v="1"/>
    <x v="3"/>
    <x v="173"/>
    <n v="3843.7"/>
    <n v="8"/>
    <x v="0"/>
    <s v="Low"/>
    <n v="0.13457085620625961"/>
    <x v="669"/>
    <x v="1"/>
  </r>
  <r>
    <s v="ORD10670"/>
    <x v="2"/>
    <x v="10"/>
    <n v="7"/>
    <s v="Q3"/>
    <x v="670"/>
    <d v="2027-07-28T00:00:00"/>
    <s v="C1670"/>
    <x v="670"/>
    <x v="0"/>
    <s v="India"/>
    <s v="Maharashtra"/>
    <s v="Mumbai"/>
    <x v="2"/>
    <x v="1"/>
    <x v="1"/>
    <x v="48"/>
    <n v="38082.32"/>
    <n v="5"/>
    <x v="2"/>
    <s v="High"/>
    <n v="0.27412064180963763"/>
    <x v="670"/>
    <x v="1"/>
  </r>
  <r>
    <s v="ORD10671"/>
    <x v="2"/>
    <x v="10"/>
    <n v="7"/>
    <s v="Q3"/>
    <x v="671"/>
    <d v="2027-07-29T00:00:00"/>
    <s v="C1671"/>
    <x v="671"/>
    <x v="0"/>
    <s v="India"/>
    <s v="Maharashtra"/>
    <s v="Mumbai"/>
    <x v="2"/>
    <x v="2"/>
    <x v="8"/>
    <x v="130"/>
    <n v="41037.79"/>
    <n v="2"/>
    <x v="0"/>
    <s v="High"/>
    <n v="3.9012822084230167E-2"/>
    <x v="671"/>
    <x v="2"/>
  </r>
  <r>
    <s v="ORD10672"/>
    <x v="2"/>
    <x v="10"/>
    <n v="7"/>
    <s v="Q3"/>
    <x v="672"/>
    <d v="2027-07-30T00:00:00"/>
    <s v="C1672"/>
    <x v="672"/>
    <x v="0"/>
    <s v="India"/>
    <s v="Karnataka"/>
    <s v="Bengaluru"/>
    <x v="1"/>
    <x v="2"/>
    <x v="6"/>
    <x v="67"/>
    <n v="32828.51"/>
    <n v="6"/>
    <x v="0"/>
    <s v="High"/>
    <n v="5.4932739865440124E-2"/>
    <x v="672"/>
    <x v="0"/>
  </r>
  <r>
    <s v="ORD10673"/>
    <x v="2"/>
    <x v="10"/>
    <n v="7"/>
    <s v="Q3"/>
    <x v="673"/>
    <d v="2027-07-31T00:00:00"/>
    <s v="C1673"/>
    <x v="673"/>
    <x v="1"/>
    <s v="India"/>
    <s v="West Bengal"/>
    <s v="Kolkata"/>
    <x v="3"/>
    <x v="1"/>
    <x v="1"/>
    <x v="82"/>
    <n v="49311.64"/>
    <n v="5"/>
    <x v="2"/>
    <s v="High"/>
    <n v="0.20954261509047356"/>
    <x v="673"/>
    <x v="1"/>
  </r>
  <r>
    <s v="ORD10674"/>
    <x v="2"/>
    <x v="10"/>
    <n v="7"/>
    <s v="Q3"/>
    <x v="674"/>
    <d v="2027-08-01T00:00:00"/>
    <s v="C1674"/>
    <x v="674"/>
    <x v="1"/>
    <s v="India"/>
    <s v="Haryana"/>
    <s v="Gurugram"/>
    <x v="0"/>
    <x v="2"/>
    <x v="6"/>
    <x v="150"/>
    <n v="8508.93"/>
    <n v="6"/>
    <x v="2"/>
    <s v="Low"/>
    <n v="8.0600028440708765E-2"/>
    <x v="674"/>
    <x v="1"/>
  </r>
  <r>
    <s v="ORD10675"/>
    <x v="2"/>
    <x v="10"/>
    <n v="7"/>
    <s v="Q3"/>
    <x v="675"/>
    <d v="2027-08-02T00:00:00"/>
    <s v="C1675"/>
    <x v="675"/>
    <x v="0"/>
    <s v="India"/>
    <s v="Delhi"/>
    <s v="Delhi"/>
    <x v="0"/>
    <x v="2"/>
    <x v="8"/>
    <x v="74"/>
    <n v="43252.59"/>
    <n v="7"/>
    <x v="1"/>
    <s v="High"/>
    <n v="9.5130488139554201E-2"/>
    <x v="675"/>
    <x v="2"/>
  </r>
  <r>
    <s v="ORD10676"/>
    <x v="2"/>
    <x v="10"/>
    <n v="7"/>
    <s v="Q3"/>
    <x v="676"/>
    <d v="2027-08-03T00:00:00"/>
    <s v="C1676"/>
    <x v="676"/>
    <x v="0"/>
    <s v="India"/>
    <s v="West Bengal"/>
    <s v="Kolkata"/>
    <x v="3"/>
    <x v="2"/>
    <x v="6"/>
    <x v="93"/>
    <n v="47821.84"/>
    <n v="8"/>
    <x v="1"/>
    <s v="High"/>
    <n v="-2.9198165524371291E-2"/>
    <x v="676"/>
    <x v="3"/>
  </r>
  <r>
    <s v="ORD10677"/>
    <x v="2"/>
    <x v="10"/>
    <n v="7"/>
    <s v="Q3"/>
    <x v="677"/>
    <d v="2027-08-04T00:00:00"/>
    <s v="C1677"/>
    <x v="677"/>
    <x v="0"/>
    <s v="India"/>
    <s v="Delhi"/>
    <s v="Delhi"/>
    <x v="0"/>
    <x v="1"/>
    <x v="1"/>
    <x v="139"/>
    <n v="14420.41"/>
    <n v="1"/>
    <x v="2"/>
    <s v="Medium"/>
    <n v="5.8317343265552095E-2"/>
    <x v="677"/>
    <x v="3"/>
  </r>
  <r>
    <s v="ORD10678"/>
    <x v="2"/>
    <x v="11"/>
    <n v="8"/>
    <s v="Q3"/>
    <x v="678"/>
    <d v="2027-08-05T00:00:00"/>
    <s v="C1678"/>
    <x v="678"/>
    <x v="2"/>
    <s v="India"/>
    <s v="West Bengal"/>
    <s v="Kolkata"/>
    <x v="3"/>
    <x v="1"/>
    <x v="1"/>
    <x v="152"/>
    <n v="7365.17"/>
    <n v="8"/>
    <x v="3"/>
    <s v="Low"/>
    <n v="0.24033525363297792"/>
    <x v="678"/>
    <x v="0"/>
  </r>
  <r>
    <s v="ORD10679"/>
    <x v="2"/>
    <x v="11"/>
    <n v="8"/>
    <s v="Q3"/>
    <x v="679"/>
    <d v="2027-08-06T00:00:00"/>
    <s v="C1679"/>
    <x v="679"/>
    <x v="1"/>
    <s v="India"/>
    <s v="Haryana"/>
    <s v="Gurugram"/>
    <x v="0"/>
    <x v="1"/>
    <x v="2"/>
    <x v="70"/>
    <n v="11605.92"/>
    <n v="8"/>
    <x v="2"/>
    <s v="Medium"/>
    <n v="0.23796820932765347"/>
    <x v="679"/>
    <x v="3"/>
  </r>
  <r>
    <s v="ORD10680"/>
    <x v="2"/>
    <x v="11"/>
    <n v="8"/>
    <s v="Q3"/>
    <x v="680"/>
    <d v="2027-08-07T00:00:00"/>
    <s v="C1680"/>
    <x v="680"/>
    <x v="1"/>
    <s v="India"/>
    <s v="West Bengal"/>
    <s v="Kolkata"/>
    <x v="3"/>
    <x v="2"/>
    <x v="4"/>
    <x v="127"/>
    <n v="11264.68"/>
    <n v="3"/>
    <x v="1"/>
    <s v="Medium"/>
    <n v="-1.8828763888543661E-3"/>
    <x v="680"/>
    <x v="0"/>
  </r>
  <r>
    <s v="ORD10681"/>
    <x v="2"/>
    <x v="11"/>
    <n v="8"/>
    <s v="Q3"/>
    <x v="681"/>
    <d v="2027-08-08T00:00:00"/>
    <s v="C1681"/>
    <x v="681"/>
    <x v="2"/>
    <s v="India"/>
    <s v="Haryana"/>
    <s v="Gurugram"/>
    <x v="0"/>
    <x v="0"/>
    <x v="5"/>
    <x v="6"/>
    <n v="6310.05"/>
    <n v="1"/>
    <x v="3"/>
    <s v="Low"/>
    <n v="0.18884794890690249"/>
    <x v="681"/>
    <x v="3"/>
  </r>
  <r>
    <s v="ORD10682"/>
    <x v="2"/>
    <x v="11"/>
    <n v="8"/>
    <s v="Q3"/>
    <x v="682"/>
    <d v="2027-08-09T00:00:00"/>
    <s v="C1682"/>
    <x v="682"/>
    <x v="0"/>
    <s v="India"/>
    <s v="Maharashtra"/>
    <s v="Mumbai"/>
    <x v="2"/>
    <x v="1"/>
    <x v="3"/>
    <x v="173"/>
    <n v="49499.39"/>
    <n v="1"/>
    <x v="3"/>
    <s v="High"/>
    <n v="0.25489182795990012"/>
    <x v="682"/>
    <x v="2"/>
  </r>
  <r>
    <s v="ORD10683"/>
    <x v="2"/>
    <x v="11"/>
    <n v="8"/>
    <s v="Q3"/>
    <x v="683"/>
    <d v="2027-08-10T00:00:00"/>
    <s v="C1683"/>
    <x v="683"/>
    <x v="2"/>
    <s v="India"/>
    <s v="Maharashtra"/>
    <s v="Mumbai"/>
    <x v="2"/>
    <x v="1"/>
    <x v="2"/>
    <x v="13"/>
    <n v="45220.7"/>
    <n v="8"/>
    <x v="0"/>
    <s v="High"/>
    <n v="-7.5226610822035044E-3"/>
    <x v="683"/>
    <x v="2"/>
  </r>
  <r>
    <s v="ORD10684"/>
    <x v="2"/>
    <x v="11"/>
    <n v="8"/>
    <s v="Q3"/>
    <x v="684"/>
    <d v="2027-08-11T00:00:00"/>
    <s v="C1684"/>
    <x v="684"/>
    <x v="2"/>
    <s v="India"/>
    <s v="Delhi"/>
    <s v="Delhi"/>
    <x v="0"/>
    <x v="0"/>
    <x v="7"/>
    <x v="10"/>
    <n v="8430.3799999999992"/>
    <n v="8"/>
    <x v="1"/>
    <s v="Low"/>
    <n v="0.12619004125555433"/>
    <x v="684"/>
    <x v="2"/>
  </r>
  <r>
    <s v="ORD10685"/>
    <x v="2"/>
    <x v="11"/>
    <n v="8"/>
    <s v="Q3"/>
    <x v="685"/>
    <d v="2027-08-12T00:00:00"/>
    <s v="C1685"/>
    <x v="685"/>
    <x v="2"/>
    <s v="India"/>
    <s v="Haryana"/>
    <s v="Gurugram"/>
    <x v="0"/>
    <x v="2"/>
    <x v="6"/>
    <x v="71"/>
    <n v="22230.98"/>
    <n v="5"/>
    <x v="2"/>
    <s v="Medium"/>
    <n v="0.22336802066305667"/>
    <x v="685"/>
    <x v="1"/>
  </r>
  <r>
    <s v="ORD10686"/>
    <x v="2"/>
    <x v="11"/>
    <n v="8"/>
    <s v="Q3"/>
    <x v="686"/>
    <d v="2027-08-13T00:00:00"/>
    <s v="C1686"/>
    <x v="686"/>
    <x v="0"/>
    <s v="India"/>
    <s v="Delhi"/>
    <s v="Delhi"/>
    <x v="0"/>
    <x v="1"/>
    <x v="1"/>
    <x v="138"/>
    <n v="28142.07"/>
    <n v="7"/>
    <x v="2"/>
    <s v="Medium"/>
    <n v="0.16243972102976079"/>
    <x v="686"/>
    <x v="3"/>
  </r>
  <r>
    <s v="ORD10687"/>
    <x v="2"/>
    <x v="11"/>
    <n v="8"/>
    <s v="Q3"/>
    <x v="687"/>
    <d v="2027-08-14T00:00:00"/>
    <s v="C1687"/>
    <x v="687"/>
    <x v="1"/>
    <s v="India"/>
    <s v="Maharashtra"/>
    <s v="Mumbai"/>
    <x v="2"/>
    <x v="1"/>
    <x v="2"/>
    <x v="120"/>
    <n v="16521.509999999998"/>
    <n v="2"/>
    <x v="1"/>
    <s v="Medium"/>
    <n v="0.10658287287300013"/>
    <x v="687"/>
    <x v="2"/>
  </r>
  <r>
    <s v="ORD10688"/>
    <x v="2"/>
    <x v="11"/>
    <n v="8"/>
    <s v="Q3"/>
    <x v="688"/>
    <d v="2027-08-15T00:00:00"/>
    <s v="C1688"/>
    <x v="688"/>
    <x v="2"/>
    <s v="India"/>
    <s v="Delhi"/>
    <s v="Delhi"/>
    <x v="0"/>
    <x v="1"/>
    <x v="3"/>
    <x v="64"/>
    <n v="10752.15"/>
    <n v="4"/>
    <x v="3"/>
    <s v="Medium"/>
    <n v="0.10769194998209661"/>
    <x v="688"/>
    <x v="2"/>
  </r>
  <r>
    <s v="ORD10689"/>
    <x v="2"/>
    <x v="11"/>
    <n v="8"/>
    <s v="Q3"/>
    <x v="689"/>
    <d v="2027-08-16T00:00:00"/>
    <s v="C1689"/>
    <x v="689"/>
    <x v="1"/>
    <s v="India"/>
    <s v="Maharashtra"/>
    <s v="Mumbai"/>
    <x v="2"/>
    <x v="0"/>
    <x v="5"/>
    <x v="6"/>
    <n v="17626.849999999999"/>
    <n v="4"/>
    <x v="1"/>
    <s v="Medium"/>
    <n v="0.11198881252180623"/>
    <x v="689"/>
    <x v="0"/>
  </r>
  <r>
    <s v="ORD10690"/>
    <x v="2"/>
    <x v="11"/>
    <n v="8"/>
    <s v="Q3"/>
    <x v="690"/>
    <d v="2027-08-17T00:00:00"/>
    <s v="C1690"/>
    <x v="690"/>
    <x v="0"/>
    <s v="India"/>
    <s v="West Bengal"/>
    <s v="Kolkata"/>
    <x v="3"/>
    <x v="2"/>
    <x v="4"/>
    <x v="54"/>
    <n v="36093.620000000003"/>
    <n v="3"/>
    <x v="2"/>
    <s v="High"/>
    <n v="0.17537393035112575"/>
    <x v="690"/>
    <x v="2"/>
  </r>
  <r>
    <s v="ORD10691"/>
    <x v="2"/>
    <x v="11"/>
    <n v="8"/>
    <s v="Q3"/>
    <x v="691"/>
    <d v="2027-08-18T00:00:00"/>
    <s v="C1691"/>
    <x v="691"/>
    <x v="0"/>
    <s v="India"/>
    <s v="Karnataka"/>
    <s v="Bengaluru"/>
    <x v="1"/>
    <x v="0"/>
    <x v="7"/>
    <x v="14"/>
    <n v="32468.23"/>
    <n v="1"/>
    <x v="1"/>
    <s v="High"/>
    <n v="3.7000169088367306E-2"/>
    <x v="691"/>
    <x v="2"/>
  </r>
  <r>
    <s v="ORD10692"/>
    <x v="2"/>
    <x v="11"/>
    <n v="8"/>
    <s v="Q3"/>
    <x v="692"/>
    <d v="2027-08-19T00:00:00"/>
    <s v="C1692"/>
    <x v="692"/>
    <x v="1"/>
    <s v="India"/>
    <s v="Maharashtra"/>
    <s v="Mumbai"/>
    <x v="2"/>
    <x v="2"/>
    <x v="8"/>
    <x v="38"/>
    <n v="27697"/>
    <n v="6"/>
    <x v="1"/>
    <s v="Medium"/>
    <n v="-1.80138643174351E-2"/>
    <x v="692"/>
    <x v="1"/>
  </r>
  <r>
    <s v="ORD10693"/>
    <x v="2"/>
    <x v="11"/>
    <n v="8"/>
    <s v="Q3"/>
    <x v="693"/>
    <d v="2027-08-20T00:00:00"/>
    <s v="C1693"/>
    <x v="693"/>
    <x v="0"/>
    <s v="India"/>
    <s v="Delhi"/>
    <s v="Delhi"/>
    <x v="0"/>
    <x v="2"/>
    <x v="6"/>
    <x v="93"/>
    <n v="27834.48"/>
    <n v="1"/>
    <x v="0"/>
    <s v="Medium"/>
    <n v="0.21795916431706286"/>
    <x v="693"/>
    <x v="1"/>
  </r>
  <r>
    <s v="ORD10694"/>
    <x v="2"/>
    <x v="11"/>
    <n v="8"/>
    <s v="Q3"/>
    <x v="694"/>
    <d v="2027-08-21T00:00:00"/>
    <s v="C1694"/>
    <x v="694"/>
    <x v="0"/>
    <s v="India"/>
    <s v="Maharashtra"/>
    <s v="Mumbai"/>
    <x v="2"/>
    <x v="0"/>
    <x v="5"/>
    <x v="55"/>
    <n v="41012.6"/>
    <n v="5"/>
    <x v="0"/>
    <s v="High"/>
    <n v="0.15581699282659475"/>
    <x v="694"/>
    <x v="1"/>
  </r>
  <r>
    <s v="ORD10695"/>
    <x v="2"/>
    <x v="11"/>
    <n v="8"/>
    <s v="Q3"/>
    <x v="695"/>
    <d v="2027-08-22T00:00:00"/>
    <s v="C1695"/>
    <x v="695"/>
    <x v="0"/>
    <s v="India"/>
    <s v="Delhi"/>
    <s v="Delhi"/>
    <x v="0"/>
    <x v="2"/>
    <x v="8"/>
    <x v="46"/>
    <n v="3155.81"/>
    <n v="5"/>
    <x v="0"/>
    <s v="Low"/>
    <n v="4.1086123689322233E-2"/>
    <x v="695"/>
    <x v="2"/>
  </r>
  <r>
    <s v="ORD10696"/>
    <x v="2"/>
    <x v="11"/>
    <n v="8"/>
    <s v="Q3"/>
    <x v="696"/>
    <d v="2027-08-23T00:00:00"/>
    <s v="C1696"/>
    <x v="696"/>
    <x v="2"/>
    <s v="India"/>
    <s v="Karnataka"/>
    <s v="Bengaluru"/>
    <x v="1"/>
    <x v="1"/>
    <x v="1"/>
    <x v="135"/>
    <n v="15102.96"/>
    <n v="2"/>
    <x v="3"/>
    <s v="Medium"/>
    <n v="0.2527531027030463"/>
    <x v="696"/>
    <x v="1"/>
  </r>
  <r>
    <s v="ORD10697"/>
    <x v="2"/>
    <x v="11"/>
    <n v="8"/>
    <s v="Q3"/>
    <x v="697"/>
    <d v="2027-08-24T00:00:00"/>
    <s v="C1697"/>
    <x v="697"/>
    <x v="2"/>
    <s v="India"/>
    <s v="Maharashtra"/>
    <s v="Mumbai"/>
    <x v="2"/>
    <x v="1"/>
    <x v="3"/>
    <x v="64"/>
    <n v="11843.04"/>
    <n v="4"/>
    <x v="3"/>
    <s v="Medium"/>
    <n v="0.17551659033491401"/>
    <x v="697"/>
    <x v="2"/>
  </r>
  <r>
    <s v="ORD10698"/>
    <x v="2"/>
    <x v="11"/>
    <n v="8"/>
    <s v="Q3"/>
    <x v="698"/>
    <d v="2027-08-25T00:00:00"/>
    <s v="C1698"/>
    <x v="698"/>
    <x v="2"/>
    <s v="India"/>
    <s v="Delhi"/>
    <s v="Delhi"/>
    <x v="0"/>
    <x v="1"/>
    <x v="2"/>
    <x v="132"/>
    <n v="20854.669999999998"/>
    <n v="4"/>
    <x v="3"/>
    <s v="Medium"/>
    <n v="0.20016811582249922"/>
    <x v="698"/>
    <x v="2"/>
  </r>
  <r>
    <s v="ORD10699"/>
    <x v="2"/>
    <x v="11"/>
    <n v="8"/>
    <s v="Q3"/>
    <x v="699"/>
    <d v="2027-08-26T00:00:00"/>
    <s v="C1699"/>
    <x v="699"/>
    <x v="0"/>
    <s v="India"/>
    <s v="Delhi"/>
    <s v="Delhi"/>
    <x v="0"/>
    <x v="0"/>
    <x v="7"/>
    <x v="79"/>
    <n v="7350.49"/>
    <n v="3"/>
    <x v="0"/>
    <s v="Low"/>
    <n v="0.11976616524884737"/>
    <x v="699"/>
    <x v="1"/>
  </r>
  <r>
    <s v="ORD10700"/>
    <x v="2"/>
    <x v="11"/>
    <n v="8"/>
    <s v="Q3"/>
    <x v="700"/>
    <d v="2027-08-27T00:00:00"/>
    <s v="C1700"/>
    <x v="700"/>
    <x v="1"/>
    <s v="India"/>
    <s v="Delhi"/>
    <s v="Delhi"/>
    <x v="0"/>
    <x v="2"/>
    <x v="8"/>
    <x v="92"/>
    <n v="27377.27"/>
    <n v="8"/>
    <x v="2"/>
    <s v="Medium"/>
    <n v="0.26267155198454772"/>
    <x v="700"/>
    <x v="1"/>
  </r>
  <r>
    <s v="ORD10701"/>
    <x v="2"/>
    <x v="11"/>
    <n v="8"/>
    <s v="Q3"/>
    <x v="701"/>
    <d v="2027-08-28T00:00:00"/>
    <s v="C1701"/>
    <x v="701"/>
    <x v="1"/>
    <s v="India"/>
    <s v="Maharashtra"/>
    <s v="Mumbai"/>
    <x v="2"/>
    <x v="0"/>
    <x v="0"/>
    <x v="164"/>
    <n v="41820.03"/>
    <n v="3"/>
    <x v="1"/>
    <s v="High"/>
    <n v="1.8493052252712396E-2"/>
    <x v="701"/>
    <x v="1"/>
  </r>
  <r>
    <s v="ORD10702"/>
    <x v="2"/>
    <x v="11"/>
    <n v="8"/>
    <s v="Q3"/>
    <x v="702"/>
    <d v="2027-08-29T00:00:00"/>
    <s v="C1702"/>
    <x v="702"/>
    <x v="2"/>
    <s v="India"/>
    <s v="West Bengal"/>
    <s v="Kolkata"/>
    <x v="3"/>
    <x v="0"/>
    <x v="5"/>
    <x v="41"/>
    <n v="6025.3"/>
    <n v="4"/>
    <x v="3"/>
    <s v="Low"/>
    <n v="0.21564071498514595"/>
    <x v="702"/>
    <x v="0"/>
  </r>
  <r>
    <s v="ORD10703"/>
    <x v="2"/>
    <x v="11"/>
    <n v="8"/>
    <s v="Q3"/>
    <x v="703"/>
    <d v="2027-08-30T00:00:00"/>
    <s v="C1703"/>
    <x v="703"/>
    <x v="2"/>
    <s v="India"/>
    <s v="Karnataka"/>
    <s v="Bengaluru"/>
    <x v="1"/>
    <x v="0"/>
    <x v="0"/>
    <x v="176"/>
    <n v="5977.82"/>
    <n v="7"/>
    <x v="3"/>
    <s v="Low"/>
    <n v="0.20157515616060706"/>
    <x v="703"/>
    <x v="2"/>
  </r>
  <r>
    <s v="ORD10704"/>
    <x v="2"/>
    <x v="11"/>
    <n v="8"/>
    <s v="Q3"/>
    <x v="704"/>
    <d v="2027-08-31T00:00:00"/>
    <s v="C1704"/>
    <x v="704"/>
    <x v="0"/>
    <s v="India"/>
    <s v="West Bengal"/>
    <s v="Kolkata"/>
    <x v="3"/>
    <x v="0"/>
    <x v="5"/>
    <x v="39"/>
    <n v="28212.31"/>
    <n v="8"/>
    <x v="1"/>
    <s v="Medium"/>
    <n v="8.0834217403679451E-2"/>
    <x v="704"/>
    <x v="2"/>
  </r>
  <r>
    <s v="ORD10705"/>
    <x v="2"/>
    <x v="11"/>
    <n v="8"/>
    <s v="Q3"/>
    <x v="705"/>
    <d v="2027-09-01T00:00:00"/>
    <s v="C1705"/>
    <x v="705"/>
    <x v="0"/>
    <s v="India"/>
    <s v="Maharashtra"/>
    <s v="Mumbai"/>
    <x v="2"/>
    <x v="2"/>
    <x v="4"/>
    <x v="96"/>
    <n v="19561.509999999998"/>
    <n v="3"/>
    <x v="0"/>
    <s v="Medium"/>
    <n v="0.15748886461218997"/>
    <x v="705"/>
    <x v="0"/>
  </r>
  <r>
    <s v="ORD10706"/>
    <x v="2"/>
    <x v="11"/>
    <n v="8"/>
    <s v="Q3"/>
    <x v="706"/>
    <d v="2027-09-02T00:00:00"/>
    <s v="C1706"/>
    <x v="706"/>
    <x v="0"/>
    <s v="India"/>
    <s v="Haryana"/>
    <s v="Gurugram"/>
    <x v="0"/>
    <x v="1"/>
    <x v="2"/>
    <x v="13"/>
    <n v="14568.73"/>
    <n v="1"/>
    <x v="0"/>
    <s v="Medium"/>
    <n v="8.58530565121325E-2"/>
    <x v="706"/>
    <x v="2"/>
  </r>
  <r>
    <s v="ORD10707"/>
    <x v="2"/>
    <x v="11"/>
    <n v="8"/>
    <s v="Q3"/>
    <x v="707"/>
    <d v="2027-09-03T00:00:00"/>
    <s v="C1707"/>
    <x v="707"/>
    <x v="0"/>
    <s v="India"/>
    <s v="Karnataka"/>
    <s v="Bengaluru"/>
    <x v="1"/>
    <x v="0"/>
    <x v="7"/>
    <x v="10"/>
    <n v="11179.94"/>
    <n v="1"/>
    <x v="0"/>
    <s v="Medium"/>
    <n v="1.4289879909910069E-2"/>
    <x v="707"/>
    <x v="2"/>
  </r>
  <r>
    <s v="ORD10708"/>
    <x v="2"/>
    <x v="11"/>
    <n v="8"/>
    <s v="Q3"/>
    <x v="708"/>
    <d v="2027-09-04T00:00:00"/>
    <s v="C1708"/>
    <x v="708"/>
    <x v="0"/>
    <s v="India"/>
    <s v="Maharashtra"/>
    <s v="Mumbai"/>
    <x v="2"/>
    <x v="2"/>
    <x v="4"/>
    <x v="85"/>
    <n v="26075.81"/>
    <n v="5"/>
    <x v="3"/>
    <s v="Medium"/>
    <n v="0.14550995731292718"/>
    <x v="708"/>
    <x v="3"/>
  </r>
  <r>
    <s v="ORD10709"/>
    <x v="2"/>
    <x v="0"/>
    <n v="9"/>
    <s v="Q3"/>
    <x v="709"/>
    <d v="2027-09-05T00:00:00"/>
    <s v="C1709"/>
    <x v="709"/>
    <x v="1"/>
    <s v="India"/>
    <s v="Maharashtra"/>
    <s v="Mumbai"/>
    <x v="2"/>
    <x v="2"/>
    <x v="6"/>
    <x v="63"/>
    <n v="1920.51"/>
    <n v="2"/>
    <x v="2"/>
    <s v="Low"/>
    <n v="0.21998844057047348"/>
    <x v="709"/>
    <x v="2"/>
  </r>
  <r>
    <s v="ORD10710"/>
    <x v="2"/>
    <x v="0"/>
    <n v="9"/>
    <s v="Q3"/>
    <x v="710"/>
    <d v="2027-09-06T00:00:00"/>
    <s v="C1710"/>
    <x v="710"/>
    <x v="0"/>
    <s v="India"/>
    <s v="Karnataka"/>
    <s v="Bengaluru"/>
    <x v="1"/>
    <x v="1"/>
    <x v="3"/>
    <x v="64"/>
    <n v="45963.02"/>
    <n v="1"/>
    <x v="1"/>
    <s v="High"/>
    <n v="5.7921781466927114E-2"/>
    <x v="710"/>
    <x v="2"/>
  </r>
  <r>
    <s v="ORD10711"/>
    <x v="2"/>
    <x v="0"/>
    <n v="9"/>
    <s v="Q3"/>
    <x v="711"/>
    <d v="2027-09-07T00:00:00"/>
    <s v="C1711"/>
    <x v="711"/>
    <x v="2"/>
    <s v="India"/>
    <s v="Haryana"/>
    <s v="Gurugram"/>
    <x v="0"/>
    <x v="2"/>
    <x v="8"/>
    <x v="130"/>
    <n v="34067.43"/>
    <n v="7"/>
    <x v="1"/>
    <s v="High"/>
    <n v="-5.5912347952281692E-2"/>
    <x v="711"/>
    <x v="2"/>
  </r>
  <r>
    <s v="ORD10712"/>
    <x v="2"/>
    <x v="0"/>
    <n v="9"/>
    <s v="Q3"/>
    <x v="712"/>
    <d v="2027-09-08T00:00:00"/>
    <s v="C1712"/>
    <x v="712"/>
    <x v="0"/>
    <s v="India"/>
    <s v="Delhi"/>
    <s v="Delhi"/>
    <x v="0"/>
    <x v="2"/>
    <x v="6"/>
    <x v="108"/>
    <n v="25897.49"/>
    <n v="3"/>
    <x v="2"/>
    <s v="Medium"/>
    <n v="0.12655705244021717"/>
    <x v="712"/>
    <x v="2"/>
  </r>
  <r>
    <s v="ORD10713"/>
    <x v="2"/>
    <x v="0"/>
    <n v="9"/>
    <s v="Q3"/>
    <x v="713"/>
    <d v="2027-09-09T00:00:00"/>
    <s v="C1713"/>
    <x v="713"/>
    <x v="0"/>
    <s v="India"/>
    <s v="Delhi"/>
    <s v="Delhi"/>
    <x v="0"/>
    <x v="2"/>
    <x v="6"/>
    <x v="128"/>
    <n v="22299.42"/>
    <n v="7"/>
    <x v="0"/>
    <s v="Medium"/>
    <n v="0.18050110720368515"/>
    <x v="713"/>
    <x v="3"/>
  </r>
  <r>
    <s v="ORD10714"/>
    <x v="2"/>
    <x v="0"/>
    <n v="9"/>
    <s v="Q3"/>
    <x v="714"/>
    <d v="2027-09-10T00:00:00"/>
    <s v="C1714"/>
    <x v="714"/>
    <x v="1"/>
    <s v="India"/>
    <s v="Maharashtra"/>
    <s v="Mumbai"/>
    <x v="2"/>
    <x v="0"/>
    <x v="7"/>
    <x v="129"/>
    <n v="22165.4"/>
    <n v="6"/>
    <x v="3"/>
    <s v="Medium"/>
    <n v="4.8676766491919841E-2"/>
    <x v="714"/>
    <x v="1"/>
  </r>
  <r>
    <s v="ORD10715"/>
    <x v="2"/>
    <x v="0"/>
    <n v="9"/>
    <s v="Q3"/>
    <x v="715"/>
    <d v="2027-09-11T00:00:00"/>
    <s v="C1715"/>
    <x v="715"/>
    <x v="2"/>
    <s v="India"/>
    <s v="Maharashtra"/>
    <s v="Mumbai"/>
    <x v="2"/>
    <x v="2"/>
    <x v="8"/>
    <x v="114"/>
    <n v="37638.06"/>
    <n v="2"/>
    <x v="0"/>
    <s v="High"/>
    <n v="2.782343191971106E-2"/>
    <x v="715"/>
    <x v="3"/>
  </r>
  <r>
    <s v="ORD10716"/>
    <x v="2"/>
    <x v="0"/>
    <n v="9"/>
    <s v="Q3"/>
    <x v="716"/>
    <d v="2027-09-12T00:00:00"/>
    <s v="C1716"/>
    <x v="716"/>
    <x v="0"/>
    <s v="India"/>
    <s v="Haryana"/>
    <s v="Gurugram"/>
    <x v="0"/>
    <x v="1"/>
    <x v="2"/>
    <x v="28"/>
    <n v="14117.79"/>
    <n v="1"/>
    <x v="2"/>
    <s v="Medium"/>
    <n v="0.12328841837143065"/>
    <x v="716"/>
    <x v="2"/>
  </r>
  <r>
    <s v="ORD10717"/>
    <x v="2"/>
    <x v="0"/>
    <n v="9"/>
    <s v="Q3"/>
    <x v="717"/>
    <d v="2027-09-13T00:00:00"/>
    <s v="C1717"/>
    <x v="717"/>
    <x v="2"/>
    <s v="India"/>
    <s v="Delhi"/>
    <s v="Delhi"/>
    <x v="0"/>
    <x v="0"/>
    <x v="5"/>
    <x v="113"/>
    <n v="23181.85"/>
    <n v="7"/>
    <x v="0"/>
    <s v="Medium"/>
    <n v="0.19259550035911718"/>
    <x v="717"/>
    <x v="1"/>
  </r>
  <r>
    <s v="ORD10718"/>
    <x v="2"/>
    <x v="0"/>
    <n v="9"/>
    <s v="Q3"/>
    <x v="718"/>
    <d v="2027-09-14T00:00:00"/>
    <s v="C1718"/>
    <x v="718"/>
    <x v="1"/>
    <s v="India"/>
    <s v="West Bengal"/>
    <s v="Kolkata"/>
    <x v="3"/>
    <x v="0"/>
    <x v="7"/>
    <x v="40"/>
    <n v="10240.35"/>
    <n v="1"/>
    <x v="0"/>
    <s v="Medium"/>
    <n v="0.1037864916726479"/>
    <x v="718"/>
    <x v="1"/>
  </r>
  <r>
    <s v="ORD10719"/>
    <x v="2"/>
    <x v="0"/>
    <n v="9"/>
    <s v="Q3"/>
    <x v="719"/>
    <d v="2027-09-15T00:00:00"/>
    <s v="C1719"/>
    <x v="719"/>
    <x v="2"/>
    <s v="India"/>
    <s v="Delhi"/>
    <s v="Delhi"/>
    <x v="0"/>
    <x v="2"/>
    <x v="4"/>
    <x v="148"/>
    <n v="1639.64"/>
    <n v="8"/>
    <x v="0"/>
    <s v="Low"/>
    <n v="6.626454587592398E-2"/>
    <x v="719"/>
    <x v="1"/>
  </r>
  <r>
    <s v="ORD10720"/>
    <x v="2"/>
    <x v="0"/>
    <n v="9"/>
    <s v="Q3"/>
    <x v="720"/>
    <d v="2027-09-16T00:00:00"/>
    <s v="C1720"/>
    <x v="720"/>
    <x v="0"/>
    <s v="India"/>
    <s v="Haryana"/>
    <s v="Gurugram"/>
    <x v="0"/>
    <x v="0"/>
    <x v="5"/>
    <x v="142"/>
    <n v="12777.85"/>
    <n v="6"/>
    <x v="3"/>
    <s v="Medium"/>
    <n v="2.2391090832964859E-2"/>
    <x v="720"/>
    <x v="3"/>
  </r>
  <r>
    <s v="ORD10721"/>
    <x v="2"/>
    <x v="0"/>
    <n v="9"/>
    <s v="Q3"/>
    <x v="721"/>
    <d v="2027-09-17T00:00:00"/>
    <s v="C1721"/>
    <x v="721"/>
    <x v="2"/>
    <s v="India"/>
    <s v="Karnataka"/>
    <s v="Bengaluru"/>
    <x v="1"/>
    <x v="2"/>
    <x v="6"/>
    <x v="63"/>
    <n v="18279.34"/>
    <n v="5"/>
    <x v="1"/>
    <s v="Medium"/>
    <n v="-3.3793342648038717E-2"/>
    <x v="721"/>
    <x v="2"/>
  </r>
  <r>
    <s v="ORD10722"/>
    <x v="2"/>
    <x v="0"/>
    <n v="9"/>
    <s v="Q3"/>
    <x v="722"/>
    <d v="2027-09-18T00:00:00"/>
    <s v="C1722"/>
    <x v="722"/>
    <x v="1"/>
    <s v="India"/>
    <s v="Maharashtra"/>
    <s v="Mumbai"/>
    <x v="2"/>
    <x v="0"/>
    <x v="7"/>
    <x v="99"/>
    <n v="17478.88"/>
    <n v="4"/>
    <x v="0"/>
    <s v="Medium"/>
    <n v="0.1087226412676327"/>
    <x v="722"/>
    <x v="1"/>
  </r>
  <r>
    <s v="ORD10723"/>
    <x v="2"/>
    <x v="0"/>
    <n v="9"/>
    <s v="Q3"/>
    <x v="723"/>
    <d v="2027-09-19T00:00:00"/>
    <s v="C1723"/>
    <x v="723"/>
    <x v="0"/>
    <s v="India"/>
    <s v="Karnataka"/>
    <s v="Bengaluru"/>
    <x v="1"/>
    <x v="2"/>
    <x v="6"/>
    <x v="134"/>
    <n v="37778.339999999997"/>
    <n v="4"/>
    <x v="0"/>
    <s v="High"/>
    <n v="-8.4815796564909965E-3"/>
    <x v="723"/>
    <x v="0"/>
  </r>
  <r>
    <s v="ORD10724"/>
    <x v="2"/>
    <x v="0"/>
    <n v="9"/>
    <s v="Q3"/>
    <x v="724"/>
    <d v="2027-09-20T00:00:00"/>
    <s v="C1724"/>
    <x v="724"/>
    <x v="0"/>
    <s v="India"/>
    <s v="Delhi"/>
    <s v="Delhi"/>
    <x v="0"/>
    <x v="1"/>
    <x v="1"/>
    <x v="60"/>
    <n v="6086.69"/>
    <n v="5"/>
    <x v="1"/>
    <s v="Low"/>
    <n v="-7.1960293690002291E-4"/>
    <x v="724"/>
    <x v="3"/>
  </r>
  <r>
    <s v="ORD10725"/>
    <x v="2"/>
    <x v="0"/>
    <n v="9"/>
    <s v="Q3"/>
    <x v="725"/>
    <d v="2027-09-21T00:00:00"/>
    <s v="C1725"/>
    <x v="725"/>
    <x v="2"/>
    <s v="India"/>
    <s v="Delhi"/>
    <s v="Delhi"/>
    <x v="0"/>
    <x v="2"/>
    <x v="8"/>
    <x v="168"/>
    <n v="47459.25"/>
    <n v="5"/>
    <x v="0"/>
    <s v="High"/>
    <n v="3.9621148669648172E-2"/>
    <x v="725"/>
    <x v="3"/>
  </r>
  <r>
    <s v="ORD10726"/>
    <x v="2"/>
    <x v="0"/>
    <n v="9"/>
    <s v="Q3"/>
    <x v="726"/>
    <d v="2027-09-22T00:00:00"/>
    <s v="C1726"/>
    <x v="726"/>
    <x v="0"/>
    <s v="India"/>
    <s v="Haryana"/>
    <s v="Gurugram"/>
    <x v="0"/>
    <x v="2"/>
    <x v="4"/>
    <x v="54"/>
    <n v="48269.11"/>
    <n v="3"/>
    <x v="3"/>
    <s v="High"/>
    <n v="8.7272792061009616E-2"/>
    <x v="726"/>
    <x v="2"/>
  </r>
  <r>
    <s v="ORD10727"/>
    <x v="2"/>
    <x v="0"/>
    <n v="9"/>
    <s v="Q3"/>
    <x v="727"/>
    <d v="2027-09-23T00:00:00"/>
    <s v="C1727"/>
    <x v="727"/>
    <x v="1"/>
    <s v="India"/>
    <s v="Haryana"/>
    <s v="Gurugram"/>
    <x v="0"/>
    <x v="1"/>
    <x v="1"/>
    <x v="153"/>
    <n v="10885.14"/>
    <n v="4"/>
    <x v="3"/>
    <s v="Medium"/>
    <n v="0.17307999713370706"/>
    <x v="727"/>
    <x v="1"/>
  </r>
  <r>
    <s v="ORD10728"/>
    <x v="2"/>
    <x v="0"/>
    <n v="9"/>
    <s v="Q3"/>
    <x v="728"/>
    <d v="2027-09-24T00:00:00"/>
    <s v="C1728"/>
    <x v="728"/>
    <x v="0"/>
    <s v="India"/>
    <s v="Delhi"/>
    <s v="Delhi"/>
    <x v="0"/>
    <x v="1"/>
    <x v="3"/>
    <x v="107"/>
    <n v="15986.42"/>
    <n v="3"/>
    <x v="1"/>
    <s v="Medium"/>
    <n v="3.6700524570228987E-2"/>
    <x v="728"/>
    <x v="1"/>
  </r>
  <r>
    <s v="ORD10729"/>
    <x v="2"/>
    <x v="0"/>
    <n v="9"/>
    <s v="Q3"/>
    <x v="729"/>
    <d v="2027-09-25T00:00:00"/>
    <s v="C1729"/>
    <x v="729"/>
    <x v="0"/>
    <s v="India"/>
    <s v="Delhi"/>
    <s v="Delhi"/>
    <x v="0"/>
    <x v="0"/>
    <x v="0"/>
    <x v="131"/>
    <n v="17291.3"/>
    <n v="6"/>
    <x v="2"/>
    <s v="Medium"/>
    <n v="0.16472156518017733"/>
    <x v="729"/>
    <x v="2"/>
  </r>
  <r>
    <s v="ORD10730"/>
    <x v="2"/>
    <x v="0"/>
    <n v="9"/>
    <s v="Q3"/>
    <x v="730"/>
    <d v="2027-09-26T00:00:00"/>
    <s v="C1730"/>
    <x v="730"/>
    <x v="2"/>
    <s v="India"/>
    <s v="West Bengal"/>
    <s v="Kolkata"/>
    <x v="3"/>
    <x v="2"/>
    <x v="6"/>
    <x v="149"/>
    <n v="1140.05"/>
    <n v="2"/>
    <x v="2"/>
    <s v="Low"/>
    <n v="0.10662690232884524"/>
    <x v="730"/>
    <x v="0"/>
  </r>
  <r>
    <s v="ORD10731"/>
    <x v="2"/>
    <x v="0"/>
    <n v="9"/>
    <s v="Q3"/>
    <x v="731"/>
    <d v="2027-09-27T00:00:00"/>
    <s v="C1731"/>
    <x v="731"/>
    <x v="1"/>
    <s v="India"/>
    <s v="Karnataka"/>
    <s v="Bengaluru"/>
    <x v="1"/>
    <x v="2"/>
    <x v="4"/>
    <x v="50"/>
    <n v="34954.29"/>
    <n v="6"/>
    <x v="0"/>
    <s v="High"/>
    <n v="0.17821303193399152"/>
    <x v="731"/>
    <x v="3"/>
  </r>
  <r>
    <s v="ORD10732"/>
    <x v="2"/>
    <x v="0"/>
    <n v="9"/>
    <s v="Q3"/>
    <x v="732"/>
    <d v="2027-09-28T00:00:00"/>
    <s v="C1732"/>
    <x v="732"/>
    <x v="1"/>
    <s v="India"/>
    <s v="Maharashtra"/>
    <s v="Mumbai"/>
    <x v="2"/>
    <x v="2"/>
    <x v="4"/>
    <x v="50"/>
    <n v="40727.82"/>
    <n v="1"/>
    <x v="2"/>
    <s v="High"/>
    <n v="8.7461347059577463E-2"/>
    <x v="732"/>
    <x v="3"/>
  </r>
  <r>
    <s v="ORD10733"/>
    <x v="2"/>
    <x v="0"/>
    <n v="9"/>
    <s v="Q3"/>
    <x v="733"/>
    <d v="2027-09-29T00:00:00"/>
    <s v="C1733"/>
    <x v="733"/>
    <x v="2"/>
    <s v="India"/>
    <s v="Delhi"/>
    <s v="Delhi"/>
    <x v="0"/>
    <x v="2"/>
    <x v="6"/>
    <x v="45"/>
    <n v="11781.25"/>
    <n v="4"/>
    <x v="1"/>
    <s v="Medium"/>
    <n v="-6.0951087533156499E-2"/>
    <x v="733"/>
    <x v="3"/>
  </r>
  <r>
    <s v="ORD10734"/>
    <x v="2"/>
    <x v="0"/>
    <n v="9"/>
    <s v="Q3"/>
    <x v="734"/>
    <d v="2027-09-30T00:00:00"/>
    <s v="C1734"/>
    <x v="734"/>
    <x v="1"/>
    <s v="India"/>
    <s v="Haryana"/>
    <s v="Gurugram"/>
    <x v="0"/>
    <x v="2"/>
    <x v="8"/>
    <x v="123"/>
    <n v="25308"/>
    <n v="6"/>
    <x v="3"/>
    <s v="Medium"/>
    <n v="0.17957444286391655"/>
    <x v="734"/>
    <x v="1"/>
  </r>
  <r>
    <s v="ORD10735"/>
    <x v="2"/>
    <x v="0"/>
    <n v="9"/>
    <s v="Q3"/>
    <x v="735"/>
    <d v="2027-10-01T00:00:00"/>
    <s v="C1735"/>
    <x v="735"/>
    <x v="1"/>
    <s v="India"/>
    <s v="Delhi"/>
    <s v="Delhi"/>
    <x v="0"/>
    <x v="0"/>
    <x v="5"/>
    <x v="158"/>
    <n v="8487.52"/>
    <n v="2"/>
    <x v="0"/>
    <s v="Low"/>
    <n v="0.12241149358116388"/>
    <x v="735"/>
    <x v="2"/>
  </r>
  <r>
    <s v="ORD10736"/>
    <x v="2"/>
    <x v="0"/>
    <n v="9"/>
    <s v="Q3"/>
    <x v="736"/>
    <d v="2027-10-02T00:00:00"/>
    <s v="C1736"/>
    <x v="736"/>
    <x v="2"/>
    <s v="India"/>
    <s v="Karnataka"/>
    <s v="Bengaluru"/>
    <x v="1"/>
    <x v="2"/>
    <x v="8"/>
    <x v="46"/>
    <n v="24077.21"/>
    <n v="7"/>
    <x v="2"/>
    <s v="Medium"/>
    <n v="0.15290392865286304"/>
    <x v="736"/>
    <x v="3"/>
  </r>
  <r>
    <s v="ORD10737"/>
    <x v="2"/>
    <x v="0"/>
    <n v="9"/>
    <s v="Q3"/>
    <x v="737"/>
    <d v="2027-10-03T00:00:00"/>
    <s v="C1737"/>
    <x v="737"/>
    <x v="2"/>
    <s v="India"/>
    <s v="Maharashtra"/>
    <s v="Mumbai"/>
    <x v="2"/>
    <x v="0"/>
    <x v="5"/>
    <x v="142"/>
    <n v="5689.55"/>
    <n v="5"/>
    <x v="0"/>
    <s v="Low"/>
    <n v="0.10051937323689922"/>
    <x v="737"/>
    <x v="3"/>
  </r>
  <r>
    <s v="ORD10738"/>
    <x v="2"/>
    <x v="0"/>
    <n v="9"/>
    <s v="Q3"/>
    <x v="738"/>
    <d v="2027-10-04T00:00:00"/>
    <s v="C1738"/>
    <x v="738"/>
    <x v="1"/>
    <s v="India"/>
    <s v="Maharashtra"/>
    <s v="Mumbai"/>
    <x v="2"/>
    <x v="2"/>
    <x v="6"/>
    <x v="134"/>
    <n v="22014.06"/>
    <n v="3"/>
    <x v="2"/>
    <s v="Medium"/>
    <n v="8.5134227852563318E-2"/>
    <x v="738"/>
    <x v="3"/>
  </r>
  <r>
    <s v="ORD10739"/>
    <x v="2"/>
    <x v="1"/>
    <n v="10"/>
    <s v="Q4"/>
    <x v="739"/>
    <d v="2027-10-05T00:00:00"/>
    <s v="C1739"/>
    <x v="739"/>
    <x v="0"/>
    <s v="India"/>
    <s v="Karnataka"/>
    <s v="Bengaluru"/>
    <x v="1"/>
    <x v="0"/>
    <x v="0"/>
    <x v="80"/>
    <n v="43791.13"/>
    <n v="2"/>
    <x v="3"/>
    <s v="High"/>
    <n v="0.20030723116759036"/>
    <x v="739"/>
    <x v="3"/>
  </r>
  <r>
    <s v="ORD10740"/>
    <x v="2"/>
    <x v="1"/>
    <n v="10"/>
    <s v="Q4"/>
    <x v="740"/>
    <d v="2027-10-06T00:00:00"/>
    <s v="C1740"/>
    <x v="740"/>
    <x v="1"/>
    <s v="India"/>
    <s v="Karnataka"/>
    <s v="Bengaluru"/>
    <x v="1"/>
    <x v="0"/>
    <x v="5"/>
    <x v="6"/>
    <n v="15285.23"/>
    <n v="8"/>
    <x v="3"/>
    <s v="Medium"/>
    <n v="4.6166789770255338E-2"/>
    <x v="740"/>
    <x v="2"/>
  </r>
  <r>
    <s v="ORD10741"/>
    <x v="2"/>
    <x v="1"/>
    <n v="10"/>
    <s v="Q4"/>
    <x v="741"/>
    <d v="2027-10-07T00:00:00"/>
    <s v="C1741"/>
    <x v="741"/>
    <x v="0"/>
    <s v="India"/>
    <s v="Haryana"/>
    <s v="Gurugram"/>
    <x v="0"/>
    <x v="1"/>
    <x v="2"/>
    <x v="132"/>
    <n v="29937.43"/>
    <n v="3"/>
    <x v="3"/>
    <s v="Medium"/>
    <n v="0.10675732686473087"/>
    <x v="741"/>
    <x v="1"/>
  </r>
  <r>
    <s v="ORD10742"/>
    <x v="2"/>
    <x v="1"/>
    <n v="10"/>
    <s v="Q4"/>
    <x v="742"/>
    <d v="2027-10-08T00:00:00"/>
    <s v="C1742"/>
    <x v="742"/>
    <x v="2"/>
    <s v="India"/>
    <s v="Delhi"/>
    <s v="Delhi"/>
    <x v="0"/>
    <x v="2"/>
    <x v="8"/>
    <x v="92"/>
    <n v="36638.980000000003"/>
    <n v="6"/>
    <x v="2"/>
    <s v="High"/>
    <n v="0.10247310378181924"/>
    <x v="742"/>
    <x v="2"/>
  </r>
  <r>
    <s v="ORD10743"/>
    <x v="2"/>
    <x v="1"/>
    <n v="10"/>
    <s v="Q4"/>
    <x v="743"/>
    <d v="2027-10-09T00:00:00"/>
    <s v="C1743"/>
    <x v="743"/>
    <x v="1"/>
    <s v="India"/>
    <s v="West Bengal"/>
    <s v="Kolkata"/>
    <x v="3"/>
    <x v="2"/>
    <x v="8"/>
    <x v="46"/>
    <n v="43882.69"/>
    <n v="4"/>
    <x v="3"/>
    <s v="High"/>
    <n v="0.159199903196454"/>
    <x v="743"/>
    <x v="1"/>
  </r>
  <r>
    <s v="ORD10744"/>
    <x v="2"/>
    <x v="1"/>
    <n v="10"/>
    <s v="Q4"/>
    <x v="744"/>
    <d v="2027-10-10T00:00:00"/>
    <s v="C1744"/>
    <x v="744"/>
    <x v="2"/>
    <s v="India"/>
    <s v="West Bengal"/>
    <s v="Kolkata"/>
    <x v="3"/>
    <x v="0"/>
    <x v="5"/>
    <x v="163"/>
    <n v="4959.8100000000004"/>
    <n v="3"/>
    <x v="1"/>
    <s v="Low"/>
    <n v="4.1727404880428885E-2"/>
    <x v="744"/>
    <x v="0"/>
  </r>
  <r>
    <s v="ORD10745"/>
    <x v="2"/>
    <x v="1"/>
    <n v="10"/>
    <s v="Q4"/>
    <x v="745"/>
    <d v="2027-10-11T00:00:00"/>
    <s v="C1745"/>
    <x v="745"/>
    <x v="2"/>
    <s v="India"/>
    <s v="West Bengal"/>
    <s v="Kolkata"/>
    <x v="3"/>
    <x v="2"/>
    <x v="4"/>
    <x v="137"/>
    <n v="6699.64"/>
    <n v="5"/>
    <x v="0"/>
    <s v="Low"/>
    <n v="0.15074242795135259"/>
    <x v="745"/>
    <x v="1"/>
  </r>
  <r>
    <s v="ORD10746"/>
    <x v="2"/>
    <x v="1"/>
    <n v="10"/>
    <s v="Q4"/>
    <x v="746"/>
    <d v="2027-10-12T00:00:00"/>
    <s v="C1746"/>
    <x v="746"/>
    <x v="1"/>
    <s v="India"/>
    <s v="Karnataka"/>
    <s v="Bengaluru"/>
    <x v="1"/>
    <x v="2"/>
    <x v="6"/>
    <x v="150"/>
    <n v="44494.39"/>
    <n v="7"/>
    <x v="1"/>
    <s v="High"/>
    <n v="0.15204074041693796"/>
    <x v="746"/>
    <x v="0"/>
  </r>
  <r>
    <s v="ORD10747"/>
    <x v="2"/>
    <x v="1"/>
    <n v="10"/>
    <s v="Q4"/>
    <x v="747"/>
    <d v="2027-10-13T00:00:00"/>
    <s v="C1747"/>
    <x v="747"/>
    <x v="2"/>
    <s v="India"/>
    <s v="West Bengal"/>
    <s v="Kolkata"/>
    <x v="3"/>
    <x v="0"/>
    <x v="7"/>
    <x v="10"/>
    <n v="3503.59"/>
    <n v="7"/>
    <x v="0"/>
    <s v="Low"/>
    <n v="0.14274215875716051"/>
    <x v="747"/>
    <x v="2"/>
  </r>
  <r>
    <s v="ORD10748"/>
    <x v="2"/>
    <x v="1"/>
    <n v="10"/>
    <s v="Q4"/>
    <x v="748"/>
    <d v="2027-10-14T00:00:00"/>
    <s v="C1748"/>
    <x v="748"/>
    <x v="2"/>
    <s v="India"/>
    <s v="Haryana"/>
    <s v="Gurugram"/>
    <x v="0"/>
    <x v="2"/>
    <x v="6"/>
    <x v="67"/>
    <n v="30036.29"/>
    <n v="4"/>
    <x v="0"/>
    <s v="High"/>
    <n v="0.19347828909628983"/>
    <x v="748"/>
    <x v="0"/>
  </r>
  <r>
    <s v="ORD10749"/>
    <x v="2"/>
    <x v="1"/>
    <n v="10"/>
    <s v="Q4"/>
    <x v="749"/>
    <d v="2027-10-15T00:00:00"/>
    <s v="C1749"/>
    <x v="749"/>
    <x v="0"/>
    <s v="India"/>
    <s v="West Bengal"/>
    <s v="Kolkata"/>
    <x v="3"/>
    <x v="1"/>
    <x v="1"/>
    <x v="145"/>
    <n v="40204.94"/>
    <n v="4"/>
    <x v="3"/>
    <s v="High"/>
    <n v="7.0750509763228095E-2"/>
    <x v="749"/>
    <x v="3"/>
  </r>
  <r>
    <s v="ORD10750"/>
    <x v="2"/>
    <x v="1"/>
    <n v="10"/>
    <s v="Q4"/>
    <x v="750"/>
    <d v="2027-10-16T00:00:00"/>
    <s v="C1750"/>
    <x v="750"/>
    <x v="2"/>
    <s v="India"/>
    <s v="West Bengal"/>
    <s v="Kolkata"/>
    <x v="3"/>
    <x v="2"/>
    <x v="8"/>
    <x v="74"/>
    <n v="3535.89"/>
    <n v="6"/>
    <x v="2"/>
    <s v="Low"/>
    <n v="0.28503714764882393"/>
    <x v="750"/>
    <x v="3"/>
  </r>
  <r>
    <s v="ORD10751"/>
    <x v="2"/>
    <x v="1"/>
    <n v="10"/>
    <s v="Q4"/>
    <x v="751"/>
    <d v="2027-10-17T00:00:00"/>
    <s v="C1751"/>
    <x v="751"/>
    <x v="1"/>
    <s v="India"/>
    <s v="Haryana"/>
    <s v="Gurugram"/>
    <x v="0"/>
    <x v="2"/>
    <x v="6"/>
    <x v="134"/>
    <n v="14365.96"/>
    <n v="2"/>
    <x v="1"/>
    <s v="Medium"/>
    <n v="2.7632681700352782E-2"/>
    <x v="751"/>
    <x v="3"/>
  </r>
  <r>
    <s v="ORD10752"/>
    <x v="2"/>
    <x v="1"/>
    <n v="10"/>
    <s v="Q4"/>
    <x v="752"/>
    <d v="2027-10-18T00:00:00"/>
    <s v="C1752"/>
    <x v="752"/>
    <x v="0"/>
    <s v="India"/>
    <s v="West Bengal"/>
    <s v="Kolkata"/>
    <x v="3"/>
    <x v="1"/>
    <x v="1"/>
    <x v="103"/>
    <n v="42052.58"/>
    <n v="5"/>
    <x v="2"/>
    <s v="High"/>
    <n v="0.21621051550225928"/>
    <x v="752"/>
    <x v="2"/>
  </r>
  <r>
    <s v="ORD10753"/>
    <x v="2"/>
    <x v="1"/>
    <n v="10"/>
    <s v="Q4"/>
    <x v="753"/>
    <d v="2027-10-19T00:00:00"/>
    <s v="C1753"/>
    <x v="753"/>
    <x v="0"/>
    <s v="India"/>
    <s v="Haryana"/>
    <s v="Gurugram"/>
    <x v="0"/>
    <x v="0"/>
    <x v="7"/>
    <x v="129"/>
    <n v="34428.76"/>
    <n v="2"/>
    <x v="1"/>
    <s v="High"/>
    <n v="-6.1909287467803081E-2"/>
    <x v="753"/>
    <x v="1"/>
  </r>
  <r>
    <s v="ORD10754"/>
    <x v="2"/>
    <x v="1"/>
    <n v="10"/>
    <s v="Q4"/>
    <x v="754"/>
    <d v="2027-10-20T00:00:00"/>
    <s v="C1754"/>
    <x v="754"/>
    <x v="1"/>
    <s v="India"/>
    <s v="Maharashtra"/>
    <s v="Mumbai"/>
    <x v="2"/>
    <x v="0"/>
    <x v="5"/>
    <x v="6"/>
    <n v="42814.66"/>
    <n v="3"/>
    <x v="2"/>
    <s v="High"/>
    <n v="0.22012016444834551"/>
    <x v="754"/>
    <x v="2"/>
  </r>
  <r>
    <s v="ORD10755"/>
    <x v="2"/>
    <x v="1"/>
    <n v="10"/>
    <s v="Q4"/>
    <x v="755"/>
    <d v="2027-10-21T00:00:00"/>
    <s v="C1755"/>
    <x v="755"/>
    <x v="0"/>
    <s v="India"/>
    <s v="West Bengal"/>
    <s v="Kolkata"/>
    <x v="3"/>
    <x v="0"/>
    <x v="0"/>
    <x v="100"/>
    <n v="33260.6"/>
    <n v="7"/>
    <x v="2"/>
    <s v="High"/>
    <n v="0.22481735146088769"/>
    <x v="755"/>
    <x v="1"/>
  </r>
  <r>
    <s v="ORD10756"/>
    <x v="2"/>
    <x v="1"/>
    <n v="10"/>
    <s v="Q4"/>
    <x v="756"/>
    <d v="2027-10-22T00:00:00"/>
    <s v="C1756"/>
    <x v="756"/>
    <x v="0"/>
    <s v="India"/>
    <s v="Delhi"/>
    <s v="Delhi"/>
    <x v="0"/>
    <x v="2"/>
    <x v="8"/>
    <x v="25"/>
    <n v="32338.34"/>
    <n v="7"/>
    <x v="0"/>
    <s v="High"/>
    <n v="0.17331563710444012"/>
    <x v="756"/>
    <x v="0"/>
  </r>
  <r>
    <s v="ORD10757"/>
    <x v="2"/>
    <x v="1"/>
    <n v="10"/>
    <s v="Q4"/>
    <x v="757"/>
    <d v="2027-10-23T00:00:00"/>
    <s v="C1757"/>
    <x v="757"/>
    <x v="0"/>
    <s v="India"/>
    <s v="Karnataka"/>
    <s v="Bengaluru"/>
    <x v="1"/>
    <x v="0"/>
    <x v="0"/>
    <x v="47"/>
    <n v="44274.52"/>
    <n v="2"/>
    <x v="3"/>
    <s v="High"/>
    <n v="0.21356437065833803"/>
    <x v="757"/>
    <x v="3"/>
  </r>
  <r>
    <s v="ORD10758"/>
    <x v="2"/>
    <x v="1"/>
    <n v="10"/>
    <s v="Q4"/>
    <x v="758"/>
    <d v="2027-10-24T00:00:00"/>
    <s v="C1758"/>
    <x v="758"/>
    <x v="1"/>
    <s v="India"/>
    <s v="Delhi"/>
    <s v="Delhi"/>
    <x v="0"/>
    <x v="0"/>
    <x v="7"/>
    <x v="86"/>
    <n v="28709.11"/>
    <n v="1"/>
    <x v="0"/>
    <s v="Medium"/>
    <n v="7.3791907864785775E-3"/>
    <x v="758"/>
    <x v="3"/>
  </r>
  <r>
    <s v="ORD10759"/>
    <x v="2"/>
    <x v="1"/>
    <n v="10"/>
    <s v="Q4"/>
    <x v="759"/>
    <d v="2027-10-25T00:00:00"/>
    <s v="C1759"/>
    <x v="759"/>
    <x v="0"/>
    <s v="India"/>
    <s v="Karnataka"/>
    <s v="Bengaluru"/>
    <x v="1"/>
    <x v="1"/>
    <x v="3"/>
    <x v="121"/>
    <n v="25073.38"/>
    <n v="2"/>
    <x v="1"/>
    <s v="Medium"/>
    <n v="3.5173957400238813E-2"/>
    <x v="759"/>
    <x v="2"/>
  </r>
  <r>
    <s v="ORD10760"/>
    <x v="2"/>
    <x v="1"/>
    <n v="10"/>
    <s v="Q4"/>
    <x v="760"/>
    <d v="2027-10-26T00:00:00"/>
    <s v="C1760"/>
    <x v="760"/>
    <x v="1"/>
    <s v="India"/>
    <s v="West Bengal"/>
    <s v="Kolkata"/>
    <x v="3"/>
    <x v="0"/>
    <x v="7"/>
    <x v="42"/>
    <n v="13521.05"/>
    <n v="7"/>
    <x v="2"/>
    <s v="Medium"/>
    <n v="0.10621142588778239"/>
    <x v="760"/>
    <x v="3"/>
  </r>
  <r>
    <s v="ORD10761"/>
    <x v="2"/>
    <x v="1"/>
    <n v="10"/>
    <s v="Q4"/>
    <x v="761"/>
    <d v="2027-10-27T00:00:00"/>
    <s v="C1761"/>
    <x v="761"/>
    <x v="1"/>
    <s v="India"/>
    <s v="Delhi"/>
    <s v="Delhi"/>
    <x v="0"/>
    <x v="0"/>
    <x v="5"/>
    <x v="161"/>
    <n v="28115.11"/>
    <n v="8"/>
    <x v="2"/>
    <s v="Medium"/>
    <n v="0.24446463129612508"/>
    <x v="761"/>
    <x v="0"/>
  </r>
  <r>
    <s v="ORD10762"/>
    <x v="2"/>
    <x v="1"/>
    <n v="10"/>
    <s v="Q4"/>
    <x v="762"/>
    <d v="2027-10-28T00:00:00"/>
    <s v="C1762"/>
    <x v="762"/>
    <x v="2"/>
    <s v="India"/>
    <s v="Delhi"/>
    <s v="Delhi"/>
    <x v="0"/>
    <x v="1"/>
    <x v="2"/>
    <x v="140"/>
    <n v="41741.74"/>
    <n v="8"/>
    <x v="3"/>
    <s v="High"/>
    <n v="0.20491287617622075"/>
    <x v="762"/>
    <x v="1"/>
  </r>
  <r>
    <s v="ORD10763"/>
    <x v="2"/>
    <x v="1"/>
    <n v="10"/>
    <s v="Q4"/>
    <x v="763"/>
    <d v="2027-10-29T00:00:00"/>
    <s v="C1763"/>
    <x v="763"/>
    <x v="1"/>
    <s v="India"/>
    <s v="Karnataka"/>
    <s v="Bengaluru"/>
    <x v="1"/>
    <x v="2"/>
    <x v="6"/>
    <x v="21"/>
    <n v="36719.46"/>
    <n v="5"/>
    <x v="2"/>
    <s v="High"/>
    <n v="0.10380735446545238"/>
    <x v="763"/>
    <x v="1"/>
  </r>
  <r>
    <s v="ORD10764"/>
    <x v="2"/>
    <x v="1"/>
    <n v="10"/>
    <s v="Q4"/>
    <x v="764"/>
    <d v="2027-10-30T00:00:00"/>
    <s v="C1764"/>
    <x v="764"/>
    <x v="1"/>
    <s v="India"/>
    <s v="Maharashtra"/>
    <s v="Mumbai"/>
    <x v="2"/>
    <x v="1"/>
    <x v="2"/>
    <x v="34"/>
    <n v="49140.49"/>
    <n v="5"/>
    <x v="1"/>
    <s v="High"/>
    <n v="3.8737505466469709E-2"/>
    <x v="764"/>
    <x v="1"/>
  </r>
  <r>
    <s v="ORD10765"/>
    <x v="2"/>
    <x v="1"/>
    <n v="10"/>
    <s v="Q4"/>
    <x v="765"/>
    <d v="2027-10-31T00:00:00"/>
    <s v="C1765"/>
    <x v="765"/>
    <x v="2"/>
    <s v="India"/>
    <s v="Haryana"/>
    <s v="Gurugram"/>
    <x v="0"/>
    <x v="1"/>
    <x v="3"/>
    <x v="12"/>
    <n v="9709.67"/>
    <n v="7"/>
    <x v="2"/>
    <s v="Low"/>
    <n v="0.15408041673918887"/>
    <x v="765"/>
    <x v="1"/>
  </r>
  <r>
    <s v="ORD10766"/>
    <x v="2"/>
    <x v="1"/>
    <n v="10"/>
    <s v="Q4"/>
    <x v="766"/>
    <d v="2027-11-01T00:00:00"/>
    <s v="C1766"/>
    <x v="766"/>
    <x v="1"/>
    <s v="India"/>
    <s v="Karnataka"/>
    <s v="Bengaluru"/>
    <x v="1"/>
    <x v="0"/>
    <x v="7"/>
    <x v="14"/>
    <n v="9057.5400000000009"/>
    <n v="3"/>
    <x v="3"/>
    <s v="Low"/>
    <n v="3.493663842500281E-2"/>
    <x v="766"/>
    <x v="3"/>
  </r>
  <r>
    <s v="ORD10767"/>
    <x v="2"/>
    <x v="1"/>
    <n v="10"/>
    <s v="Q4"/>
    <x v="767"/>
    <d v="2027-11-02T00:00:00"/>
    <s v="C1767"/>
    <x v="767"/>
    <x v="2"/>
    <s v="India"/>
    <s v="Delhi"/>
    <s v="Delhi"/>
    <x v="0"/>
    <x v="0"/>
    <x v="5"/>
    <x v="26"/>
    <n v="23390.44"/>
    <n v="7"/>
    <x v="0"/>
    <s v="Medium"/>
    <n v="-1.2396090026523657E-2"/>
    <x v="767"/>
    <x v="0"/>
  </r>
  <r>
    <s v="ORD10768"/>
    <x v="2"/>
    <x v="1"/>
    <n v="10"/>
    <s v="Q4"/>
    <x v="768"/>
    <d v="2027-11-03T00:00:00"/>
    <s v="C1768"/>
    <x v="768"/>
    <x v="1"/>
    <s v="India"/>
    <s v="Haryana"/>
    <s v="Gurugram"/>
    <x v="0"/>
    <x v="2"/>
    <x v="8"/>
    <x v="81"/>
    <n v="33891.65"/>
    <n v="1"/>
    <x v="2"/>
    <s v="High"/>
    <n v="6.7022703232212072E-2"/>
    <x v="768"/>
    <x v="0"/>
  </r>
  <r>
    <s v="ORD10769"/>
    <x v="2"/>
    <x v="1"/>
    <n v="10"/>
    <s v="Q4"/>
    <x v="769"/>
    <d v="2027-11-04T00:00:00"/>
    <s v="C1769"/>
    <x v="769"/>
    <x v="0"/>
    <s v="India"/>
    <s v="Haryana"/>
    <s v="Gurugram"/>
    <x v="0"/>
    <x v="1"/>
    <x v="2"/>
    <x v="13"/>
    <n v="683.59"/>
    <n v="1"/>
    <x v="2"/>
    <s v="Low"/>
    <n v="6.8505975804210126E-2"/>
    <x v="769"/>
    <x v="3"/>
  </r>
  <r>
    <s v="ORD10770"/>
    <x v="2"/>
    <x v="2"/>
    <n v="11"/>
    <s v="Q4"/>
    <x v="770"/>
    <d v="2027-11-05T00:00:00"/>
    <s v="C1770"/>
    <x v="770"/>
    <x v="1"/>
    <s v="India"/>
    <s v="Maharashtra"/>
    <s v="Mumbai"/>
    <x v="2"/>
    <x v="0"/>
    <x v="0"/>
    <x v="104"/>
    <n v="41205.89"/>
    <n v="7"/>
    <x v="3"/>
    <s v="High"/>
    <n v="0.17981142987082671"/>
    <x v="770"/>
    <x v="2"/>
  </r>
  <r>
    <s v="ORD10771"/>
    <x v="2"/>
    <x v="2"/>
    <n v="11"/>
    <s v="Q4"/>
    <x v="771"/>
    <d v="2027-11-06T00:00:00"/>
    <s v="C1771"/>
    <x v="771"/>
    <x v="1"/>
    <s v="India"/>
    <s v="Haryana"/>
    <s v="Gurugram"/>
    <x v="0"/>
    <x v="1"/>
    <x v="2"/>
    <x v="98"/>
    <n v="14002.39"/>
    <n v="4"/>
    <x v="0"/>
    <s v="Medium"/>
    <n v="8.4357027621713154E-2"/>
    <x v="771"/>
    <x v="1"/>
  </r>
  <r>
    <s v="ORD10772"/>
    <x v="2"/>
    <x v="2"/>
    <n v="11"/>
    <s v="Q4"/>
    <x v="772"/>
    <d v="2027-11-07T00:00:00"/>
    <s v="C1772"/>
    <x v="772"/>
    <x v="0"/>
    <s v="India"/>
    <s v="Maharashtra"/>
    <s v="Mumbai"/>
    <x v="2"/>
    <x v="1"/>
    <x v="3"/>
    <x v="121"/>
    <n v="4726.91"/>
    <n v="3"/>
    <x v="2"/>
    <s v="Low"/>
    <n v="0.17385776331683911"/>
    <x v="772"/>
    <x v="0"/>
  </r>
  <r>
    <s v="ORD10773"/>
    <x v="2"/>
    <x v="2"/>
    <n v="11"/>
    <s v="Q4"/>
    <x v="773"/>
    <d v="2027-11-08T00:00:00"/>
    <s v="C1773"/>
    <x v="773"/>
    <x v="2"/>
    <s v="India"/>
    <s v="Maharashtra"/>
    <s v="Mumbai"/>
    <x v="2"/>
    <x v="1"/>
    <x v="3"/>
    <x v="107"/>
    <n v="914.46"/>
    <n v="7"/>
    <x v="3"/>
    <s v="Low"/>
    <n v="1.9213524921811779E-2"/>
    <x v="773"/>
    <x v="0"/>
  </r>
  <r>
    <s v="ORD10774"/>
    <x v="2"/>
    <x v="2"/>
    <n v="11"/>
    <s v="Q4"/>
    <x v="774"/>
    <d v="2027-11-09T00:00:00"/>
    <s v="C1774"/>
    <x v="774"/>
    <x v="0"/>
    <s v="India"/>
    <s v="Maharashtra"/>
    <s v="Mumbai"/>
    <x v="2"/>
    <x v="0"/>
    <x v="0"/>
    <x v="80"/>
    <n v="46276.57"/>
    <n v="4"/>
    <x v="1"/>
    <s v="High"/>
    <n v="-1.7040372698322283E-2"/>
    <x v="774"/>
    <x v="3"/>
  </r>
  <r>
    <s v="ORD10775"/>
    <x v="2"/>
    <x v="2"/>
    <n v="11"/>
    <s v="Q4"/>
    <x v="775"/>
    <d v="2027-11-10T00:00:00"/>
    <s v="C1775"/>
    <x v="775"/>
    <x v="0"/>
    <s v="India"/>
    <s v="West Bengal"/>
    <s v="Kolkata"/>
    <x v="3"/>
    <x v="2"/>
    <x v="4"/>
    <x v="154"/>
    <n v="27722.720000000001"/>
    <n v="5"/>
    <x v="0"/>
    <s v="Medium"/>
    <n v="0.16798748463354243"/>
    <x v="775"/>
    <x v="1"/>
  </r>
  <r>
    <s v="ORD10776"/>
    <x v="2"/>
    <x v="2"/>
    <n v="11"/>
    <s v="Q4"/>
    <x v="776"/>
    <d v="2027-11-11T00:00:00"/>
    <s v="C1776"/>
    <x v="776"/>
    <x v="0"/>
    <s v="India"/>
    <s v="Delhi"/>
    <s v="Delhi"/>
    <x v="0"/>
    <x v="2"/>
    <x v="4"/>
    <x v="69"/>
    <n v="14093.5"/>
    <n v="1"/>
    <x v="2"/>
    <s v="Medium"/>
    <n v="0.2816724021712137"/>
    <x v="776"/>
    <x v="2"/>
  </r>
  <r>
    <s v="ORD10777"/>
    <x v="2"/>
    <x v="2"/>
    <n v="11"/>
    <s v="Q4"/>
    <x v="777"/>
    <d v="2027-11-12T00:00:00"/>
    <s v="C1777"/>
    <x v="777"/>
    <x v="0"/>
    <s v="India"/>
    <s v="Maharashtra"/>
    <s v="Mumbai"/>
    <x v="2"/>
    <x v="0"/>
    <x v="7"/>
    <x v="177"/>
    <n v="32471.24"/>
    <n v="7"/>
    <x v="0"/>
    <s v="High"/>
    <n v="4.052201271032458E-2"/>
    <x v="777"/>
    <x v="2"/>
  </r>
  <r>
    <s v="ORD10778"/>
    <x v="2"/>
    <x v="2"/>
    <n v="11"/>
    <s v="Q4"/>
    <x v="778"/>
    <d v="2027-11-13T00:00:00"/>
    <s v="C1778"/>
    <x v="778"/>
    <x v="0"/>
    <s v="India"/>
    <s v="Maharashtra"/>
    <s v="Mumbai"/>
    <x v="2"/>
    <x v="1"/>
    <x v="2"/>
    <x v="166"/>
    <n v="48820.79"/>
    <n v="2"/>
    <x v="2"/>
    <s v="High"/>
    <n v="0.28209170724193527"/>
    <x v="778"/>
    <x v="2"/>
  </r>
  <r>
    <s v="ORD10779"/>
    <x v="2"/>
    <x v="2"/>
    <n v="11"/>
    <s v="Q4"/>
    <x v="779"/>
    <d v="2027-11-14T00:00:00"/>
    <s v="C1779"/>
    <x v="779"/>
    <x v="0"/>
    <s v="India"/>
    <s v="Delhi"/>
    <s v="Delhi"/>
    <x v="0"/>
    <x v="2"/>
    <x v="8"/>
    <x v="168"/>
    <n v="44633.5"/>
    <n v="6"/>
    <x v="1"/>
    <s v="High"/>
    <n v="-1.9326962931430429E-2"/>
    <x v="779"/>
    <x v="1"/>
  </r>
  <r>
    <s v="ORD10780"/>
    <x v="2"/>
    <x v="2"/>
    <n v="11"/>
    <s v="Q4"/>
    <x v="780"/>
    <d v="2027-11-15T00:00:00"/>
    <s v="C1780"/>
    <x v="780"/>
    <x v="0"/>
    <s v="India"/>
    <s v="Karnataka"/>
    <s v="Bengaluru"/>
    <x v="1"/>
    <x v="1"/>
    <x v="2"/>
    <x v="160"/>
    <n v="17366.64"/>
    <n v="8"/>
    <x v="1"/>
    <s v="Medium"/>
    <n v="0.14878180235209576"/>
    <x v="780"/>
    <x v="0"/>
  </r>
  <r>
    <s v="ORD10781"/>
    <x v="2"/>
    <x v="2"/>
    <n v="11"/>
    <s v="Q4"/>
    <x v="781"/>
    <d v="2027-11-16T00:00:00"/>
    <s v="C1781"/>
    <x v="781"/>
    <x v="0"/>
    <s v="India"/>
    <s v="Karnataka"/>
    <s v="Bengaluru"/>
    <x v="1"/>
    <x v="1"/>
    <x v="3"/>
    <x v="64"/>
    <n v="24270.31"/>
    <n v="3"/>
    <x v="3"/>
    <s v="Medium"/>
    <n v="0.22877746514156597"/>
    <x v="781"/>
    <x v="3"/>
  </r>
  <r>
    <s v="ORD10782"/>
    <x v="2"/>
    <x v="2"/>
    <n v="11"/>
    <s v="Q4"/>
    <x v="782"/>
    <d v="2027-11-17T00:00:00"/>
    <s v="C1782"/>
    <x v="782"/>
    <x v="2"/>
    <s v="India"/>
    <s v="Karnataka"/>
    <s v="Bengaluru"/>
    <x v="1"/>
    <x v="2"/>
    <x v="6"/>
    <x v="134"/>
    <n v="25099.89"/>
    <n v="1"/>
    <x v="2"/>
    <s v="Medium"/>
    <n v="0.26301509687891061"/>
    <x v="782"/>
    <x v="1"/>
  </r>
  <r>
    <s v="ORD10783"/>
    <x v="2"/>
    <x v="2"/>
    <n v="11"/>
    <s v="Q4"/>
    <x v="783"/>
    <d v="2027-11-18T00:00:00"/>
    <s v="C1783"/>
    <x v="783"/>
    <x v="1"/>
    <s v="India"/>
    <s v="Haryana"/>
    <s v="Gurugram"/>
    <x v="0"/>
    <x v="2"/>
    <x v="4"/>
    <x v="69"/>
    <n v="45245.74"/>
    <n v="5"/>
    <x v="3"/>
    <s v="High"/>
    <n v="0.24560942090901819"/>
    <x v="783"/>
    <x v="0"/>
  </r>
  <r>
    <s v="ORD10784"/>
    <x v="2"/>
    <x v="2"/>
    <n v="11"/>
    <s v="Q4"/>
    <x v="784"/>
    <d v="2027-11-19T00:00:00"/>
    <s v="C1784"/>
    <x v="784"/>
    <x v="2"/>
    <s v="India"/>
    <s v="West Bengal"/>
    <s v="Kolkata"/>
    <x v="3"/>
    <x v="0"/>
    <x v="7"/>
    <x v="89"/>
    <n v="17749.29"/>
    <n v="6"/>
    <x v="3"/>
    <s v="Medium"/>
    <n v="0.23776331334943537"/>
    <x v="784"/>
    <x v="1"/>
  </r>
  <r>
    <s v="ORD10785"/>
    <x v="2"/>
    <x v="2"/>
    <n v="11"/>
    <s v="Q4"/>
    <x v="785"/>
    <d v="2027-11-20T00:00:00"/>
    <s v="C1785"/>
    <x v="785"/>
    <x v="2"/>
    <s v="India"/>
    <s v="Haryana"/>
    <s v="Gurugram"/>
    <x v="0"/>
    <x v="0"/>
    <x v="7"/>
    <x v="99"/>
    <n v="25860.99"/>
    <n v="8"/>
    <x v="3"/>
    <s v="Medium"/>
    <n v="0.22036279353574631"/>
    <x v="785"/>
    <x v="2"/>
  </r>
  <r>
    <s v="ORD10786"/>
    <x v="2"/>
    <x v="2"/>
    <n v="11"/>
    <s v="Q4"/>
    <x v="786"/>
    <d v="2027-11-21T00:00:00"/>
    <s v="C1786"/>
    <x v="786"/>
    <x v="1"/>
    <s v="India"/>
    <s v="West Bengal"/>
    <s v="Kolkata"/>
    <x v="3"/>
    <x v="2"/>
    <x v="8"/>
    <x v="114"/>
    <n v="43491.39"/>
    <n v="3"/>
    <x v="3"/>
    <s v="High"/>
    <n v="0.22828012625027619"/>
    <x v="786"/>
    <x v="3"/>
  </r>
  <r>
    <s v="ORD10787"/>
    <x v="2"/>
    <x v="2"/>
    <n v="11"/>
    <s v="Q4"/>
    <x v="787"/>
    <d v="2027-11-22T00:00:00"/>
    <s v="C1787"/>
    <x v="787"/>
    <x v="0"/>
    <s v="India"/>
    <s v="Karnataka"/>
    <s v="Bengaluru"/>
    <x v="1"/>
    <x v="1"/>
    <x v="2"/>
    <x v="56"/>
    <n v="12073.65"/>
    <n v="3"/>
    <x v="3"/>
    <s v="Medium"/>
    <n v="0.19443581684080624"/>
    <x v="787"/>
    <x v="0"/>
  </r>
  <r>
    <s v="ORD10788"/>
    <x v="2"/>
    <x v="2"/>
    <n v="11"/>
    <s v="Q4"/>
    <x v="788"/>
    <d v="2027-11-23T00:00:00"/>
    <s v="C1788"/>
    <x v="788"/>
    <x v="2"/>
    <s v="India"/>
    <s v="West Bengal"/>
    <s v="Kolkata"/>
    <x v="3"/>
    <x v="1"/>
    <x v="2"/>
    <x v="141"/>
    <n v="30208.92"/>
    <n v="8"/>
    <x v="2"/>
    <s v="High"/>
    <n v="0.25978022385441124"/>
    <x v="788"/>
    <x v="0"/>
  </r>
  <r>
    <s v="ORD10789"/>
    <x v="2"/>
    <x v="2"/>
    <n v="11"/>
    <s v="Q4"/>
    <x v="789"/>
    <d v="2027-11-24T00:00:00"/>
    <s v="C1789"/>
    <x v="789"/>
    <x v="2"/>
    <s v="India"/>
    <s v="Delhi"/>
    <s v="Delhi"/>
    <x v="0"/>
    <x v="1"/>
    <x v="1"/>
    <x v="109"/>
    <n v="2129.5100000000002"/>
    <n v="1"/>
    <x v="2"/>
    <s v="Low"/>
    <n v="0.13424684551845259"/>
    <x v="789"/>
    <x v="2"/>
  </r>
  <r>
    <s v="ORD10790"/>
    <x v="2"/>
    <x v="2"/>
    <n v="11"/>
    <s v="Q4"/>
    <x v="790"/>
    <d v="2027-11-25T00:00:00"/>
    <s v="C1790"/>
    <x v="790"/>
    <x v="0"/>
    <s v="India"/>
    <s v="West Bengal"/>
    <s v="Kolkata"/>
    <x v="3"/>
    <x v="0"/>
    <x v="0"/>
    <x v="136"/>
    <n v="6891.7"/>
    <n v="1"/>
    <x v="1"/>
    <s v="Low"/>
    <n v="9.9306412060884836E-2"/>
    <x v="790"/>
    <x v="2"/>
  </r>
  <r>
    <s v="ORD10791"/>
    <x v="2"/>
    <x v="2"/>
    <n v="11"/>
    <s v="Q4"/>
    <x v="791"/>
    <d v="2027-11-26T00:00:00"/>
    <s v="C1791"/>
    <x v="791"/>
    <x v="2"/>
    <s v="India"/>
    <s v="Maharashtra"/>
    <s v="Mumbai"/>
    <x v="2"/>
    <x v="1"/>
    <x v="1"/>
    <x v="139"/>
    <n v="37976.94"/>
    <n v="4"/>
    <x v="1"/>
    <s v="High"/>
    <n v="9.8725700385549758E-2"/>
    <x v="791"/>
    <x v="3"/>
  </r>
  <r>
    <s v="ORD10792"/>
    <x v="2"/>
    <x v="2"/>
    <n v="11"/>
    <s v="Q4"/>
    <x v="792"/>
    <d v="2027-11-27T00:00:00"/>
    <s v="C1792"/>
    <x v="792"/>
    <x v="0"/>
    <s v="India"/>
    <s v="West Bengal"/>
    <s v="Kolkata"/>
    <x v="3"/>
    <x v="2"/>
    <x v="6"/>
    <x v="87"/>
    <n v="7911.81"/>
    <n v="5"/>
    <x v="1"/>
    <s v="Low"/>
    <n v="-4.0019919588564434E-2"/>
    <x v="792"/>
    <x v="0"/>
  </r>
  <r>
    <s v="ORD10793"/>
    <x v="2"/>
    <x v="2"/>
    <n v="11"/>
    <s v="Q4"/>
    <x v="793"/>
    <d v="2027-11-28T00:00:00"/>
    <s v="C1793"/>
    <x v="793"/>
    <x v="1"/>
    <s v="India"/>
    <s v="Delhi"/>
    <s v="Delhi"/>
    <x v="0"/>
    <x v="0"/>
    <x v="0"/>
    <x v="62"/>
    <n v="49695.25"/>
    <n v="1"/>
    <x v="2"/>
    <s v="High"/>
    <n v="0.19457352563876829"/>
    <x v="793"/>
    <x v="3"/>
  </r>
  <r>
    <s v="ORD10794"/>
    <x v="2"/>
    <x v="2"/>
    <n v="11"/>
    <s v="Q4"/>
    <x v="794"/>
    <d v="2027-11-29T00:00:00"/>
    <s v="C1794"/>
    <x v="794"/>
    <x v="1"/>
    <s v="India"/>
    <s v="Delhi"/>
    <s v="Delhi"/>
    <x v="0"/>
    <x v="2"/>
    <x v="8"/>
    <x v="123"/>
    <n v="49866.77"/>
    <n v="5"/>
    <x v="0"/>
    <s v="High"/>
    <n v="6.9202396706263512E-3"/>
    <x v="794"/>
    <x v="0"/>
  </r>
  <r>
    <s v="ORD10795"/>
    <x v="2"/>
    <x v="2"/>
    <n v="11"/>
    <s v="Q4"/>
    <x v="795"/>
    <d v="2027-11-30T00:00:00"/>
    <s v="C1795"/>
    <x v="795"/>
    <x v="2"/>
    <s v="India"/>
    <s v="West Bengal"/>
    <s v="Kolkata"/>
    <x v="3"/>
    <x v="2"/>
    <x v="8"/>
    <x v="38"/>
    <n v="5261.54"/>
    <n v="8"/>
    <x v="0"/>
    <s v="Low"/>
    <n v="-1.0489324418326193E-2"/>
    <x v="795"/>
    <x v="2"/>
  </r>
  <r>
    <s v="ORD10796"/>
    <x v="2"/>
    <x v="2"/>
    <n v="11"/>
    <s v="Q4"/>
    <x v="796"/>
    <d v="2027-12-01T00:00:00"/>
    <s v="C1796"/>
    <x v="796"/>
    <x v="2"/>
    <s v="India"/>
    <s v="Delhi"/>
    <s v="Delhi"/>
    <x v="0"/>
    <x v="1"/>
    <x v="2"/>
    <x v="56"/>
    <n v="35582.74"/>
    <n v="6"/>
    <x v="2"/>
    <s v="High"/>
    <n v="0.11041898403551835"/>
    <x v="796"/>
    <x v="3"/>
  </r>
  <r>
    <s v="ORD10797"/>
    <x v="2"/>
    <x v="2"/>
    <n v="11"/>
    <s v="Q4"/>
    <x v="797"/>
    <d v="2027-12-02T00:00:00"/>
    <s v="C1797"/>
    <x v="797"/>
    <x v="1"/>
    <s v="India"/>
    <s v="West Bengal"/>
    <s v="Kolkata"/>
    <x v="3"/>
    <x v="2"/>
    <x v="4"/>
    <x v="127"/>
    <n v="21921.78"/>
    <n v="7"/>
    <x v="3"/>
    <s v="Medium"/>
    <n v="8.2947187682752041E-2"/>
    <x v="797"/>
    <x v="2"/>
  </r>
  <r>
    <s v="ORD10798"/>
    <x v="2"/>
    <x v="2"/>
    <n v="11"/>
    <s v="Q4"/>
    <x v="798"/>
    <d v="2027-12-03T00:00:00"/>
    <s v="C1798"/>
    <x v="798"/>
    <x v="0"/>
    <s v="India"/>
    <s v="West Bengal"/>
    <s v="Kolkata"/>
    <x v="3"/>
    <x v="1"/>
    <x v="3"/>
    <x v="173"/>
    <n v="32113.99"/>
    <n v="5"/>
    <x v="1"/>
    <s v="High"/>
    <n v="7.1519920134495901E-2"/>
    <x v="798"/>
    <x v="0"/>
  </r>
  <r>
    <s v="ORD10799"/>
    <x v="2"/>
    <x v="2"/>
    <n v="11"/>
    <s v="Q4"/>
    <x v="799"/>
    <d v="2027-12-04T00:00:00"/>
    <s v="C1799"/>
    <x v="799"/>
    <x v="1"/>
    <s v="India"/>
    <s v="Delhi"/>
    <s v="Delhi"/>
    <x v="0"/>
    <x v="2"/>
    <x v="6"/>
    <x v="149"/>
    <n v="3938.72"/>
    <n v="2"/>
    <x v="1"/>
    <s v="Low"/>
    <n v="9.6079436974448554E-2"/>
    <x v="799"/>
    <x v="0"/>
  </r>
  <r>
    <s v="ORD10800"/>
    <x v="2"/>
    <x v="3"/>
    <n v="12"/>
    <s v="Q4"/>
    <x v="800"/>
    <d v="2027-12-05T00:00:00"/>
    <s v="C1800"/>
    <x v="800"/>
    <x v="0"/>
    <s v="India"/>
    <s v="West Bengal"/>
    <s v="Kolkata"/>
    <x v="3"/>
    <x v="1"/>
    <x v="2"/>
    <x v="2"/>
    <n v="10703.97"/>
    <n v="1"/>
    <x v="2"/>
    <s v="Medium"/>
    <n v="0.2744561130122749"/>
    <x v="800"/>
    <x v="0"/>
  </r>
  <r>
    <s v="ORD10801"/>
    <x v="2"/>
    <x v="3"/>
    <n v="12"/>
    <s v="Q4"/>
    <x v="801"/>
    <d v="2027-12-06T00:00:00"/>
    <s v="C1801"/>
    <x v="801"/>
    <x v="1"/>
    <s v="India"/>
    <s v="Maharashtra"/>
    <s v="Mumbai"/>
    <x v="2"/>
    <x v="1"/>
    <x v="2"/>
    <x v="140"/>
    <n v="31351.65"/>
    <n v="5"/>
    <x v="1"/>
    <s v="High"/>
    <n v="0.14895739139726299"/>
    <x v="801"/>
    <x v="0"/>
  </r>
  <r>
    <s v="ORD10802"/>
    <x v="2"/>
    <x v="3"/>
    <n v="12"/>
    <s v="Q4"/>
    <x v="802"/>
    <d v="2027-12-07T00:00:00"/>
    <s v="C1802"/>
    <x v="802"/>
    <x v="1"/>
    <s v="India"/>
    <s v="Karnataka"/>
    <s v="Bengaluru"/>
    <x v="1"/>
    <x v="0"/>
    <x v="5"/>
    <x v="39"/>
    <n v="27590.61"/>
    <n v="4"/>
    <x v="0"/>
    <s v="Medium"/>
    <n v="6.1676055730554707E-2"/>
    <x v="802"/>
    <x v="0"/>
  </r>
  <r>
    <s v="ORD10803"/>
    <x v="2"/>
    <x v="3"/>
    <n v="12"/>
    <s v="Q4"/>
    <x v="803"/>
    <d v="2027-12-08T00:00:00"/>
    <s v="C1803"/>
    <x v="803"/>
    <x v="1"/>
    <s v="India"/>
    <s v="West Bengal"/>
    <s v="Kolkata"/>
    <x v="3"/>
    <x v="2"/>
    <x v="6"/>
    <x v="15"/>
    <n v="16547.240000000002"/>
    <n v="1"/>
    <x v="1"/>
    <s v="Medium"/>
    <n v="0.15489350489870213"/>
    <x v="803"/>
    <x v="1"/>
  </r>
  <r>
    <s v="ORD10804"/>
    <x v="2"/>
    <x v="3"/>
    <n v="12"/>
    <s v="Q4"/>
    <x v="804"/>
    <d v="2027-12-09T00:00:00"/>
    <s v="C1804"/>
    <x v="804"/>
    <x v="1"/>
    <s v="India"/>
    <s v="Delhi"/>
    <s v="Delhi"/>
    <x v="0"/>
    <x v="2"/>
    <x v="8"/>
    <x v="81"/>
    <n v="35140.339999999997"/>
    <n v="5"/>
    <x v="2"/>
    <s v="High"/>
    <n v="0.18982314912149401"/>
    <x v="804"/>
    <x v="2"/>
  </r>
  <r>
    <s v="ORD10805"/>
    <x v="2"/>
    <x v="3"/>
    <n v="12"/>
    <s v="Q4"/>
    <x v="805"/>
    <d v="2027-12-10T00:00:00"/>
    <s v="C1805"/>
    <x v="805"/>
    <x v="1"/>
    <s v="India"/>
    <s v="West Bengal"/>
    <s v="Kolkata"/>
    <x v="3"/>
    <x v="0"/>
    <x v="7"/>
    <x v="76"/>
    <n v="16138.99"/>
    <n v="2"/>
    <x v="2"/>
    <s v="Medium"/>
    <n v="0.11458709621853659"/>
    <x v="805"/>
    <x v="2"/>
  </r>
  <r>
    <s v="ORD10806"/>
    <x v="2"/>
    <x v="3"/>
    <n v="12"/>
    <s v="Q4"/>
    <x v="806"/>
    <d v="2027-12-11T00:00:00"/>
    <s v="C1806"/>
    <x v="806"/>
    <x v="1"/>
    <s v="India"/>
    <s v="Haryana"/>
    <s v="Gurugram"/>
    <x v="0"/>
    <x v="2"/>
    <x v="4"/>
    <x v="154"/>
    <n v="44655.99"/>
    <n v="1"/>
    <x v="0"/>
    <s v="High"/>
    <n v="8.0657264568538292E-2"/>
    <x v="806"/>
    <x v="2"/>
  </r>
  <r>
    <s v="ORD10807"/>
    <x v="2"/>
    <x v="3"/>
    <n v="12"/>
    <s v="Q4"/>
    <x v="807"/>
    <d v="2027-12-12T00:00:00"/>
    <s v="C1807"/>
    <x v="807"/>
    <x v="2"/>
    <s v="India"/>
    <s v="Maharashtra"/>
    <s v="Mumbai"/>
    <x v="2"/>
    <x v="0"/>
    <x v="7"/>
    <x v="106"/>
    <n v="8732.9500000000007"/>
    <n v="5"/>
    <x v="2"/>
    <s v="Low"/>
    <n v="0.15693551434509528"/>
    <x v="807"/>
    <x v="1"/>
  </r>
  <r>
    <s v="ORD10808"/>
    <x v="2"/>
    <x v="3"/>
    <n v="12"/>
    <s v="Q4"/>
    <x v="808"/>
    <d v="2027-12-13T00:00:00"/>
    <s v="C1808"/>
    <x v="808"/>
    <x v="2"/>
    <s v="India"/>
    <s v="Karnataka"/>
    <s v="Bengaluru"/>
    <x v="1"/>
    <x v="0"/>
    <x v="5"/>
    <x v="124"/>
    <n v="9847.57"/>
    <n v="5"/>
    <x v="0"/>
    <s v="Low"/>
    <n v="0.21273776170161773"/>
    <x v="808"/>
    <x v="2"/>
  </r>
  <r>
    <s v="ORD10809"/>
    <x v="2"/>
    <x v="3"/>
    <n v="12"/>
    <s v="Q4"/>
    <x v="809"/>
    <d v="2027-12-14T00:00:00"/>
    <s v="C1809"/>
    <x v="809"/>
    <x v="1"/>
    <s v="India"/>
    <s v="Karnataka"/>
    <s v="Bengaluru"/>
    <x v="1"/>
    <x v="2"/>
    <x v="8"/>
    <x v="178"/>
    <n v="35260.79"/>
    <n v="2"/>
    <x v="0"/>
    <s v="High"/>
    <n v="0.13956749125586806"/>
    <x v="809"/>
    <x v="2"/>
  </r>
  <r>
    <s v="ORD10810"/>
    <x v="2"/>
    <x v="3"/>
    <n v="12"/>
    <s v="Q4"/>
    <x v="810"/>
    <d v="2027-12-15T00:00:00"/>
    <s v="C1810"/>
    <x v="810"/>
    <x v="2"/>
    <s v="India"/>
    <s v="Delhi"/>
    <s v="Delhi"/>
    <x v="0"/>
    <x v="0"/>
    <x v="7"/>
    <x v="61"/>
    <n v="4604.63"/>
    <n v="6"/>
    <x v="2"/>
    <s v="Low"/>
    <n v="0.22499744822059534"/>
    <x v="810"/>
    <x v="0"/>
  </r>
  <r>
    <s v="ORD10811"/>
    <x v="2"/>
    <x v="3"/>
    <n v="12"/>
    <s v="Q4"/>
    <x v="811"/>
    <d v="2027-12-16T00:00:00"/>
    <s v="C1811"/>
    <x v="811"/>
    <x v="0"/>
    <s v="India"/>
    <s v="Haryana"/>
    <s v="Gurugram"/>
    <x v="0"/>
    <x v="0"/>
    <x v="7"/>
    <x v="61"/>
    <n v="18322.8"/>
    <n v="8"/>
    <x v="3"/>
    <s v="Medium"/>
    <n v="0.23416399240290786"/>
    <x v="811"/>
    <x v="2"/>
  </r>
  <r>
    <s v="ORD10812"/>
    <x v="2"/>
    <x v="3"/>
    <n v="12"/>
    <s v="Q4"/>
    <x v="812"/>
    <d v="2027-12-17T00:00:00"/>
    <s v="C1812"/>
    <x v="812"/>
    <x v="2"/>
    <s v="India"/>
    <s v="West Bengal"/>
    <s v="Kolkata"/>
    <x v="3"/>
    <x v="2"/>
    <x v="4"/>
    <x v="5"/>
    <n v="27937.88"/>
    <n v="4"/>
    <x v="0"/>
    <s v="Medium"/>
    <n v="5.2249848592663434E-2"/>
    <x v="812"/>
    <x v="3"/>
  </r>
  <r>
    <s v="ORD10813"/>
    <x v="2"/>
    <x v="3"/>
    <n v="12"/>
    <s v="Q4"/>
    <x v="813"/>
    <d v="2027-12-18T00:00:00"/>
    <s v="C1813"/>
    <x v="813"/>
    <x v="0"/>
    <s v="India"/>
    <s v="Karnataka"/>
    <s v="Bengaluru"/>
    <x v="1"/>
    <x v="1"/>
    <x v="1"/>
    <x v="75"/>
    <n v="48605.21"/>
    <n v="1"/>
    <x v="0"/>
    <s v="High"/>
    <n v="2.241549825625689E-2"/>
    <x v="813"/>
    <x v="0"/>
  </r>
  <r>
    <s v="ORD10814"/>
    <x v="2"/>
    <x v="3"/>
    <n v="12"/>
    <s v="Q4"/>
    <x v="814"/>
    <d v="2027-12-19T00:00:00"/>
    <s v="C1814"/>
    <x v="814"/>
    <x v="0"/>
    <s v="India"/>
    <s v="Delhi"/>
    <s v="Delhi"/>
    <x v="0"/>
    <x v="1"/>
    <x v="3"/>
    <x v="102"/>
    <n v="28393.9"/>
    <n v="8"/>
    <x v="1"/>
    <s v="Medium"/>
    <n v="0.15297581522791867"/>
    <x v="814"/>
    <x v="3"/>
  </r>
  <r>
    <s v="ORD10815"/>
    <x v="2"/>
    <x v="3"/>
    <n v="12"/>
    <s v="Q4"/>
    <x v="815"/>
    <d v="2027-12-20T00:00:00"/>
    <s v="C1815"/>
    <x v="815"/>
    <x v="1"/>
    <s v="India"/>
    <s v="Karnataka"/>
    <s v="Bengaluru"/>
    <x v="1"/>
    <x v="1"/>
    <x v="2"/>
    <x v="115"/>
    <n v="40245.089999999997"/>
    <n v="6"/>
    <x v="1"/>
    <s v="High"/>
    <n v="-4.0741118978737535E-2"/>
    <x v="815"/>
    <x v="0"/>
  </r>
  <r>
    <s v="ORD10816"/>
    <x v="2"/>
    <x v="3"/>
    <n v="12"/>
    <s v="Q4"/>
    <x v="816"/>
    <d v="2027-12-21T00:00:00"/>
    <s v="C1816"/>
    <x v="816"/>
    <x v="1"/>
    <s v="India"/>
    <s v="Haryana"/>
    <s v="Gurugram"/>
    <x v="0"/>
    <x v="0"/>
    <x v="0"/>
    <x v="105"/>
    <n v="28684.6"/>
    <n v="8"/>
    <x v="2"/>
    <s v="Medium"/>
    <n v="9.6446176694114621E-2"/>
    <x v="816"/>
    <x v="1"/>
  </r>
  <r>
    <s v="ORD10817"/>
    <x v="2"/>
    <x v="3"/>
    <n v="12"/>
    <s v="Q4"/>
    <x v="817"/>
    <d v="2027-12-22T00:00:00"/>
    <s v="C1817"/>
    <x v="817"/>
    <x v="0"/>
    <s v="India"/>
    <s v="Haryana"/>
    <s v="Gurugram"/>
    <x v="0"/>
    <x v="1"/>
    <x v="2"/>
    <x v="19"/>
    <n v="32918.019999999997"/>
    <n v="6"/>
    <x v="1"/>
    <s v="High"/>
    <n v="-4.0463855359465735E-2"/>
    <x v="817"/>
    <x v="2"/>
  </r>
  <r>
    <s v="ORD10818"/>
    <x v="2"/>
    <x v="3"/>
    <n v="12"/>
    <s v="Q4"/>
    <x v="818"/>
    <d v="2027-12-23T00:00:00"/>
    <s v="C1818"/>
    <x v="818"/>
    <x v="0"/>
    <s v="India"/>
    <s v="West Bengal"/>
    <s v="Kolkata"/>
    <x v="3"/>
    <x v="1"/>
    <x v="1"/>
    <x v="82"/>
    <n v="24839.200000000001"/>
    <n v="6"/>
    <x v="0"/>
    <s v="Medium"/>
    <n v="0.19052344680988115"/>
    <x v="818"/>
    <x v="0"/>
  </r>
  <r>
    <s v="ORD10819"/>
    <x v="2"/>
    <x v="3"/>
    <n v="12"/>
    <s v="Q4"/>
    <x v="819"/>
    <d v="2027-12-24T00:00:00"/>
    <s v="C1819"/>
    <x v="819"/>
    <x v="0"/>
    <s v="India"/>
    <s v="Karnataka"/>
    <s v="Bengaluru"/>
    <x v="1"/>
    <x v="2"/>
    <x v="6"/>
    <x v="128"/>
    <n v="4441.71"/>
    <n v="6"/>
    <x v="0"/>
    <s v="Low"/>
    <n v="0.20328882344862678"/>
    <x v="819"/>
    <x v="0"/>
  </r>
  <r>
    <s v="ORD10820"/>
    <x v="2"/>
    <x v="3"/>
    <n v="12"/>
    <s v="Q4"/>
    <x v="820"/>
    <d v="2027-12-25T00:00:00"/>
    <s v="C1820"/>
    <x v="820"/>
    <x v="1"/>
    <s v="India"/>
    <s v="Karnataka"/>
    <s v="Bengaluru"/>
    <x v="1"/>
    <x v="2"/>
    <x v="4"/>
    <x v="148"/>
    <n v="42945.86"/>
    <n v="2"/>
    <x v="2"/>
    <s v="High"/>
    <n v="0.29192616005361172"/>
    <x v="820"/>
    <x v="3"/>
  </r>
  <r>
    <s v="ORD10821"/>
    <x v="2"/>
    <x v="3"/>
    <n v="12"/>
    <s v="Q4"/>
    <x v="821"/>
    <d v="2027-12-26T00:00:00"/>
    <s v="C1821"/>
    <x v="821"/>
    <x v="1"/>
    <s v="India"/>
    <s v="Haryana"/>
    <s v="Gurugram"/>
    <x v="0"/>
    <x v="1"/>
    <x v="1"/>
    <x v="118"/>
    <n v="3974.4"/>
    <n v="8"/>
    <x v="2"/>
    <s v="Low"/>
    <n v="0.28743458132045091"/>
    <x v="821"/>
    <x v="2"/>
  </r>
  <r>
    <s v="ORD10822"/>
    <x v="2"/>
    <x v="3"/>
    <n v="12"/>
    <s v="Q4"/>
    <x v="822"/>
    <d v="2027-12-27T00:00:00"/>
    <s v="C1822"/>
    <x v="822"/>
    <x v="0"/>
    <s v="India"/>
    <s v="Delhi"/>
    <s v="Delhi"/>
    <x v="0"/>
    <x v="2"/>
    <x v="4"/>
    <x v="11"/>
    <n v="9207.0499999999993"/>
    <n v="8"/>
    <x v="3"/>
    <s v="Low"/>
    <n v="8.670095198787886E-2"/>
    <x v="822"/>
    <x v="1"/>
  </r>
  <r>
    <s v="ORD10823"/>
    <x v="2"/>
    <x v="3"/>
    <n v="12"/>
    <s v="Q4"/>
    <x v="823"/>
    <d v="2027-12-28T00:00:00"/>
    <s v="C1823"/>
    <x v="823"/>
    <x v="1"/>
    <s v="India"/>
    <s v="Maharashtra"/>
    <s v="Mumbai"/>
    <x v="2"/>
    <x v="2"/>
    <x v="4"/>
    <x v="50"/>
    <n v="28953.74"/>
    <n v="6"/>
    <x v="3"/>
    <s v="Medium"/>
    <n v="0.13648495841987943"/>
    <x v="823"/>
    <x v="2"/>
  </r>
  <r>
    <s v="ORD10824"/>
    <x v="2"/>
    <x v="3"/>
    <n v="12"/>
    <s v="Q4"/>
    <x v="824"/>
    <d v="2027-12-29T00:00:00"/>
    <s v="C1824"/>
    <x v="824"/>
    <x v="2"/>
    <s v="India"/>
    <s v="Delhi"/>
    <s v="Delhi"/>
    <x v="0"/>
    <x v="1"/>
    <x v="1"/>
    <x v="145"/>
    <n v="1666.7"/>
    <n v="7"/>
    <x v="1"/>
    <s v="Low"/>
    <n v="0.15953680926381469"/>
    <x v="824"/>
    <x v="0"/>
  </r>
  <r>
    <s v="ORD10825"/>
    <x v="2"/>
    <x v="3"/>
    <n v="12"/>
    <s v="Q4"/>
    <x v="825"/>
    <d v="2027-12-30T00:00:00"/>
    <s v="C1825"/>
    <x v="825"/>
    <x v="2"/>
    <s v="India"/>
    <s v="Maharashtra"/>
    <s v="Mumbai"/>
    <x v="2"/>
    <x v="1"/>
    <x v="3"/>
    <x v="64"/>
    <n v="44612.06"/>
    <n v="8"/>
    <x v="1"/>
    <s v="High"/>
    <n v="8.333822737618482E-2"/>
    <x v="825"/>
    <x v="1"/>
  </r>
  <r>
    <s v="ORD10826"/>
    <x v="2"/>
    <x v="3"/>
    <n v="12"/>
    <s v="Q4"/>
    <x v="826"/>
    <d v="2027-12-31T00:00:00"/>
    <s v="C1826"/>
    <x v="826"/>
    <x v="2"/>
    <s v="India"/>
    <s v="Karnataka"/>
    <s v="Bengaluru"/>
    <x v="1"/>
    <x v="1"/>
    <x v="3"/>
    <x v="64"/>
    <n v="5675.81"/>
    <n v="6"/>
    <x v="2"/>
    <s v="Low"/>
    <n v="7.504655723147885E-2"/>
    <x v="826"/>
    <x v="1"/>
  </r>
  <r>
    <s v="ORD10827"/>
    <x v="2"/>
    <x v="3"/>
    <n v="12"/>
    <s v="Q4"/>
    <x v="827"/>
    <d v="2028-01-01T00:00:00"/>
    <s v="C1827"/>
    <x v="827"/>
    <x v="1"/>
    <s v="India"/>
    <s v="Karnataka"/>
    <s v="Bengaluru"/>
    <x v="1"/>
    <x v="2"/>
    <x v="6"/>
    <x v="8"/>
    <n v="31722.68"/>
    <n v="3"/>
    <x v="0"/>
    <s v="High"/>
    <n v="0.17179538424874571"/>
    <x v="827"/>
    <x v="3"/>
  </r>
  <r>
    <s v="ORD10828"/>
    <x v="2"/>
    <x v="3"/>
    <n v="12"/>
    <s v="Q4"/>
    <x v="828"/>
    <d v="2028-01-02T00:00:00"/>
    <s v="C1828"/>
    <x v="828"/>
    <x v="1"/>
    <s v="India"/>
    <s v="Delhi"/>
    <s v="Delhi"/>
    <x v="0"/>
    <x v="2"/>
    <x v="6"/>
    <x v="8"/>
    <n v="39723.93"/>
    <n v="5"/>
    <x v="0"/>
    <s v="High"/>
    <n v="0.14763972245445001"/>
    <x v="828"/>
    <x v="3"/>
  </r>
  <r>
    <s v="ORD10829"/>
    <x v="2"/>
    <x v="3"/>
    <n v="12"/>
    <s v="Q4"/>
    <x v="829"/>
    <d v="2028-01-03T00:00:00"/>
    <s v="C1829"/>
    <x v="829"/>
    <x v="0"/>
    <s v="India"/>
    <s v="West Bengal"/>
    <s v="Kolkata"/>
    <x v="3"/>
    <x v="0"/>
    <x v="0"/>
    <x v="111"/>
    <n v="26381.81"/>
    <n v="4"/>
    <x v="3"/>
    <s v="Medium"/>
    <n v="0.13454611340162029"/>
    <x v="829"/>
    <x v="2"/>
  </r>
  <r>
    <s v="ORD10830"/>
    <x v="2"/>
    <x v="3"/>
    <n v="12"/>
    <s v="Q4"/>
    <x v="830"/>
    <d v="2028-01-04T00:00:00"/>
    <s v="C1830"/>
    <x v="830"/>
    <x v="2"/>
    <s v="India"/>
    <s v="Karnataka"/>
    <s v="Bengaluru"/>
    <x v="1"/>
    <x v="2"/>
    <x v="8"/>
    <x v="175"/>
    <n v="47379.42"/>
    <n v="5"/>
    <x v="0"/>
    <s v="High"/>
    <n v="1.0723010117050822E-2"/>
    <x v="830"/>
    <x v="0"/>
  </r>
  <r>
    <s v="ORD10831"/>
    <x v="3"/>
    <x v="4"/>
    <n v="1"/>
    <s v="Q1"/>
    <x v="831"/>
    <d v="2028-01-05T00:00:00"/>
    <s v="C1831"/>
    <x v="831"/>
    <x v="1"/>
    <s v="India"/>
    <s v="Karnataka"/>
    <s v="Bengaluru"/>
    <x v="1"/>
    <x v="1"/>
    <x v="2"/>
    <x v="70"/>
    <n v="34399.74"/>
    <n v="7"/>
    <x v="1"/>
    <s v="High"/>
    <n v="-6.1040868332144373E-2"/>
    <x v="831"/>
    <x v="1"/>
  </r>
  <r>
    <s v="ORD10832"/>
    <x v="3"/>
    <x v="4"/>
    <n v="1"/>
    <s v="Q1"/>
    <x v="832"/>
    <d v="2028-01-06T00:00:00"/>
    <s v="C1832"/>
    <x v="832"/>
    <x v="2"/>
    <s v="India"/>
    <s v="West Bengal"/>
    <s v="Kolkata"/>
    <x v="3"/>
    <x v="2"/>
    <x v="4"/>
    <x v="4"/>
    <n v="7305.4"/>
    <n v="4"/>
    <x v="1"/>
    <s v="Low"/>
    <n v="0.13193528075122513"/>
    <x v="832"/>
    <x v="0"/>
  </r>
  <r>
    <s v="ORD10833"/>
    <x v="3"/>
    <x v="4"/>
    <n v="1"/>
    <s v="Q1"/>
    <x v="833"/>
    <d v="2028-01-07T00:00:00"/>
    <s v="C1833"/>
    <x v="833"/>
    <x v="2"/>
    <s v="India"/>
    <s v="Maharashtra"/>
    <s v="Mumbai"/>
    <x v="2"/>
    <x v="1"/>
    <x v="2"/>
    <x v="115"/>
    <n v="48033.59"/>
    <n v="1"/>
    <x v="2"/>
    <s v="High"/>
    <n v="0.19842447753748993"/>
    <x v="833"/>
    <x v="1"/>
  </r>
  <r>
    <s v="ORD10834"/>
    <x v="3"/>
    <x v="4"/>
    <n v="1"/>
    <s v="Q1"/>
    <x v="834"/>
    <d v="2028-01-08T00:00:00"/>
    <s v="C1834"/>
    <x v="834"/>
    <x v="1"/>
    <s v="India"/>
    <s v="Maharashtra"/>
    <s v="Mumbai"/>
    <x v="2"/>
    <x v="2"/>
    <x v="4"/>
    <x v="69"/>
    <n v="13778.98"/>
    <n v="3"/>
    <x v="3"/>
    <s v="Medium"/>
    <n v="0.18201855289723914"/>
    <x v="834"/>
    <x v="0"/>
  </r>
  <r>
    <s v="ORD10835"/>
    <x v="3"/>
    <x v="4"/>
    <n v="1"/>
    <s v="Q1"/>
    <x v="835"/>
    <d v="2028-01-09T00:00:00"/>
    <s v="C1835"/>
    <x v="835"/>
    <x v="0"/>
    <s v="India"/>
    <s v="Delhi"/>
    <s v="Delhi"/>
    <x v="0"/>
    <x v="2"/>
    <x v="6"/>
    <x v="167"/>
    <n v="1633.61"/>
    <n v="4"/>
    <x v="3"/>
    <s v="Low"/>
    <n v="0.10293154424862729"/>
    <x v="835"/>
    <x v="0"/>
  </r>
  <r>
    <s v="ORD10836"/>
    <x v="3"/>
    <x v="4"/>
    <n v="1"/>
    <s v="Q1"/>
    <x v="836"/>
    <d v="2028-01-10T00:00:00"/>
    <s v="C1836"/>
    <x v="836"/>
    <x v="1"/>
    <s v="India"/>
    <s v="Delhi"/>
    <s v="Delhi"/>
    <x v="0"/>
    <x v="1"/>
    <x v="3"/>
    <x v="156"/>
    <n v="28928.04"/>
    <n v="6"/>
    <x v="1"/>
    <s v="Medium"/>
    <n v="-3.389203001655141E-2"/>
    <x v="836"/>
    <x v="2"/>
  </r>
  <r>
    <s v="ORD10837"/>
    <x v="3"/>
    <x v="4"/>
    <n v="1"/>
    <s v="Q1"/>
    <x v="837"/>
    <d v="2028-01-11T00:00:00"/>
    <s v="C1837"/>
    <x v="837"/>
    <x v="2"/>
    <s v="India"/>
    <s v="Karnataka"/>
    <s v="Bengaluru"/>
    <x v="1"/>
    <x v="2"/>
    <x v="4"/>
    <x v="137"/>
    <n v="25146.19"/>
    <n v="1"/>
    <x v="1"/>
    <s v="Medium"/>
    <n v="8.6678737415091509E-2"/>
    <x v="837"/>
    <x v="1"/>
  </r>
  <r>
    <s v="ORD10838"/>
    <x v="3"/>
    <x v="4"/>
    <n v="1"/>
    <s v="Q1"/>
    <x v="838"/>
    <d v="2028-01-12T00:00:00"/>
    <s v="C1838"/>
    <x v="838"/>
    <x v="2"/>
    <s v="India"/>
    <s v="Maharashtra"/>
    <s v="Mumbai"/>
    <x v="2"/>
    <x v="1"/>
    <x v="1"/>
    <x v="118"/>
    <n v="42085.88"/>
    <n v="7"/>
    <x v="3"/>
    <s v="High"/>
    <n v="0.12283573493057529"/>
    <x v="838"/>
    <x v="1"/>
  </r>
  <r>
    <s v="ORD10839"/>
    <x v="3"/>
    <x v="4"/>
    <n v="1"/>
    <s v="Q1"/>
    <x v="839"/>
    <d v="2028-01-13T00:00:00"/>
    <s v="C1839"/>
    <x v="839"/>
    <x v="0"/>
    <s v="India"/>
    <s v="Delhi"/>
    <s v="Delhi"/>
    <x v="0"/>
    <x v="0"/>
    <x v="5"/>
    <x v="161"/>
    <n v="20433.189999999999"/>
    <n v="2"/>
    <x v="0"/>
    <s v="Medium"/>
    <n v="-2.2829034526669602E-2"/>
    <x v="839"/>
    <x v="2"/>
  </r>
  <r>
    <s v="ORD10840"/>
    <x v="3"/>
    <x v="4"/>
    <n v="1"/>
    <s v="Q1"/>
    <x v="840"/>
    <d v="2028-01-14T00:00:00"/>
    <s v="C1840"/>
    <x v="840"/>
    <x v="1"/>
    <s v="India"/>
    <s v="Maharashtra"/>
    <s v="Mumbai"/>
    <x v="2"/>
    <x v="2"/>
    <x v="8"/>
    <x v="46"/>
    <n v="38947.760000000002"/>
    <n v="4"/>
    <x v="2"/>
    <s v="High"/>
    <n v="0.13961778546442721"/>
    <x v="840"/>
    <x v="2"/>
  </r>
  <r>
    <s v="ORD10841"/>
    <x v="3"/>
    <x v="4"/>
    <n v="1"/>
    <s v="Q1"/>
    <x v="841"/>
    <d v="2028-01-15T00:00:00"/>
    <s v="C1841"/>
    <x v="841"/>
    <x v="0"/>
    <s v="India"/>
    <s v="Haryana"/>
    <s v="Gurugram"/>
    <x v="0"/>
    <x v="0"/>
    <x v="0"/>
    <x v="73"/>
    <n v="29997.599999999999"/>
    <n v="2"/>
    <x v="2"/>
    <s v="Medium"/>
    <n v="6.288303064245139E-2"/>
    <x v="841"/>
    <x v="0"/>
  </r>
  <r>
    <s v="ORD10842"/>
    <x v="3"/>
    <x v="4"/>
    <n v="1"/>
    <s v="Q1"/>
    <x v="842"/>
    <d v="2028-01-16T00:00:00"/>
    <s v="C1842"/>
    <x v="842"/>
    <x v="1"/>
    <s v="India"/>
    <s v="Maharashtra"/>
    <s v="Mumbai"/>
    <x v="2"/>
    <x v="0"/>
    <x v="7"/>
    <x v="144"/>
    <n v="40623.33"/>
    <n v="3"/>
    <x v="0"/>
    <s v="High"/>
    <n v="7.1279237817283812E-3"/>
    <x v="842"/>
    <x v="1"/>
  </r>
  <r>
    <s v="ORD10843"/>
    <x v="3"/>
    <x v="4"/>
    <n v="1"/>
    <s v="Q1"/>
    <x v="843"/>
    <d v="2028-01-17T00:00:00"/>
    <s v="C1843"/>
    <x v="843"/>
    <x v="2"/>
    <s v="India"/>
    <s v="West Bengal"/>
    <s v="Kolkata"/>
    <x v="3"/>
    <x v="0"/>
    <x v="5"/>
    <x v="16"/>
    <n v="12537.37"/>
    <n v="1"/>
    <x v="0"/>
    <s v="Medium"/>
    <n v="-2.4399056580447092E-2"/>
    <x v="843"/>
    <x v="0"/>
  </r>
  <r>
    <s v="ORD10844"/>
    <x v="3"/>
    <x v="4"/>
    <n v="1"/>
    <s v="Q1"/>
    <x v="844"/>
    <d v="2028-01-18T00:00:00"/>
    <s v="C1844"/>
    <x v="844"/>
    <x v="2"/>
    <s v="India"/>
    <s v="Delhi"/>
    <s v="Delhi"/>
    <x v="0"/>
    <x v="2"/>
    <x v="8"/>
    <x v="65"/>
    <n v="14619.67"/>
    <n v="8"/>
    <x v="3"/>
    <s v="Medium"/>
    <n v="0.15811095599285074"/>
    <x v="844"/>
    <x v="1"/>
  </r>
  <r>
    <s v="ORD10845"/>
    <x v="3"/>
    <x v="4"/>
    <n v="1"/>
    <s v="Q1"/>
    <x v="845"/>
    <d v="2028-01-19T00:00:00"/>
    <s v="C1845"/>
    <x v="845"/>
    <x v="1"/>
    <s v="India"/>
    <s v="West Bengal"/>
    <s v="Kolkata"/>
    <x v="3"/>
    <x v="1"/>
    <x v="1"/>
    <x v="23"/>
    <n v="33147.339999999997"/>
    <n v="6"/>
    <x v="3"/>
    <s v="High"/>
    <n v="0.23384862857773808"/>
    <x v="845"/>
    <x v="2"/>
  </r>
  <r>
    <s v="ORD10846"/>
    <x v="3"/>
    <x v="4"/>
    <n v="1"/>
    <s v="Q1"/>
    <x v="846"/>
    <d v="2028-01-20T00:00:00"/>
    <s v="C1846"/>
    <x v="846"/>
    <x v="0"/>
    <s v="India"/>
    <s v="Haryana"/>
    <s v="Gurugram"/>
    <x v="0"/>
    <x v="1"/>
    <x v="1"/>
    <x v="82"/>
    <n v="590.23"/>
    <n v="7"/>
    <x v="0"/>
    <s v="Low"/>
    <n v="0.11520932517832032"/>
    <x v="846"/>
    <x v="1"/>
  </r>
  <r>
    <s v="ORD10847"/>
    <x v="3"/>
    <x v="4"/>
    <n v="1"/>
    <s v="Q1"/>
    <x v="847"/>
    <d v="2028-01-21T00:00:00"/>
    <s v="C1847"/>
    <x v="847"/>
    <x v="2"/>
    <s v="India"/>
    <s v="West Bengal"/>
    <s v="Kolkata"/>
    <x v="3"/>
    <x v="1"/>
    <x v="1"/>
    <x v="1"/>
    <n v="40689.49"/>
    <n v="5"/>
    <x v="2"/>
    <s v="High"/>
    <n v="7.6549005652319549E-2"/>
    <x v="847"/>
    <x v="3"/>
  </r>
  <r>
    <s v="ORD10848"/>
    <x v="3"/>
    <x v="4"/>
    <n v="1"/>
    <s v="Q1"/>
    <x v="848"/>
    <d v="2028-01-22T00:00:00"/>
    <s v="C1848"/>
    <x v="848"/>
    <x v="0"/>
    <s v="India"/>
    <s v="West Bengal"/>
    <s v="Kolkata"/>
    <x v="3"/>
    <x v="1"/>
    <x v="2"/>
    <x v="125"/>
    <n v="32044.97"/>
    <n v="4"/>
    <x v="2"/>
    <s v="High"/>
    <n v="0.11079492350905618"/>
    <x v="848"/>
    <x v="3"/>
  </r>
  <r>
    <s v="ORD10849"/>
    <x v="3"/>
    <x v="4"/>
    <n v="1"/>
    <s v="Q1"/>
    <x v="849"/>
    <d v="2028-01-23T00:00:00"/>
    <s v="C1849"/>
    <x v="849"/>
    <x v="2"/>
    <s v="India"/>
    <s v="Karnataka"/>
    <s v="Bengaluru"/>
    <x v="1"/>
    <x v="2"/>
    <x v="8"/>
    <x v="92"/>
    <n v="12119.65"/>
    <n v="7"/>
    <x v="2"/>
    <s v="Medium"/>
    <n v="9.6089408522523331E-2"/>
    <x v="849"/>
    <x v="0"/>
  </r>
  <r>
    <s v="ORD10850"/>
    <x v="3"/>
    <x v="4"/>
    <n v="1"/>
    <s v="Q1"/>
    <x v="850"/>
    <d v="2028-01-24T00:00:00"/>
    <s v="C1850"/>
    <x v="850"/>
    <x v="2"/>
    <s v="India"/>
    <s v="West Bengal"/>
    <s v="Kolkata"/>
    <x v="3"/>
    <x v="0"/>
    <x v="7"/>
    <x v="53"/>
    <n v="11425.44"/>
    <n v="3"/>
    <x v="2"/>
    <s v="Medium"/>
    <n v="0.26066392191460458"/>
    <x v="850"/>
    <x v="3"/>
  </r>
  <r>
    <s v="ORD10851"/>
    <x v="3"/>
    <x v="4"/>
    <n v="1"/>
    <s v="Q1"/>
    <x v="851"/>
    <d v="2028-01-25T00:00:00"/>
    <s v="C1851"/>
    <x v="851"/>
    <x v="0"/>
    <s v="India"/>
    <s v="Haryana"/>
    <s v="Gurugram"/>
    <x v="0"/>
    <x v="0"/>
    <x v="5"/>
    <x v="39"/>
    <n v="24331.47"/>
    <n v="2"/>
    <x v="2"/>
    <s v="Medium"/>
    <n v="0.27740946190263061"/>
    <x v="851"/>
    <x v="0"/>
  </r>
  <r>
    <s v="ORD10852"/>
    <x v="3"/>
    <x v="4"/>
    <n v="1"/>
    <s v="Q1"/>
    <x v="852"/>
    <d v="2028-01-26T00:00:00"/>
    <s v="C1852"/>
    <x v="852"/>
    <x v="2"/>
    <s v="India"/>
    <s v="Delhi"/>
    <s v="Delhi"/>
    <x v="0"/>
    <x v="2"/>
    <x v="8"/>
    <x v="114"/>
    <n v="13102.68"/>
    <n v="7"/>
    <x v="2"/>
    <s v="Medium"/>
    <n v="0.26161518101640274"/>
    <x v="852"/>
    <x v="3"/>
  </r>
  <r>
    <s v="ORD10853"/>
    <x v="3"/>
    <x v="4"/>
    <n v="1"/>
    <s v="Q1"/>
    <x v="853"/>
    <d v="2028-01-27T00:00:00"/>
    <s v="C1853"/>
    <x v="853"/>
    <x v="1"/>
    <s v="India"/>
    <s v="Haryana"/>
    <s v="Gurugram"/>
    <x v="0"/>
    <x v="1"/>
    <x v="3"/>
    <x v="33"/>
    <n v="30518.78"/>
    <n v="7"/>
    <x v="1"/>
    <s v="High"/>
    <n v="0.13221137935395844"/>
    <x v="853"/>
    <x v="0"/>
  </r>
  <r>
    <s v="ORD10854"/>
    <x v="3"/>
    <x v="4"/>
    <n v="1"/>
    <s v="Q1"/>
    <x v="854"/>
    <d v="2028-01-28T00:00:00"/>
    <s v="C1854"/>
    <x v="854"/>
    <x v="0"/>
    <s v="India"/>
    <s v="Haryana"/>
    <s v="Gurugram"/>
    <x v="0"/>
    <x v="1"/>
    <x v="3"/>
    <x v="117"/>
    <n v="13947.73"/>
    <n v="2"/>
    <x v="3"/>
    <s v="Medium"/>
    <n v="0.1414861056243561"/>
    <x v="854"/>
    <x v="0"/>
  </r>
  <r>
    <s v="ORD10855"/>
    <x v="3"/>
    <x v="4"/>
    <n v="1"/>
    <s v="Q1"/>
    <x v="855"/>
    <d v="2028-01-29T00:00:00"/>
    <s v="C1855"/>
    <x v="855"/>
    <x v="2"/>
    <s v="India"/>
    <s v="Delhi"/>
    <s v="Delhi"/>
    <x v="0"/>
    <x v="1"/>
    <x v="3"/>
    <x v="52"/>
    <n v="33167.18"/>
    <n v="3"/>
    <x v="2"/>
    <s v="High"/>
    <n v="0.25260272353573626"/>
    <x v="855"/>
    <x v="0"/>
  </r>
  <r>
    <s v="ORD10856"/>
    <x v="3"/>
    <x v="4"/>
    <n v="1"/>
    <s v="Q1"/>
    <x v="856"/>
    <d v="2028-01-30T00:00:00"/>
    <s v="C1856"/>
    <x v="856"/>
    <x v="1"/>
    <s v="India"/>
    <s v="Karnataka"/>
    <s v="Bengaluru"/>
    <x v="1"/>
    <x v="1"/>
    <x v="3"/>
    <x v="64"/>
    <n v="37803.39"/>
    <n v="5"/>
    <x v="3"/>
    <s v="High"/>
    <n v="3.8821386124366093E-2"/>
    <x v="856"/>
    <x v="2"/>
  </r>
  <r>
    <s v="ORD10857"/>
    <x v="3"/>
    <x v="4"/>
    <n v="1"/>
    <s v="Q1"/>
    <x v="857"/>
    <d v="2028-01-31T00:00:00"/>
    <s v="C1857"/>
    <x v="857"/>
    <x v="0"/>
    <s v="India"/>
    <s v="Haryana"/>
    <s v="Gurugram"/>
    <x v="0"/>
    <x v="1"/>
    <x v="3"/>
    <x v="117"/>
    <n v="19623.419999999998"/>
    <n v="7"/>
    <x v="0"/>
    <s v="Medium"/>
    <n v="0.18887737203810551"/>
    <x v="857"/>
    <x v="2"/>
  </r>
  <r>
    <s v="ORD10858"/>
    <x v="3"/>
    <x v="4"/>
    <n v="1"/>
    <s v="Q1"/>
    <x v="858"/>
    <d v="2028-02-01T00:00:00"/>
    <s v="C1858"/>
    <x v="858"/>
    <x v="0"/>
    <s v="India"/>
    <s v="Karnataka"/>
    <s v="Bengaluru"/>
    <x v="1"/>
    <x v="1"/>
    <x v="1"/>
    <x v="145"/>
    <n v="22930.639999999999"/>
    <n v="6"/>
    <x v="0"/>
    <s v="Medium"/>
    <n v="0.13361903549137746"/>
    <x v="858"/>
    <x v="1"/>
  </r>
  <r>
    <s v="ORD10859"/>
    <x v="3"/>
    <x v="4"/>
    <n v="1"/>
    <s v="Q1"/>
    <x v="859"/>
    <d v="2028-02-02T00:00:00"/>
    <s v="C1859"/>
    <x v="859"/>
    <x v="2"/>
    <s v="India"/>
    <s v="Haryana"/>
    <s v="Gurugram"/>
    <x v="0"/>
    <x v="2"/>
    <x v="8"/>
    <x v="24"/>
    <n v="15410"/>
    <n v="5"/>
    <x v="1"/>
    <s v="Medium"/>
    <n v="6.6482154445165476E-2"/>
    <x v="859"/>
    <x v="0"/>
  </r>
  <r>
    <s v="ORD10860"/>
    <x v="3"/>
    <x v="4"/>
    <n v="1"/>
    <s v="Q1"/>
    <x v="860"/>
    <d v="2028-02-03T00:00:00"/>
    <s v="C1860"/>
    <x v="860"/>
    <x v="0"/>
    <s v="India"/>
    <s v="Delhi"/>
    <s v="Delhi"/>
    <x v="0"/>
    <x v="1"/>
    <x v="2"/>
    <x v="125"/>
    <n v="25787.73"/>
    <n v="2"/>
    <x v="0"/>
    <s v="Medium"/>
    <n v="1.2633915431873996E-3"/>
    <x v="860"/>
    <x v="3"/>
  </r>
  <r>
    <s v="ORD10861"/>
    <x v="3"/>
    <x v="4"/>
    <n v="1"/>
    <s v="Q1"/>
    <x v="861"/>
    <d v="2028-02-04T00:00:00"/>
    <s v="C1861"/>
    <x v="861"/>
    <x v="1"/>
    <s v="India"/>
    <s v="Haryana"/>
    <s v="Gurugram"/>
    <x v="0"/>
    <x v="2"/>
    <x v="4"/>
    <x v="18"/>
    <n v="30393.86"/>
    <n v="2"/>
    <x v="0"/>
    <s v="High"/>
    <n v="0.18972384553985572"/>
    <x v="861"/>
    <x v="1"/>
  </r>
  <r>
    <s v="ORD10862"/>
    <x v="3"/>
    <x v="5"/>
    <n v="2"/>
    <s v="Q1"/>
    <x v="862"/>
    <d v="2028-02-05T00:00:00"/>
    <s v="C1862"/>
    <x v="862"/>
    <x v="2"/>
    <s v="India"/>
    <s v="Haryana"/>
    <s v="Gurugram"/>
    <x v="0"/>
    <x v="0"/>
    <x v="5"/>
    <x v="142"/>
    <n v="11620.46"/>
    <n v="8"/>
    <x v="3"/>
    <s v="Medium"/>
    <n v="0.14017173158377552"/>
    <x v="862"/>
    <x v="0"/>
  </r>
  <r>
    <s v="ORD10863"/>
    <x v="3"/>
    <x v="5"/>
    <n v="2"/>
    <s v="Q1"/>
    <x v="863"/>
    <d v="2028-02-06T00:00:00"/>
    <s v="C1863"/>
    <x v="863"/>
    <x v="0"/>
    <s v="India"/>
    <s v="Karnataka"/>
    <s v="Bengaluru"/>
    <x v="1"/>
    <x v="0"/>
    <x v="0"/>
    <x v="91"/>
    <n v="25783.34"/>
    <n v="7"/>
    <x v="2"/>
    <s v="Medium"/>
    <n v="8.7192737636008363E-2"/>
    <x v="863"/>
    <x v="1"/>
  </r>
  <r>
    <s v="ORD10864"/>
    <x v="3"/>
    <x v="5"/>
    <n v="2"/>
    <s v="Q1"/>
    <x v="864"/>
    <d v="2028-02-07T00:00:00"/>
    <s v="C1864"/>
    <x v="864"/>
    <x v="1"/>
    <s v="India"/>
    <s v="West Bengal"/>
    <s v="Kolkata"/>
    <x v="3"/>
    <x v="1"/>
    <x v="1"/>
    <x v="112"/>
    <n v="15643.69"/>
    <n v="5"/>
    <x v="3"/>
    <s v="Medium"/>
    <n v="0.16625233560624125"/>
    <x v="864"/>
    <x v="3"/>
  </r>
  <r>
    <s v="ORD10865"/>
    <x v="3"/>
    <x v="5"/>
    <n v="2"/>
    <s v="Q1"/>
    <x v="865"/>
    <d v="2028-02-08T00:00:00"/>
    <s v="C1865"/>
    <x v="865"/>
    <x v="1"/>
    <s v="India"/>
    <s v="West Bengal"/>
    <s v="Kolkata"/>
    <x v="3"/>
    <x v="0"/>
    <x v="5"/>
    <x v="171"/>
    <n v="35929.370000000003"/>
    <n v="5"/>
    <x v="1"/>
    <s v="High"/>
    <n v="4.1062506801538681E-2"/>
    <x v="865"/>
    <x v="1"/>
  </r>
  <r>
    <s v="ORD10866"/>
    <x v="3"/>
    <x v="5"/>
    <n v="2"/>
    <s v="Q1"/>
    <x v="866"/>
    <d v="2028-02-09T00:00:00"/>
    <s v="C1866"/>
    <x v="866"/>
    <x v="0"/>
    <s v="India"/>
    <s v="Delhi"/>
    <s v="Delhi"/>
    <x v="0"/>
    <x v="1"/>
    <x v="1"/>
    <x v="1"/>
    <n v="41788.32"/>
    <n v="3"/>
    <x v="0"/>
    <s v="High"/>
    <n v="1.1288321712861394E-2"/>
    <x v="866"/>
    <x v="0"/>
  </r>
  <r>
    <s v="ORD10867"/>
    <x v="3"/>
    <x v="5"/>
    <n v="2"/>
    <s v="Q1"/>
    <x v="867"/>
    <d v="2028-02-10T00:00:00"/>
    <s v="C1867"/>
    <x v="867"/>
    <x v="1"/>
    <s v="India"/>
    <s v="Maharashtra"/>
    <s v="Mumbai"/>
    <x v="2"/>
    <x v="0"/>
    <x v="7"/>
    <x v="17"/>
    <n v="26887.14"/>
    <n v="6"/>
    <x v="3"/>
    <s v="Medium"/>
    <n v="5.7757351655847375E-2"/>
    <x v="867"/>
    <x v="2"/>
  </r>
  <r>
    <s v="ORD10868"/>
    <x v="3"/>
    <x v="5"/>
    <n v="2"/>
    <s v="Q1"/>
    <x v="868"/>
    <d v="2028-02-11T00:00:00"/>
    <s v="C1868"/>
    <x v="868"/>
    <x v="1"/>
    <s v="India"/>
    <s v="West Bengal"/>
    <s v="Kolkata"/>
    <x v="3"/>
    <x v="1"/>
    <x v="2"/>
    <x v="141"/>
    <n v="1743.69"/>
    <n v="3"/>
    <x v="3"/>
    <s v="Low"/>
    <n v="9.5682145335466734E-2"/>
    <x v="868"/>
    <x v="0"/>
  </r>
  <r>
    <s v="ORD10869"/>
    <x v="3"/>
    <x v="5"/>
    <n v="2"/>
    <s v="Q1"/>
    <x v="869"/>
    <d v="2028-02-12T00:00:00"/>
    <s v="C1869"/>
    <x v="869"/>
    <x v="0"/>
    <s v="India"/>
    <s v="Delhi"/>
    <s v="Delhi"/>
    <x v="0"/>
    <x v="1"/>
    <x v="2"/>
    <x v="98"/>
    <n v="23084.91"/>
    <n v="6"/>
    <x v="3"/>
    <s v="Medium"/>
    <n v="0.16682542838590231"/>
    <x v="869"/>
    <x v="1"/>
  </r>
  <r>
    <s v="ORD10870"/>
    <x v="3"/>
    <x v="5"/>
    <n v="2"/>
    <s v="Q1"/>
    <x v="870"/>
    <d v="2028-02-13T00:00:00"/>
    <s v="C1870"/>
    <x v="870"/>
    <x v="1"/>
    <s v="India"/>
    <s v="West Bengal"/>
    <s v="Kolkata"/>
    <x v="3"/>
    <x v="0"/>
    <x v="0"/>
    <x v="49"/>
    <n v="26022.73"/>
    <n v="1"/>
    <x v="2"/>
    <s v="Medium"/>
    <n v="8.8177527876590958E-2"/>
    <x v="870"/>
    <x v="2"/>
  </r>
  <r>
    <s v="ORD10871"/>
    <x v="3"/>
    <x v="5"/>
    <n v="2"/>
    <s v="Q1"/>
    <x v="871"/>
    <d v="2028-02-14T00:00:00"/>
    <s v="C1871"/>
    <x v="871"/>
    <x v="2"/>
    <s v="India"/>
    <s v="West Bengal"/>
    <s v="Kolkata"/>
    <x v="3"/>
    <x v="1"/>
    <x v="3"/>
    <x v="121"/>
    <n v="33177.49"/>
    <n v="2"/>
    <x v="2"/>
    <s v="High"/>
    <n v="0.29671352474222734"/>
    <x v="871"/>
    <x v="2"/>
  </r>
  <r>
    <s v="ORD10872"/>
    <x v="3"/>
    <x v="5"/>
    <n v="2"/>
    <s v="Q1"/>
    <x v="872"/>
    <d v="2028-02-15T00:00:00"/>
    <s v="C1872"/>
    <x v="872"/>
    <x v="0"/>
    <s v="India"/>
    <s v="Maharashtra"/>
    <s v="Mumbai"/>
    <x v="2"/>
    <x v="2"/>
    <x v="4"/>
    <x v="165"/>
    <n v="30431"/>
    <n v="5"/>
    <x v="3"/>
    <s v="High"/>
    <n v="0.11674213795143111"/>
    <x v="872"/>
    <x v="2"/>
  </r>
  <r>
    <s v="ORD10873"/>
    <x v="3"/>
    <x v="5"/>
    <n v="2"/>
    <s v="Q1"/>
    <x v="873"/>
    <d v="2028-02-16T00:00:00"/>
    <s v="C1873"/>
    <x v="873"/>
    <x v="1"/>
    <s v="India"/>
    <s v="Delhi"/>
    <s v="Delhi"/>
    <x v="0"/>
    <x v="1"/>
    <x v="3"/>
    <x v="12"/>
    <n v="11625.23"/>
    <n v="5"/>
    <x v="1"/>
    <s v="Medium"/>
    <n v="0.16764313480249424"/>
    <x v="873"/>
    <x v="3"/>
  </r>
  <r>
    <s v="ORD10874"/>
    <x v="3"/>
    <x v="5"/>
    <n v="2"/>
    <s v="Q1"/>
    <x v="874"/>
    <d v="2028-02-17T00:00:00"/>
    <s v="C1874"/>
    <x v="874"/>
    <x v="0"/>
    <s v="India"/>
    <s v="Delhi"/>
    <s v="Delhi"/>
    <x v="0"/>
    <x v="1"/>
    <x v="3"/>
    <x v="102"/>
    <n v="8080.36"/>
    <n v="1"/>
    <x v="1"/>
    <s v="Low"/>
    <n v="4.9319584770975547E-2"/>
    <x v="874"/>
    <x v="3"/>
  </r>
  <r>
    <s v="ORD10875"/>
    <x v="3"/>
    <x v="5"/>
    <n v="2"/>
    <s v="Q1"/>
    <x v="875"/>
    <d v="2028-02-18T00:00:00"/>
    <s v="C1875"/>
    <x v="875"/>
    <x v="1"/>
    <s v="India"/>
    <s v="Haryana"/>
    <s v="Gurugram"/>
    <x v="0"/>
    <x v="0"/>
    <x v="7"/>
    <x v="122"/>
    <n v="13937.5"/>
    <n v="3"/>
    <x v="3"/>
    <s v="Medium"/>
    <n v="0.2595695067264574"/>
    <x v="875"/>
    <x v="3"/>
  </r>
  <r>
    <s v="ORD10876"/>
    <x v="3"/>
    <x v="5"/>
    <n v="2"/>
    <s v="Q1"/>
    <x v="876"/>
    <d v="2028-02-19T00:00:00"/>
    <s v="C1876"/>
    <x v="876"/>
    <x v="2"/>
    <s v="India"/>
    <s v="Haryana"/>
    <s v="Gurugram"/>
    <x v="0"/>
    <x v="0"/>
    <x v="5"/>
    <x v="159"/>
    <n v="9120.73"/>
    <n v="8"/>
    <x v="1"/>
    <s v="Low"/>
    <n v="1.5611688976649895E-2"/>
    <x v="876"/>
    <x v="3"/>
  </r>
  <r>
    <s v="ORD10877"/>
    <x v="3"/>
    <x v="5"/>
    <n v="2"/>
    <s v="Q1"/>
    <x v="877"/>
    <d v="2028-02-20T00:00:00"/>
    <s v="C1877"/>
    <x v="877"/>
    <x v="0"/>
    <s v="India"/>
    <s v="Karnataka"/>
    <s v="Bengaluru"/>
    <x v="1"/>
    <x v="2"/>
    <x v="6"/>
    <x v="9"/>
    <n v="8721.36"/>
    <n v="8"/>
    <x v="0"/>
    <s v="Low"/>
    <n v="0.19132222497408657"/>
    <x v="877"/>
    <x v="1"/>
  </r>
  <r>
    <s v="ORD10878"/>
    <x v="3"/>
    <x v="5"/>
    <n v="2"/>
    <s v="Q1"/>
    <x v="878"/>
    <d v="2028-02-21T00:00:00"/>
    <s v="C1878"/>
    <x v="878"/>
    <x v="2"/>
    <s v="India"/>
    <s v="Haryana"/>
    <s v="Gurugram"/>
    <x v="0"/>
    <x v="0"/>
    <x v="5"/>
    <x v="6"/>
    <n v="37855.74"/>
    <n v="5"/>
    <x v="1"/>
    <s v="High"/>
    <n v="9.1248777596211306E-2"/>
    <x v="878"/>
    <x v="1"/>
  </r>
  <r>
    <s v="ORD10879"/>
    <x v="3"/>
    <x v="5"/>
    <n v="2"/>
    <s v="Q1"/>
    <x v="879"/>
    <d v="2028-02-22T00:00:00"/>
    <s v="C1879"/>
    <x v="879"/>
    <x v="1"/>
    <s v="India"/>
    <s v="Maharashtra"/>
    <s v="Mumbai"/>
    <x v="2"/>
    <x v="0"/>
    <x v="5"/>
    <x v="124"/>
    <n v="29812.74"/>
    <n v="7"/>
    <x v="1"/>
    <s v="Medium"/>
    <n v="7.3326705294447944E-2"/>
    <x v="879"/>
    <x v="3"/>
  </r>
  <r>
    <s v="ORD10880"/>
    <x v="3"/>
    <x v="5"/>
    <n v="2"/>
    <s v="Q1"/>
    <x v="880"/>
    <d v="2028-02-23T00:00:00"/>
    <s v="C1880"/>
    <x v="880"/>
    <x v="0"/>
    <s v="India"/>
    <s v="Maharashtra"/>
    <s v="Mumbai"/>
    <x v="2"/>
    <x v="1"/>
    <x v="1"/>
    <x v="23"/>
    <n v="42511.64"/>
    <n v="1"/>
    <x v="0"/>
    <s v="High"/>
    <n v="9.0607889980250114E-2"/>
    <x v="880"/>
    <x v="2"/>
  </r>
  <r>
    <s v="ORD10881"/>
    <x v="3"/>
    <x v="5"/>
    <n v="2"/>
    <s v="Q1"/>
    <x v="881"/>
    <d v="2028-02-24T00:00:00"/>
    <s v="C1881"/>
    <x v="881"/>
    <x v="2"/>
    <s v="India"/>
    <s v="Haryana"/>
    <s v="Gurugram"/>
    <x v="0"/>
    <x v="1"/>
    <x v="3"/>
    <x v="52"/>
    <n v="2054.6999999999998"/>
    <n v="6"/>
    <x v="0"/>
    <s v="Low"/>
    <n v="1.6031537450722732E-2"/>
    <x v="881"/>
    <x v="1"/>
  </r>
  <r>
    <s v="ORD10882"/>
    <x v="3"/>
    <x v="5"/>
    <n v="2"/>
    <s v="Q1"/>
    <x v="882"/>
    <d v="2028-02-25T00:00:00"/>
    <s v="C1882"/>
    <x v="882"/>
    <x v="1"/>
    <s v="India"/>
    <s v="Karnataka"/>
    <s v="Bengaluru"/>
    <x v="1"/>
    <x v="1"/>
    <x v="2"/>
    <x v="125"/>
    <n v="16330.53"/>
    <n v="1"/>
    <x v="2"/>
    <s v="Medium"/>
    <n v="0.13648852792897717"/>
    <x v="882"/>
    <x v="1"/>
  </r>
  <r>
    <s v="ORD10883"/>
    <x v="3"/>
    <x v="5"/>
    <n v="2"/>
    <s v="Q1"/>
    <x v="883"/>
    <d v="2028-02-26T00:00:00"/>
    <s v="C1883"/>
    <x v="883"/>
    <x v="1"/>
    <s v="India"/>
    <s v="Maharashtra"/>
    <s v="Mumbai"/>
    <x v="2"/>
    <x v="1"/>
    <x v="3"/>
    <x v="102"/>
    <n v="42169.68"/>
    <n v="3"/>
    <x v="3"/>
    <s v="High"/>
    <n v="3.475245721570569E-2"/>
    <x v="883"/>
    <x v="3"/>
  </r>
  <r>
    <s v="ORD10884"/>
    <x v="3"/>
    <x v="5"/>
    <n v="2"/>
    <s v="Q1"/>
    <x v="884"/>
    <d v="2028-02-27T00:00:00"/>
    <s v="C1884"/>
    <x v="884"/>
    <x v="1"/>
    <s v="India"/>
    <s v="Karnataka"/>
    <s v="Bengaluru"/>
    <x v="1"/>
    <x v="1"/>
    <x v="2"/>
    <x v="170"/>
    <n v="33184.050000000003"/>
    <n v="3"/>
    <x v="3"/>
    <s v="High"/>
    <n v="0.15829924316049426"/>
    <x v="884"/>
    <x v="2"/>
  </r>
  <r>
    <s v="ORD10885"/>
    <x v="3"/>
    <x v="5"/>
    <n v="2"/>
    <s v="Q1"/>
    <x v="885"/>
    <d v="2028-02-28T00:00:00"/>
    <s v="C1885"/>
    <x v="885"/>
    <x v="0"/>
    <s v="India"/>
    <s v="Karnataka"/>
    <s v="Bengaluru"/>
    <x v="1"/>
    <x v="2"/>
    <x v="6"/>
    <x v="179"/>
    <n v="49634.04"/>
    <n v="7"/>
    <x v="2"/>
    <s v="High"/>
    <n v="0.16646136401550227"/>
    <x v="885"/>
    <x v="0"/>
  </r>
  <r>
    <s v="ORD10886"/>
    <x v="3"/>
    <x v="5"/>
    <n v="2"/>
    <s v="Q1"/>
    <x v="886"/>
    <d v="2028-02-29T00:00:00"/>
    <s v="C1886"/>
    <x v="886"/>
    <x v="0"/>
    <s v="India"/>
    <s v="West Bengal"/>
    <s v="Kolkata"/>
    <x v="3"/>
    <x v="0"/>
    <x v="5"/>
    <x v="39"/>
    <n v="49452.67"/>
    <n v="5"/>
    <x v="0"/>
    <s v="High"/>
    <n v="5.1505206897827768E-2"/>
    <x v="886"/>
    <x v="2"/>
  </r>
  <r>
    <s v="ORD10887"/>
    <x v="3"/>
    <x v="5"/>
    <n v="2"/>
    <s v="Q1"/>
    <x v="887"/>
    <d v="2028-03-01T00:00:00"/>
    <s v="C1887"/>
    <x v="887"/>
    <x v="2"/>
    <s v="India"/>
    <s v="Haryana"/>
    <s v="Gurugram"/>
    <x v="0"/>
    <x v="2"/>
    <x v="6"/>
    <x v="87"/>
    <n v="34308.49"/>
    <n v="2"/>
    <x v="2"/>
    <s v="High"/>
    <n v="0.21673818929367047"/>
    <x v="887"/>
    <x v="0"/>
  </r>
  <r>
    <s v="ORD10888"/>
    <x v="3"/>
    <x v="5"/>
    <n v="2"/>
    <s v="Q1"/>
    <x v="888"/>
    <d v="2028-03-02T00:00:00"/>
    <s v="C1888"/>
    <x v="888"/>
    <x v="0"/>
    <s v="India"/>
    <s v="Delhi"/>
    <s v="Delhi"/>
    <x v="0"/>
    <x v="1"/>
    <x v="2"/>
    <x v="70"/>
    <n v="11045.96"/>
    <n v="3"/>
    <x v="0"/>
    <s v="Medium"/>
    <n v="8.7025482619889988E-2"/>
    <x v="888"/>
    <x v="1"/>
  </r>
  <r>
    <s v="ORD10889"/>
    <x v="3"/>
    <x v="5"/>
    <n v="2"/>
    <s v="Q1"/>
    <x v="889"/>
    <d v="2028-03-03T00:00:00"/>
    <s v="C1889"/>
    <x v="889"/>
    <x v="2"/>
    <s v="India"/>
    <s v="Maharashtra"/>
    <s v="Mumbai"/>
    <x v="2"/>
    <x v="0"/>
    <x v="5"/>
    <x v="124"/>
    <n v="43446.84"/>
    <n v="6"/>
    <x v="0"/>
    <s v="High"/>
    <n v="1.4335680109301393E-2"/>
    <x v="889"/>
    <x v="3"/>
  </r>
  <r>
    <s v="ORD10890"/>
    <x v="3"/>
    <x v="5"/>
    <n v="2"/>
    <s v="Q1"/>
    <x v="890"/>
    <d v="2028-03-04T00:00:00"/>
    <s v="C1890"/>
    <x v="890"/>
    <x v="1"/>
    <s v="India"/>
    <s v="Karnataka"/>
    <s v="Bengaluru"/>
    <x v="1"/>
    <x v="2"/>
    <x v="8"/>
    <x v="25"/>
    <n v="28758.87"/>
    <n v="4"/>
    <x v="3"/>
    <s v="Medium"/>
    <n v="0.15581071161697244"/>
    <x v="890"/>
    <x v="3"/>
  </r>
  <r>
    <s v="ORD10891"/>
    <x v="3"/>
    <x v="6"/>
    <n v="3"/>
    <s v="Q1"/>
    <x v="891"/>
    <d v="2028-03-05T00:00:00"/>
    <s v="C1891"/>
    <x v="891"/>
    <x v="1"/>
    <s v="India"/>
    <s v="Delhi"/>
    <s v="Delhi"/>
    <x v="0"/>
    <x v="0"/>
    <x v="5"/>
    <x v="124"/>
    <n v="14098.41"/>
    <n v="1"/>
    <x v="2"/>
    <s v="Medium"/>
    <n v="0.10906690896349305"/>
    <x v="891"/>
    <x v="3"/>
  </r>
  <r>
    <s v="ORD10892"/>
    <x v="3"/>
    <x v="6"/>
    <n v="3"/>
    <s v="Q1"/>
    <x v="892"/>
    <d v="2028-03-06T00:00:00"/>
    <s v="C1892"/>
    <x v="892"/>
    <x v="1"/>
    <s v="India"/>
    <s v="West Bengal"/>
    <s v="Kolkata"/>
    <x v="3"/>
    <x v="2"/>
    <x v="8"/>
    <x v="114"/>
    <n v="22200.83"/>
    <n v="1"/>
    <x v="0"/>
    <s v="Medium"/>
    <n v="0.12801278150411491"/>
    <x v="892"/>
    <x v="0"/>
  </r>
  <r>
    <s v="ORD10893"/>
    <x v="3"/>
    <x v="6"/>
    <n v="3"/>
    <s v="Q1"/>
    <x v="893"/>
    <d v="2028-03-07T00:00:00"/>
    <s v="C1893"/>
    <x v="893"/>
    <x v="0"/>
    <s v="India"/>
    <s v="Maharashtra"/>
    <s v="Mumbai"/>
    <x v="2"/>
    <x v="2"/>
    <x v="6"/>
    <x v="44"/>
    <n v="31681.1"/>
    <n v="8"/>
    <x v="2"/>
    <s v="High"/>
    <n v="5.9725830226854501E-2"/>
    <x v="893"/>
    <x v="1"/>
  </r>
  <r>
    <s v="ORD10894"/>
    <x v="3"/>
    <x v="6"/>
    <n v="3"/>
    <s v="Q1"/>
    <x v="894"/>
    <d v="2028-03-08T00:00:00"/>
    <s v="C1894"/>
    <x v="894"/>
    <x v="0"/>
    <s v="India"/>
    <s v="Maharashtra"/>
    <s v="Mumbai"/>
    <x v="2"/>
    <x v="2"/>
    <x v="6"/>
    <x v="108"/>
    <n v="12923.09"/>
    <n v="3"/>
    <x v="2"/>
    <s v="Medium"/>
    <n v="7.4226829651422382E-2"/>
    <x v="894"/>
    <x v="0"/>
  </r>
  <r>
    <s v="ORD10895"/>
    <x v="3"/>
    <x v="6"/>
    <n v="3"/>
    <s v="Q1"/>
    <x v="895"/>
    <d v="2028-03-09T00:00:00"/>
    <s v="C1895"/>
    <x v="895"/>
    <x v="0"/>
    <s v="India"/>
    <s v="Maharashtra"/>
    <s v="Mumbai"/>
    <x v="2"/>
    <x v="0"/>
    <x v="0"/>
    <x v="100"/>
    <n v="622.19000000000005"/>
    <n v="2"/>
    <x v="3"/>
    <s v="Low"/>
    <n v="0.16594609363699189"/>
    <x v="895"/>
    <x v="2"/>
  </r>
  <r>
    <s v="ORD10896"/>
    <x v="3"/>
    <x v="6"/>
    <n v="3"/>
    <s v="Q1"/>
    <x v="896"/>
    <d v="2028-03-10T00:00:00"/>
    <s v="C1896"/>
    <x v="896"/>
    <x v="1"/>
    <s v="India"/>
    <s v="Haryana"/>
    <s v="Gurugram"/>
    <x v="0"/>
    <x v="2"/>
    <x v="8"/>
    <x v="123"/>
    <n v="45572.2"/>
    <n v="4"/>
    <x v="1"/>
    <s v="High"/>
    <n v="1.9868472445920979E-2"/>
    <x v="896"/>
    <x v="3"/>
  </r>
  <r>
    <s v="ORD10897"/>
    <x v="3"/>
    <x v="6"/>
    <n v="3"/>
    <s v="Q1"/>
    <x v="897"/>
    <d v="2028-03-11T00:00:00"/>
    <s v="C1897"/>
    <x v="897"/>
    <x v="1"/>
    <s v="India"/>
    <s v="Maharashtra"/>
    <s v="Mumbai"/>
    <x v="2"/>
    <x v="0"/>
    <x v="7"/>
    <x v="110"/>
    <n v="8115.56"/>
    <n v="1"/>
    <x v="3"/>
    <s v="Low"/>
    <n v="5.9573214910616151E-2"/>
    <x v="897"/>
    <x v="3"/>
  </r>
  <r>
    <s v="ORD10898"/>
    <x v="3"/>
    <x v="6"/>
    <n v="3"/>
    <s v="Q1"/>
    <x v="898"/>
    <d v="2028-03-12T00:00:00"/>
    <s v="C1898"/>
    <x v="898"/>
    <x v="1"/>
    <s v="India"/>
    <s v="Delhi"/>
    <s v="Delhi"/>
    <x v="0"/>
    <x v="2"/>
    <x v="6"/>
    <x v="45"/>
    <n v="5635.95"/>
    <n v="4"/>
    <x v="0"/>
    <s v="Low"/>
    <n v="4.2842821529644519E-2"/>
    <x v="898"/>
    <x v="1"/>
  </r>
  <r>
    <s v="ORD10899"/>
    <x v="3"/>
    <x v="6"/>
    <n v="3"/>
    <s v="Q1"/>
    <x v="899"/>
    <d v="2028-03-13T00:00:00"/>
    <s v="C1899"/>
    <x v="899"/>
    <x v="1"/>
    <s v="India"/>
    <s v="Karnataka"/>
    <s v="Bengaluru"/>
    <x v="1"/>
    <x v="1"/>
    <x v="1"/>
    <x v="103"/>
    <n v="21688.880000000001"/>
    <n v="1"/>
    <x v="2"/>
    <s v="Medium"/>
    <n v="8.7898499138729158E-2"/>
    <x v="899"/>
    <x v="1"/>
  </r>
  <r>
    <s v="ORD10900"/>
    <x v="3"/>
    <x v="6"/>
    <n v="3"/>
    <s v="Q1"/>
    <x v="900"/>
    <d v="2028-03-14T00:00:00"/>
    <s v="C1900"/>
    <x v="900"/>
    <x v="1"/>
    <s v="India"/>
    <s v="Haryana"/>
    <s v="Gurugram"/>
    <x v="0"/>
    <x v="0"/>
    <x v="0"/>
    <x v="62"/>
    <n v="13145.84"/>
    <n v="1"/>
    <x v="0"/>
    <s v="Medium"/>
    <n v="3.8864766344334029E-2"/>
    <x v="900"/>
    <x v="0"/>
  </r>
  <r>
    <s v="ORD10901"/>
    <x v="3"/>
    <x v="6"/>
    <n v="3"/>
    <s v="Q1"/>
    <x v="901"/>
    <d v="2028-03-15T00:00:00"/>
    <s v="C1901"/>
    <x v="901"/>
    <x v="1"/>
    <s v="India"/>
    <s v="Karnataka"/>
    <s v="Bengaluru"/>
    <x v="1"/>
    <x v="1"/>
    <x v="3"/>
    <x v="156"/>
    <n v="46854.5"/>
    <n v="5"/>
    <x v="2"/>
    <s v="High"/>
    <n v="7.1110992540737814E-2"/>
    <x v="901"/>
    <x v="0"/>
  </r>
  <r>
    <s v="ORD10902"/>
    <x v="3"/>
    <x v="6"/>
    <n v="3"/>
    <s v="Q1"/>
    <x v="902"/>
    <d v="2028-03-16T00:00:00"/>
    <s v="C1902"/>
    <x v="902"/>
    <x v="0"/>
    <s v="India"/>
    <s v="Karnataka"/>
    <s v="Bengaluru"/>
    <x v="1"/>
    <x v="0"/>
    <x v="5"/>
    <x v="30"/>
    <n v="2612.29"/>
    <n v="8"/>
    <x v="3"/>
    <s v="Low"/>
    <n v="0.24912241749576042"/>
    <x v="902"/>
    <x v="3"/>
  </r>
  <r>
    <s v="ORD10903"/>
    <x v="3"/>
    <x v="6"/>
    <n v="3"/>
    <s v="Q1"/>
    <x v="903"/>
    <d v="2028-03-17T00:00:00"/>
    <s v="C1903"/>
    <x v="903"/>
    <x v="0"/>
    <s v="India"/>
    <s v="West Bengal"/>
    <s v="Kolkata"/>
    <x v="3"/>
    <x v="1"/>
    <x v="3"/>
    <x v="174"/>
    <n v="11294.02"/>
    <n v="6"/>
    <x v="3"/>
    <s v="Medium"/>
    <n v="0.162546197013995"/>
    <x v="903"/>
    <x v="0"/>
  </r>
  <r>
    <s v="ORD10904"/>
    <x v="3"/>
    <x v="6"/>
    <n v="3"/>
    <s v="Q1"/>
    <x v="904"/>
    <d v="2028-03-18T00:00:00"/>
    <s v="C1904"/>
    <x v="904"/>
    <x v="0"/>
    <s v="India"/>
    <s v="West Bengal"/>
    <s v="Kolkata"/>
    <x v="3"/>
    <x v="1"/>
    <x v="2"/>
    <x v="166"/>
    <n v="24583.87"/>
    <n v="4"/>
    <x v="1"/>
    <s v="Medium"/>
    <n v="-1.9513607906322318E-2"/>
    <x v="904"/>
    <x v="3"/>
  </r>
  <r>
    <s v="ORD10905"/>
    <x v="3"/>
    <x v="6"/>
    <n v="3"/>
    <s v="Q1"/>
    <x v="905"/>
    <d v="2028-03-19T00:00:00"/>
    <s v="C1905"/>
    <x v="905"/>
    <x v="2"/>
    <s v="India"/>
    <s v="Delhi"/>
    <s v="Delhi"/>
    <x v="0"/>
    <x v="2"/>
    <x v="6"/>
    <x v="22"/>
    <n v="18961.25"/>
    <n v="2"/>
    <x v="1"/>
    <s v="Medium"/>
    <n v="-4.0216230470037577E-2"/>
    <x v="905"/>
    <x v="2"/>
  </r>
  <r>
    <s v="ORD10906"/>
    <x v="3"/>
    <x v="6"/>
    <n v="3"/>
    <s v="Q1"/>
    <x v="906"/>
    <d v="2028-03-20T00:00:00"/>
    <s v="C1906"/>
    <x v="906"/>
    <x v="0"/>
    <s v="India"/>
    <s v="Karnataka"/>
    <s v="Bengaluru"/>
    <x v="1"/>
    <x v="1"/>
    <x v="3"/>
    <x v="59"/>
    <n v="40100.589999999997"/>
    <n v="5"/>
    <x v="1"/>
    <s v="High"/>
    <n v="-5.1996491822190155E-2"/>
    <x v="906"/>
    <x v="0"/>
  </r>
  <r>
    <s v="ORD10907"/>
    <x v="3"/>
    <x v="6"/>
    <n v="3"/>
    <s v="Q1"/>
    <x v="907"/>
    <d v="2028-03-21T00:00:00"/>
    <s v="C1907"/>
    <x v="907"/>
    <x v="1"/>
    <s v="India"/>
    <s v="Karnataka"/>
    <s v="Bengaluru"/>
    <x v="1"/>
    <x v="2"/>
    <x v="4"/>
    <x v="137"/>
    <n v="18570.330000000002"/>
    <n v="8"/>
    <x v="1"/>
    <s v="Medium"/>
    <n v="9.4405430598163836E-2"/>
    <x v="907"/>
    <x v="3"/>
  </r>
  <r>
    <s v="ORD10908"/>
    <x v="3"/>
    <x v="6"/>
    <n v="3"/>
    <s v="Q1"/>
    <x v="908"/>
    <d v="2028-03-22T00:00:00"/>
    <s v="C1908"/>
    <x v="908"/>
    <x v="2"/>
    <s v="India"/>
    <s v="Haryana"/>
    <s v="Gurugram"/>
    <x v="0"/>
    <x v="0"/>
    <x v="0"/>
    <x v="131"/>
    <n v="37869.949999999997"/>
    <n v="1"/>
    <x v="2"/>
    <s v="High"/>
    <n v="0.27696392522303309"/>
    <x v="908"/>
    <x v="3"/>
  </r>
  <r>
    <s v="ORD10909"/>
    <x v="3"/>
    <x v="6"/>
    <n v="3"/>
    <s v="Q1"/>
    <x v="909"/>
    <d v="2028-03-23T00:00:00"/>
    <s v="C1909"/>
    <x v="909"/>
    <x v="1"/>
    <s v="India"/>
    <s v="Delhi"/>
    <s v="Delhi"/>
    <x v="0"/>
    <x v="1"/>
    <x v="3"/>
    <x v="102"/>
    <n v="30766.42"/>
    <n v="7"/>
    <x v="1"/>
    <s v="High"/>
    <n v="0.14233147698042217"/>
    <x v="909"/>
    <x v="2"/>
  </r>
  <r>
    <s v="ORD10910"/>
    <x v="3"/>
    <x v="6"/>
    <n v="3"/>
    <s v="Q1"/>
    <x v="910"/>
    <d v="2028-03-24T00:00:00"/>
    <s v="C1910"/>
    <x v="910"/>
    <x v="2"/>
    <s v="India"/>
    <s v="Maharashtra"/>
    <s v="Mumbai"/>
    <x v="2"/>
    <x v="1"/>
    <x v="1"/>
    <x v="103"/>
    <n v="27240.51"/>
    <n v="1"/>
    <x v="3"/>
    <s v="Medium"/>
    <n v="0.11025344239149709"/>
    <x v="910"/>
    <x v="3"/>
  </r>
  <r>
    <s v="ORD10911"/>
    <x v="3"/>
    <x v="6"/>
    <n v="3"/>
    <s v="Q1"/>
    <x v="911"/>
    <d v="2028-03-25T00:00:00"/>
    <s v="C1911"/>
    <x v="911"/>
    <x v="2"/>
    <s v="India"/>
    <s v="Haryana"/>
    <s v="Gurugram"/>
    <x v="0"/>
    <x v="2"/>
    <x v="4"/>
    <x v="43"/>
    <n v="17271.080000000002"/>
    <n v="4"/>
    <x v="1"/>
    <s v="Medium"/>
    <n v="-5.8054273386493487E-2"/>
    <x v="911"/>
    <x v="0"/>
  </r>
  <r>
    <s v="ORD10912"/>
    <x v="3"/>
    <x v="6"/>
    <n v="3"/>
    <s v="Q1"/>
    <x v="912"/>
    <d v="2028-03-26T00:00:00"/>
    <s v="C1912"/>
    <x v="912"/>
    <x v="0"/>
    <s v="India"/>
    <s v="West Bengal"/>
    <s v="Kolkata"/>
    <x v="3"/>
    <x v="2"/>
    <x v="4"/>
    <x v="43"/>
    <n v="45325.05"/>
    <n v="1"/>
    <x v="0"/>
    <s v="High"/>
    <n v="0.11756611410246651"/>
    <x v="912"/>
    <x v="3"/>
  </r>
  <r>
    <s v="ORD10913"/>
    <x v="3"/>
    <x v="6"/>
    <n v="3"/>
    <s v="Q1"/>
    <x v="913"/>
    <d v="2028-03-27T00:00:00"/>
    <s v="C1913"/>
    <x v="913"/>
    <x v="1"/>
    <s v="India"/>
    <s v="Karnataka"/>
    <s v="Bengaluru"/>
    <x v="1"/>
    <x v="0"/>
    <x v="5"/>
    <x v="26"/>
    <n v="12019.58"/>
    <n v="2"/>
    <x v="2"/>
    <s v="Medium"/>
    <n v="0.17828160384971853"/>
    <x v="913"/>
    <x v="2"/>
  </r>
  <r>
    <s v="ORD10914"/>
    <x v="3"/>
    <x v="6"/>
    <n v="3"/>
    <s v="Q1"/>
    <x v="914"/>
    <d v="2028-03-28T00:00:00"/>
    <s v="C1914"/>
    <x v="914"/>
    <x v="1"/>
    <s v="India"/>
    <s v="Maharashtra"/>
    <s v="Mumbai"/>
    <x v="2"/>
    <x v="1"/>
    <x v="3"/>
    <x v="31"/>
    <n v="16440.66"/>
    <n v="5"/>
    <x v="1"/>
    <s v="Medium"/>
    <n v="0.1766224713606388"/>
    <x v="914"/>
    <x v="3"/>
  </r>
  <r>
    <s v="ORD10915"/>
    <x v="3"/>
    <x v="6"/>
    <n v="3"/>
    <s v="Q1"/>
    <x v="915"/>
    <d v="2028-03-29T00:00:00"/>
    <s v="C1915"/>
    <x v="915"/>
    <x v="0"/>
    <s v="India"/>
    <s v="Maharashtra"/>
    <s v="Mumbai"/>
    <x v="2"/>
    <x v="0"/>
    <x v="0"/>
    <x v="136"/>
    <n v="28040.91"/>
    <n v="7"/>
    <x v="2"/>
    <s v="Medium"/>
    <n v="0.1736609118605637"/>
    <x v="915"/>
    <x v="1"/>
  </r>
  <r>
    <s v="ORD10916"/>
    <x v="3"/>
    <x v="6"/>
    <n v="3"/>
    <s v="Q1"/>
    <x v="916"/>
    <d v="2028-03-30T00:00:00"/>
    <s v="C1916"/>
    <x v="916"/>
    <x v="1"/>
    <s v="India"/>
    <s v="West Bengal"/>
    <s v="Kolkata"/>
    <x v="3"/>
    <x v="0"/>
    <x v="0"/>
    <x v="37"/>
    <n v="10805.68"/>
    <n v="1"/>
    <x v="0"/>
    <s v="Medium"/>
    <n v="4.8095075923033075E-2"/>
    <x v="916"/>
    <x v="0"/>
  </r>
  <r>
    <s v="ORD10917"/>
    <x v="3"/>
    <x v="6"/>
    <n v="3"/>
    <s v="Q1"/>
    <x v="917"/>
    <d v="2028-03-31T00:00:00"/>
    <s v="C1917"/>
    <x v="917"/>
    <x v="2"/>
    <s v="India"/>
    <s v="Haryana"/>
    <s v="Gurugram"/>
    <x v="0"/>
    <x v="2"/>
    <x v="4"/>
    <x v="4"/>
    <n v="46846.36"/>
    <n v="8"/>
    <x v="2"/>
    <s v="High"/>
    <n v="0.12267399217356481"/>
    <x v="917"/>
    <x v="0"/>
  </r>
  <r>
    <s v="ORD10918"/>
    <x v="3"/>
    <x v="6"/>
    <n v="3"/>
    <s v="Q1"/>
    <x v="918"/>
    <d v="2028-04-01T00:00:00"/>
    <s v="C1918"/>
    <x v="918"/>
    <x v="2"/>
    <s v="India"/>
    <s v="Karnataka"/>
    <s v="Bengaluru"/>
    <x v="1"/>
    <x v="2"/>
    <x v="8"/>
    <x v="114"/>
    <n v="48675.32"/>
    <n v="5"/>
    <x v="1"/>
    <s v="High"/>
    <n v="0.10380168019439831"/>
    <x v="918"/>
    <x v="2"/>
  </r>
  <r>
    <s v="ORD10919"/>
    <x v="3"/>
    <x v="6"/>
    <n v="3"/>
    <s v="Q1"/>
    <x v="919"/>
    <d v="2028-04-02T00:00:00"/>
    <s v="C1919"/>
    <x v="919"/>
    <x v="2"/>
    <s v="India"/>
    <s v="Haryana"/>
    <s v="Gurugram"/>
    <x v="0"/>
    <x v="2"/>
    <x v="8"/>
    <x v="178"/>
    <n v="45124.17"/>
    <n v="5"/>
    <x v="2"/>
    <s v="High"/>
    <n v="0.26018761120703165"/>
    <x v="919"/>
    <x v="0"/>
  </r>
  <r>
    <s v="ORD10920"/>
    <x v="3"/>
    <x v="6"/>
    <n v="3"/>
    <s v="Q1"/>
    <x v="920"/>
    <d v="2028-04-03T00:00:00"/>
    <s v="C1920"/>
    <x v="920"/>
    <x v="1"/>
    <s v="India"/>
    <s v="Haryana"/>
    <s v="Gurugram"/>
    <x v="0"/>
    <x v="1"/>
    <x v="3"/>
    <x v="107"/>
    <n v="43994.95"/>
    <n v="8"/>
    <x v="0"/>
    <s v="High"/>
    <n v="0.11904707244808781"/>
    <x v="920"/>
    <x v="0"/>
  </r>
  <r>
    <s v="ORD10921"/>
    <x v="3"/>
    <x v="6"/>
    <n v="3"/>
    <s v="Q1"/>
    <x v="921"/>
    <d v="2028-04-04T00:00:00"/>
    <s v="C1921"/>
    <x v="921"/>
    <x v="2"/>
    <s v="India"/>
    <s v="Haryana"/>
    <s v="Gurugram"/>
    <x v="0"/>
    <x v="0"/>
    <x v="0"/>
    <x v="111"/>
    <n v="23943.37"/>
    <n v="4"/>
    <x v="3"/>
    <s v="Medium"/>
    <n v="0.17407491092523733"/>
    <x v="921"/>
    <x v="0"/>
  </r>
  <r>
    <s v="ORD10922"/>
    <x v="3"/>
    <x v="7"/>
    <n v="4"/>
    <s v="Q2"/>
    <x v="922"/>
    <d v="2028-04-05T00:00:00"/>
    <s v="C1922"/>
    <x v="922"/>
    <x v="1"/>
    <s v="India"/>
    <s v="Maharashtra"/>
    <s v="Mumbai"/>
    <x v="2"/>
    <x v="2"/>
    <x v="8"/>
    <x v="66"/>
    <n v="17160.72"/>
    <n v="6"/>
    <x v="0"/>
    <s v="Medium"/>
    <n v="9.018269629712505E-3"/>
    <x v="922"/>
    <x v="2"/>
  </r>
  <r>
    <s v="ORD10923"/>
    <x v="3"/>
    <x v="7"/>
    <n v="4"/>
    <s v="Q2"/>
    <x v="923"/>
    <d v="2028-04-06T00:00:00"/>
    <s v="C1923"/>
    <x v="923"/>
    <x v="1"/>
    <s v="India"/>
    <s v="Haryana"/>
    <s v="Gurugram"/>
    <x v="0"/>
    <x v="1"/>
    <x v="1"/>
    <x v="152"/>
    <n v="6375.58"/>
    <n v="5"/>
    <x v="3"/>
    <s v="Low"/>
    <n v="1.3341531280291362E-2"/>
    <x v="923"/>
    <x v="0"/>
  </r>
  <r>
    <s v="ORD10924"/>
    <x v="3"/>
    <x v="7"/>
    <n v="4"/>
    <s v="Q2"/>
    <x v="924"/>
    <d v="2028-04-07T00:00:00"/>
    <s v="C1924"/>
    <x v="924"/>
    <x v="2"/>
    <s v="India"/>
    <s v="Maharashtra"/>
    <s v="Mumbai"/>
    <x v="2"/>
    <x v="2"/>
    <x v="8"/>
    <x v="178"/>
    <n v="17265.54"/>
    <n v="6"/>
    <x v="2"/>
    <s v="Medium"/>
    <n v="0.14296222417601767"/>
    <x v="924"/>
    <x v="2"/>
  </r>
  <r>
    <s v="ORD10925"/>
    <x v="3"/>
    <x v="7"/>
    <n v="4"/>
    <s v="Q2"/>
    <x v="925"/>
    <d v="2028-04-08T00:00:00"/>
    <s v="C1925"/>
    <x v="925"/>
    <x v="1"/>
    <s v="India"/>
    <s v="Karnataka"/>
    <s v="Bengaluru"/>
    <x v="1"/>
    <x v="2"/>
    <x v="4"/>
    <x v="85"/>
    <n v="1375.59"/>
    <n v="1"/>
    <x v="0"/>
    <s v="Low"/>
    <n v="0.10186901620395612"/>
    <x v="925"/>
    <x v="2"/>
  </r>
  <r>
    <s v="ORD10926"/>
    <x v="3"/>
    <x v="7"/>
    <n v="4"/>
    <s v="Q2"/>
    <x v="926"/>
    <d v="2028-04-09T00:00:00"/>
    <s v="C1926"/>
    <x v="926"/>
    <x v="2"/>
    <s v="India"/>
    <s v="Karnataka"/>
    <s v="Bengaluru"/>
    <x v="1"/>
    <x v="1"/>
    <x v="1"/>
    <x v="23"/>
    <n v="7959.39"/>
    <n v="2"/>
    <x v="1"/>
    <s v="Low"/>
    <n v="0.13812616293459676"/>
    <x v="926"/>
    <x v="2"/>
  </r>
  <r>
    <s v="ORD10927"/>
    <x v="3"/>
    <x v="7"/>
    <n v="4"/>
    <s v="Q2"/>
    <x v="927"/>
    <d v="2028-04-10T00:00:00"/>
    <s v="C1927"/>
    <x v="927"/>
    <x v="1"/>
    <s v="India"/>
    <s v="Karnataka"/>
    <s v="Bengaluru"/>
    <x v="1"/>
    <x v="0"/>
    <x v="0"/>
    <x v="111"/>
    <n v="46734.99"/>
    <n v="2"/>
    <x v="1"/>
    <s v="High"/>
    <n v="7.5806371200678555E-2"/>
    <x v="927"/>
    <x v="2"/>
  </r>
  <r>
    <s v="ORD10928"/>
    <x v="3"/>
    <x v="7"/>
    <n v="4"/>
    <s v="Q2"/>
    <x v="928"/>
    <d v="2028-04-11T00:00:00"/>
    <s v="C1928"/>
    <x v="928"/>
    <x v="1"/>
    <s v="India"/>
    <s v="West Bengal"/>
    <s v="Kolkata"/>
    <x v="3"/>
    <x v="2"/>
    <x v="4"/>
    <x v="69"/>
    <n v="27121.54"/>
    <n v="6"/>
    <x v="3"/>
    <s v="Medium"/>
    <n v="0.17976486585938703"/>
    <x v="928"/>
    <x v="1"/>
  </r>
  <r>
    <s v="ORD10929"/>
    <x v="3"/>
    <x v="7"/>
    <n v="4"/>
    <s v="Q2"/>
    <x v="929"/>
    <d v="2028-04-12T00:00:00"/>
    <s v="C1929"/>
    <x v="929"/>
    <x v="2"/>
    <s v="India"/>
    <s v="Maharashtra"/>
    <s v="Mumbai"/>
    <x v="2"/>
    <x v="2"/>
    <x v="8"/>
    <x v="46"/>
    <n v="48590.97"/>
    <n v="8"/>
    <x v="1"/>
    <s v="High"/>
    <n v="-4.7264337386143968E-2"/>
    <x v="929"/>
    <x v="1"/>
  </r>
  <r>
    <s v="ORD10930"/>
    <x v="3"/>
    <x v="7"/>
    <n v="4"/>
    <s v="Q2"/>
    <x v="930"/>
    <d v="2028-04-13T00:00:00"/>
    <s v="C1930"/>
    <x v="930"/>
    <x v="0"/>
    <s v="India"/>
    <s v="Haryana"/>
    <s v="Gurugram"/>
    <x v="0"/>
    <x v="1"/>
    <x v="3"/>
    <x v="102"/>
    <n v="9266.7900000000009"/>
    <n v="5"/>
    <x v="1"/>
    <s v="Low"/>
    <n v="0.1576403479522035"/>
    <x v="930"/>
    <x v="0"/>
  </r>
  <r>
    <s v="ORD10931"/>
    <x v="3"/>
    <x v="7"/>
    <n v="4"/>
    <s v="Q2"/>
    <x v="931"/>
    <d v="2028-04-14T00:00:00"/>
    <s v="C1931"/>
    <x v="931"/>
    <x v="1"/>
    <s v="India"/>
    <s v="Karnataka"/>
    <s v="Bengaluru"/>
    <x v="1"/>
    <x v="1"/>
    <x v="1"/>
    <x v="75"/>
    <n v="41449.53"/>
    <n v="5"/>
    <x v="2"/>
    <s v="High"/>
    <n v="9.4899507907568556E-2"/>
    <x v="931"/>
    <x v="2"/>
  </r>
  <r>
    <s v="ORD10932"/>
    <x v="3"/>
    <x v="7"/>
    <n v="4"/>
    <s v="Q2"/>
    <x v="932"/>
    <d v="2028-04-15T00:00:00"/>
    <s v="C1932"/>
    <x v="932"/>
    <x v="2"/>
    <s v="India"/>
    <s v="Haryana"/>
    <s v="Gurugram"/>
    <x v="0"/>
    <x v="2"/>
    <x v="6"/>
    <x v="134"/>
    <n v="16407.849999999999"/>
    <n v="8"/>
    <x v="3"/>
    <s v="Medium"/>
    <n v="0.10215171396618082"/>
    <x v="932"/>
    <x v="1"/>
  </r>
  <r>
    <s v="ORD10933"/>
    <x v="3"/>
    <x v="7"/>
    <n v="4"/>
    <s v="Q2"/>
    <x v="933"/>
    <d v="2028-04-16T00:00:00"/>
    <s v="C1933"/>
    <x v="933"/>
    <x v="0"/>
    <s v="India"/>
    <s v="Karnataka"/>
    <s v="Bengaluru"/>
    <x v="1"/>
    <x v="0"/>
    <x v="0"/>
    <x v="176"/>
    <n v="43428.83"/>
    <n v="5"/>
    <x v="1"/>
    <s v="High"/>
    <n v="-2.9656336585627566E-2"/>
    <x v="933"/>
    <x v="3"/>
  </r>
  <r>
    <s v="ORD10934"/>
    <x v="3"/>
    <x v="7"/>
    <n v="4"/>
    <s v="Q2"/>
    <x v="934"/>
    <d v="2028-04-17T00:00:00"/>
    <s v="C1934"/>
    <x v="934"/>
    <x v="0"/>
    <s v="India"/>
    <s v="Maharashtra"/>
    <s v="Mumbai"/>
    <x v="2"/>
    <x v="0"/>
    <x v="7"/>
    <x v="76"/>
    <n v="35954.03"/>
    <n v="7"/>
    <x v="3"/>
    <s v="High"/>
    <n v="0.22922520785569794"/>
    <x v="934"/>
    <x v="2"/>
  </r>
  <r>
    <s v="ORD10935"/>
    <x v="3"/>
    <x v="7"/>
    <n v="4"/>
    <s v="Q2"/>
    <x v="935"/>
    <d v="2028-04-18T00:00:00"/>
    <s v="C1935"/>
    <x v="935"/>
    <x v="0"/>
    <s v="India"/>
    <s v="West Bengal"/>
    <s v="Kolkata"/>
    <x v="3"/>
    <x v="2"/>
    <x v="4"/>
    <x v="32"/>
    <n v="31570.19"/>
    <n v="4"/>
    <x v="2"/>
    <s v="High"/>
    <n v="0.12221814312805847"/>
    <x v="935"/>
    <x v="1"/>
  </r>
  <r>
    <s v="ORD10936"/>
    <x v="3"/>
    <x v="7"/>
    <n v="4"/>
    <s v="Q2"/>
    <x v="936"/>
    <d v="2028-04-19T00:00:00"/>
    <s v="C1936"/>
    <x v="936"/>
    <x v="2"/>
    <s v="India"/>
    <s v="West Bengal"/>
    <s v="Kolkata"/>
    <x v="3"/>
    <x v="2"/>
    <x v="4"/>
    <x v="32"/>
    <n v="2350.09"/>
    <n v="6"/>
    <x v="1"/>
    <s v="Low"/>
    <n v="4.0981409222625512E-2"/>
    <x v="936"/>
    <x v="3"/>
  </r>
  <r>
    <s v="ORD10937"/>
    <x v="3"/>
    <x v="7"/>
    <n v="4"/>
    <s v="Q2"/>
    <x v="937"/>
    <d v="2028-04-20T00:00:00"/>
    <s v="C1937"/>
    <x v="937"/>
    <x v="2"/>
    <s v="India"/>
    <s v="Maharashtra"/>
    <s v="Mumbai"/>
    <x v="2"/>
    <x v="1"/>
    <x v="2"/>
    <x v="28"/>
    <n v="7583.19"/>
    <n v="1"/>
    <x v="3"/>
    <s v="Low"/>
    <n v="5.6329855904968758E-2"/>
    <x v="937"/>
    <x v="0"/>
  </r>
  <r>
    <s v="ORD10938"/>
    <x v="3"/>
    <x v="7"/>
    <n v="4"/>
    <s v="Q2"/>
    <x v="938"/>
    <d v="2028-04-21T00:00:00"/>
    <s v="C1938"/>
    <x v="938"/>
    <x v="1"/>
    <s v="India"/>
    <s v="Delhi"/>
    <s v="Delhi"/>
    <x v="0"/>
    <x v="0"/>
    <x v="5"/>
    <x v="16"/>
    <n v="45527.79"/>
    <n v="1"/>
    <x v="3"/>
    <s v="High"/>
    <n v="3.138918010296568E-2"/>
    <x v="938"/>
    <x v="1"/>
  </r>
  <r>
    <s v="ORD10939"/>
    <x v="3"/>
    <x v="7"/>
    <n v="4"/>
    <s v="Q2"/>
    <x v="939"/>
    <d v="2028-04-22T00:00:00"/>
    <s v="C1939"/>
    <x v="939"/>
    <x v="0"/>
    <s v="India"/>
    <s v="Haryana"/>
    <s v="Gurugram"/>
    <x v="0"/>
    <x v="1"/>
    <x v="2"/>
    <x v="34"/>
    <n v="759.6"/>
    <n v="6"/>
    <x v="3"/>
    <s v="Low"/>
    <n v="7.1392838335966297E-2"/>
    <x v="939"/>
    <x v="1"/>
  </r>
  <r>
    <s v="ORD10940"/>
    <x v="3"/>
    <x v="7"/>
    <n v="4"/>
    <s v="Q2"/>
    <x v="940"/>
    <d v="2028-04-23T00:00:00"/>
    <s v="C1940"/>
    <x v="940"/>
    <x v="0"/>
    <s v="India"/>
    <s v="Delhi"/>
    <s v="Delhi"/>
    <x v="0"/>
    <x v="1"/>
    <x v="2"/>
    <x v="140"/>
    <n v="18272.03"/>
    <n v="5"/>
    <x v="2"/>
    <s v="Medium"/>
    <n v="0.2196460929628509"/>
    <x v="940"/>
    <x v="1"/>
  </r>
  <r>
    <s v="ORD10941"/>
    <x v="3"/>
    <x v="7"/>
    <n v="4"/>
    <s v="Q2"/>
    <x v="941"/>
    <d v="2028-04-24T00:00:00"/>
    <s v="C1941"/>
    <x v="941"/>
    <x v="1"/>
    <s v="India"/>
    <s v="Delhi"/>
    <s v="Delhi"/>
    <x v="0"/>
    <x v="2"/>
    <x v="8"/>
    <x v="123"/>
    <n v="21139.41"/>
    <n v="6"/>
    <x v="3"/>
    <s v="Medium"/>
    <n v="9.2914608307422014E-2"/>
    <x v="941"/>
    <x v="0"/>
  </r>
  <r>
    <s v="ORD10942"/>
    <x v="3"/>
    <x v="7"/>
    <n v="4"/>
    <s v="Q2"/>
    <x v="942"/>
    <d v="2028-04-25T00:00:00"/>
    <s v="C1942"/>
    <x v="942"/>
    <x v="2"/>
    <s v="India"/>
    <s v="West Bengal"/>
    <s v="Kolkata"/>
    <x v="3"/>
    <x v="0"/>
    <x v="5"/>
    <x v="159"/>
    <n v="19015.91"/>
    <n v="4"/>
    <x v="2"/>
    <s v="Medium"/>
    <n v="0.26631015817807302"/>
    <x v="942"/>
    <x v="1"/>
  </r>
  <r>
    <s v="ORD10943"/>
    <x v="3"/>
    <x v="7"/>
    <n v="4"/>
    <s v="Q2"/>
    <x v="943"/>
    <d v="2028-04-26T00:00:00"/>
    <s v="C1943"/>
    <x v="943"/>
    <x v="1"/>
    <s v="India"/>
    <s v="Karnataka"/>
    <s v="Bengaluru"/>
    <x v="1"/>
    <x v="0"/>
    <x v="0"/>
    <x v="80"/>
    <n v="15324.56"/>
    <n v="7"/>
    <x v="3"/>
    <s v="Medium"/>
    <n v="0.13868456908387583"/>
    <x v="943"/>
    <x v="1"/>
  </r>
  <r>
    <s v="ORD10944"/>
    <x v="3"/>
    <x v="7"/>
    <n v="4"/>
    <s v="Q2"/>
    <x v="944"/>
    <d v="2028-04-27T00:00:00"/>
    <s v="C1944"/>
    <x v="944"/>
    <x v="0"/>
    <s v="India"/>
    <s v="Haryana"/>
    <s v="Gurugram"/>
    <x v="0"/>
    <x v="1"/>
    <x v="1"/>
    <x v="23"/>
    <n v="9983.4"/>
    <n v="4"/>
    <x v="3"/>
    <s v="Low"/>
    <n v="0.22834705611314782"/>
    <x v="944"/>
    <x v="3"/>
  </r>
  <r>
    <s v="ORD10945"/>
    <x v="3"/>
    <x v="7"/>
    <n v="4"/>
    <s v="Q2"/>
    <x v="945"/>
    <d v="2028-04-28T00:00:00"/>
    <s v="C1945"/>
    <x v="945"/>
    <x v="2"/>
    <s v="India"/>
    <s v="Karnataka"/>
    <s v="Bengaluru"/>
    <x v="1"/>
    <x v="1"/>
    <x v="1"/>
    <x v="103"/>
    <n v="7707.2"/>
    <n v="4"/>
    <x v="1"/>
    <s v="Low"/>
    <n v="8.0381980485779533E-2"/>
    <x v="945"/>
    <x v="1"/>
  </r>
  <r>
    <s v="ORD10946"/>
    <x v="3"/>
    <x v="7"/>
    <n v="4"/>
    <s v="Q2"/>
    <x v="946"/>
    <d v="2028-04-29T00:00:00"/>
    <s v="C1946"/>
    <x v="946"/>
    <x v="1"/>
    <s v="India"/>
    <s v="Haryana"/>
    <s v="Gurugram"/>
    <x v="0"/>
    <x v="2"/>
    <x v="8"/>
    <x v="29"/>
    <n v="22973.24"/>
    <n v="6"/>
    <x v="0"/>
    <s v="Medium"/>
    <n v="8.6920260268033581E-2"/>
    <x v="946"/>
    <x v="3"/>
  </r>
  <r>
    <s v="ORD10947"/>
    <x v="3"/>
    <x v="7"/>
    <n v="4"/>
    <s v="Q2"/>
    <x v="947"/>
    <d v="2028-04-30T00:00:00"/>
    <s v="C1947"/>
    <x v="947"/>
    <x v="0"/>
    <s v="India"/>
    <s v="Delhi"/>
    <s v="Delhi"/>
    <x v="0"/>
    <x v="0"/>
    <x v="7"/>
    <x v="129"/>
    <n v="2605.7399999999998"/>
    <n v="8"/>
    <x v="0"/>
    <s v="Low"/>
    <n v="1.8693346227942928E-2"/>
    <x v="947"/>
    <x v="3"/>
  </r>
  <r>
    <s v="ORD10948"/>
    <x v="3"/>
    <x v="7"/>
    <n v="4"/>
    <s v="Q2"/>
    <x v="948"/>
    <d v="2028-05-01T00:00:00"/>
    <s v="C1948"/>
    <x v="948"/>
    <x v="0"/>
    <s v="India"/>
    <s v="Karnataka"/>
    <s v="Bengaluru"/>
    <x v="1"/>
    <x v="0"/>
    <x v="0"/>
    <x v="164"/>
    <n v="29286.06"/>
    <n v="7"/>
    <x v="0"/>
    <s v="Medium"/>
    <n v="0.18654848074476391"/>
    <x v="948"/>
    <x v="3"/>
  </r>
  <r>
    <s v="ORD10949"/>
    <x v="3"/>
    <x v="7"/>
    <n v="4"/>
    <s v="Q2"/>
    <x v="949"/>
    <d v="2028-05-02T00:00:00"/>
    <s v="C1949"/>
    <x v="949"/>
    <x v="1"/>
    <s v="India"/>
    <s v="Haryana"/>
    <s v="Gurugram"/>
    <x v="0"/>
    <x v="1"/>
    <x v="3"/>
    <x v="174"/>
    <n v="10412.969999999999"/>
    <n v="1"/>
    <x v="3"/>
    <s v="Medium"/>
    <n v="4.8065057327544403E-2"/>
    <x v="949"/>
    <x v="0"/>
  </r>
  <r>
    <s v="ORD10950"/>
    <x v="3"/>
    <x v="7"/>
    <n v="4"/>
    <s v="Q2"/>
    <x v="950"/>
    <d v="2028-05-03T00:00:00"/>
    <s v="C1950"/>
    <x v="950"/>
    <x v="1"/>
    <s v="India"/>
    <s v="Karnataka"/>
    <s v="Bengaluru"/>
    <x v="1"/>
    <x v="1"/>
    <x v="3"/>
    <x v="12"/>
    <n v="47698.13"/>
    <n v="6"/>
    <x v="1"/>
    <s v="High"/>
    <n v="0.14469791583024325"/>
    <x v="950"/>
    <x v="0"/>
  </r>
  <r>
    <s v="ORD10951"/>
    <x v="3"/>
    <x v="7"/>
    <n v="4"/>
    <s v="Q2"/>
    <x v="951"/>
    <d v="2028-05-04T00:00:00"/>
    <s v="C1951"/>
    <x v="951"/>
    <x v="0"/>
    <s v="India"/>
    <s v="West Bengal"/>
    <s v="Kolkata"/>
    <x v="3"/>
    <x v="1"/>
    <x v="2"/>
    <x v="56"/>
    <n v="19823.7"/>
    <n v="1"/>
    <x v="3"/>
    <s v="Medium"/>
    <n v="0.17274878050010845"/>
    <x v="951"/>
    <x v="3"/>
  </r>
  <r>
    <s v="ORD10952"/>
    <x v="3"/>
    <x v="8"/>
    <n v="5"/>
    <s v="Q2"/>
    <x v="952"/>
    <d v="2028-05-05T00:00:00"/>
    <s v="C1952"/>
    <x v="952"/>
    <x v="2"/>
    <s v="India"/>
    <s v="West Bengal"/>
    <s v="Kolkata"/>
    <x v="3"/>
    <x v="0"/>
    <x v="0"/>
    <x v="111"/>
    <n v="16102.18"/>
    <n v="5"/>
    <x v="2"/>
    <s v="Medium"/>
    <n v="0.11175132808104245"/>
    <x v="952"/>
    <x v="1"/>
  </r>
  <r>
    <s v="ORD10953"/>
    <x v="3"/>
    <x v="8"/>
    <n v="5"/>
    <s v="Q2"/>
    <x v="953"/>
    <d v="2028-05-06T00:00:00"/>
    <s v="C1953"/>
    <x v="953"/>
    <x v="0"/>
    <s v="India"/>
    <s v="Karnataka"/>
    <s v="Bengaluru"/>
    <x v="1"/>
    <x v="0"/>
    <x v="7"/>
    <x v="76"/>
    <n v="12282.57"/>
    <n v="5"/>
    <x v="3"/>
    <s v="Medium"/>
    <n v="6.316756183762845E-2"/>
    <x v="953"/>
    <x v="3"/>
  </r>
  <r>
    <s v="ORD10954"/>
    <x v="3"/>
    <x v="8"/>
    <n v="5"/>
    <s v="Q2"/>
    <x v="954"/>
    <d v="2028-05-07T00:00:00"/>
    <s v="C1954"/>
    <x v="954"/>
    <x v="1"/>
    <s v="India"/>
    <s v="Karnataka"/>
    <s v="Bengaluru"/>
    <x v="1"/>
    <x v="2"/>
    <x v="6"/>
    <x v="44"/>
    <n v="32718.62"/>
    <n v="6"/>
    <x v="0"/>
    <s v="High"/>
    <n v="4.1325398198334772E-2"/>
    <x v="954"/>
    <x v="1"/>
  </r>
  <r>
    <s v="ORD10955"/>
    <x v="3"/>
    <x v="8"/>
    <n v="5"/>
    <s v="Q2"/>
    <x v="955"/>
    <d v="2028-05-08T00:00:00"/>
    <s v="C1955"/>
    <x v="955"/>
    <x v="1"/>
    <s v="India"/>
    <s v="Delhi"/>
    <s v="Delhi"/>
    <x v="0"/>
    <x v="1"/>
    <x v="3"/>
    <x v="59"/>
    <n v="6204.66"/>
    <n v="7"/>
    <x v="2"/>
    <s v="Low"/>
    <n v="0.17112944141983605"/>
    <x v="955"/>
    <x v="2"/>
  </r>
  <r>
    <s v="ORD10956"/>
    <x v="3"/>
    <x v="8"/>
    <n v="5"/>
    <s v="Q2"/>
    <x v="956"/>
    <d v="2028-05-09T00:00:00"/>
    <s v="C1956"/>
    <x v="956"/>
    <x v="1"/>
    <s v="India"/>
    <s v="West Bengal"/>
    <s v="Kolkata"/>
    <x v="3"/>
    <x v="0"/>
    <x v="7"/>
    <x v="42"/>
    <n v="25007.67"/>
    <n v="1"/>
    <x v="1"/>
    <s v="Medium"/>
    <n v="2.1273473298392058E-3"/>
    <x v="956"/>
    <x v="2"/>
  </r>
  <r>
    <s v="ORD10957"/>
    <x v="3"/>
    <x v="8"/>
    <n v="5"/>
    <s v="Q2"/>
    <x v="957"/>
    <d v="2028-05-10T00:00:00"/>
    <s v="C1957"/>
    <x v="957"/>
    <x v="1"/>
    <s v="India"/>
    <s v="Delhi"/>
    <s v="Delhi"/>
    <x v="0"/>
    <x v="0"/>
    <x v="5"/>
    <x v="171"/>
    <n v="40916.379999999997"/>
    <n v="4"/>
    <x v="1"/>
    <s v="High"/>
    <n v="5.5932611829296729E-2"/>
    <x v="957"/>
    <x v="3"/>
  </r>
  <r>
    <s v="ORD10958"/>
    <x v="3"/>
    <x v="8"/>
    <n v="5"/>
    <s v="Q2"/>
    <x v="958"/>
    <d v="2028-05-11T00:00:00"/>
    <s v="C1958"/>
    <x v="958"/>
    <x v="2"/>
    <s v="India"/>
    <s v="Karnataka"/>
    <s v="Bengaluru"/>
    <x v="1"/>
    <x v="1"/>
    <x v="2"/>
    <x v="120"/>
    <n v="30752.82"/>
    <n v="2"/>
    <x v="3"/>
    <s v="High"/>
    <n v="0.22444478262481296"/>
    <x v="958"/>
    <x v="1"/>
  </r>
  <r>
    <s v="ORD10959"/>
    <x v="3"/>
    <x v="8"/>
    <n v="5"/>
    <s v="Q2"/>
    <x v="959"/>
    <d v="2028-05-12T00:00:00"/>
    <s v="C1959"/>
    <x v="959"/>
    <x v="0"/>
    <s v="India"/>
    <s v="West Bengal"/>
    <s v="Kolkata"/>
    <x v="3"/>
    <x v="1"/>
    <x v="2"/>
    <x v="140"/>
    <n v="6233.41"/>
    <n v="6"/>
    <x v="0"/>
    <s v="Low"/>
    <n v="0.17829085524616542"/>
    <x v="959"/>
    <x v="0"/>
  </r>
  <r>
    <s v="ORD10960"/>
    <x v="3"/>
    <x v="8"/>
    <n v="5"/>
    <s v="Q2"/>
    <x v="960"/>
    <d v="2028-05-13T00:00:00"/>
    <s v="C1960"/>
    <x v="960"/>
    <x v="2"/>
    <s v="India"/>
    <s v="Karnataka"/>
    <s v="Bengaluru"/>
    <x v="1"/>
    <x v="0"/>
    <x v="7"/>
    <x v="126"/>
    <n v="11118.47"/>
    <n v="6"/>
    <x v="3"/>
    <s v="Medium"/>
    <n v="0.20749977290040805"/>
    <x v="960"/>
    <x v="2"/>
  </r>
  <r>
    <s v="ORD10961"/>
    <x v="3"/>
    <x v="8"/>
    <n v="5"/>
    <s v="Q2"/>
    <x v="961"/>
    <d v="2028-05-14T00:00:00"/>
    <s v="C1961"/>
    <x v="961"/>
    <x v="0"/>
    <s v="India"/>
    <s v="Delhi"/>
    <s v="Delhi"/>
    <x v="0"/>
    <x v="0"/>
    <x v="7"/>
    <x v="40"/>
    <n v="11567.89"/>
    <n v="3"/>
    <x v="0"/>
    <s v="Medium"/>
    <n v="7.9462200971828059E-2"/>
    <x v="961"/>
    <x v="1"/>
  </r>
  <r>
    <s v="ORD10962"/>
    <x v="3"/>
    <x v="8"/>
    <n v="5"/>
    <s v="Q2"/>
    <x v="962"/>
    <d v="2028-05-15T00:00:00"/>
    <s v="C1962"/>
    <x v="962"/>
    <x v="0"/>
    <s v="India"/>
    <s v="Delhi"/>
    <s v="Delhi"/>
    <x v="0"/>
    <x v="0"/>
    <x v="0"/>
    <x v="51"/>
    <n v="9512.08"/>
    <n v="1"/>
    <x v="3"/>
    <s v="Low"/>
    <n v="0.1928379492182572"/>
    <x v="962"/>
    <x v="3"/>
  </r>
  <r>
    <s v="ORD10963"/>
    <x v="3"/>
    <x v="8"/>
    <n v="5"/>
    <s v="Q2"/>
    <x v="963"/>
    <d v="2028-05-16T00:00:00"/>
    <s v="C1963"/>
    <x v="963"/>
    <x v="0"/>
    <s v="India"/>
    <s v="Karnataka"/>
    <s v="Bengaluru"/>
    <x v="1"/>
    <x v="2"/>
    <x v="8"/>
    <x v="29"/>
    <n v="26321.63"/>
    <n v="4"/>
    <x v="2"/>
    <s v="Medium"/>
    <n v="5.5531135419804929E-2"/>
    <x v="963"/>
    <x v="0"/>
  </r>
  <r>
    <s v="ORD10964"/>
    <x v="3"/>
    <x v="8"/>
    <n v="5"/>
    <s v="Q2"/>
    <x v="964"/>
    <d v="2028-05-17T00:00:00"/>
    <s v="C1964"/>
    <x v="964"/>
    <x v="0"/>
    <s v="India"/>
    <s v="Haryana"/>
    <s v="Gurugram"/>
    <x v="0"/>
    <x v="1"/>
    <x v="2"/>
    <x v="160"/>
    <n v="37527.83"/>
    <n v="5"/>
    <x v="0"/>
    <s v="High"/>
    <n v="0.16814774528663129"/>
    <x v="964"/>
    <x v="0"/>
  </r>
  <r>
    <s v="ORD10965"/>
    <x v="3"/>
    <x v="8"/>
    <n v="5"/>
    <s v="Q2"/>
    <x v="965"/>
    <d v="2028-05-18T00:00:00"/>
    <s v="C1965"/>
    <x v="965"/>
    <x v="1"/>
    <s v="India"/>
    <s v="Karnataka"/>
    <s v="Bengaluru"/>
    <x v="1"/>
    <x v="0"/>
    <x v="5"/>
    <x v="16"/>
    <n v="7099.92"/>
    <n v="8"/>
    <x v="2"/>
    <s v="Low"/>
    <n v="0.18624153511588862"/>
    <x v="965"/>
    <x v="1"/>
  </r>
  <r>
    <s v="ORD10966"/>
    <x v="3"/>
    <x v="8"/>
    <n v="5"/>
    <s v="Q2"/>
    <x v="966"/>
    <d v="2028-05-19T00:00:00"/>
    <s v="C1966"/>
    <x v="966"/>
    <x v="1"/>
    <s v="India"/>
    <s v="Karnataka"/>
    <s v="Bengaluru"/>
    <x v="1"/>
    <x v="2"/>
    <x v="8"/>
    <x v="29"/>
    <n v="26641.55"/>
    <n v="6"/>
    <x v="1"/>
    <s v="Medium"/>
    <n v="0.10097723293126715"/>
    <x v="966"/>
    <x v="2"/>
  </r>
  <r>
    <s v="ORD10967"/>
    <x v="3"/>
    <x v="8"/>
    <n v="5"/>
    <s v="Q2"/>
    <x v="967"/>
    <d v="2028-05-20T00:00:00"/>
    <s v="C1967"/>
    <x v="967"/>
    <x v="1"/>
    <s v="India"/>
    <s v="Karnataka"/>
    <s v="Bengaluru"/>
    <x v="1"/>
    <x v="0"/>
    <x v="0"/>
    <x v="176"/>
    <n v="46648.72"/>
    <n v="4"/>
    <x v="1"/>
    <s v="High"/>
    <n v="0.11613930671624001"/>
    <x v="967"/>
    <x v="2"/>
  </r>
  <r>
    <s v="ORD10968"/>
    <x v="3"/>
    <x v="8"/>
    <n v="5"/>
    <s v="Q2"/>
    <x v="968"/>
    <d v="2028-05-21T00:00:00"/>
    <s v="C1968"/>
    <x v="968"/>
    <x v="2"/>
    <s v="India"/>
    <s v="Delhi"/>
    <s v="Delhi"/>
    <x v="0"/>
    <x v="2"/>
    <x v="8"/>
    <x v="65"/>
    <n v="45179.55"/>
    <n v="6"/>
    <x v="0"/>
    <s v="High"/>
    <n v="0.2150441958806584"/>
    <x v="968"/>
    <x v="3"/>
  </r>
  <r>
    <s v="ORD10969"/>
    <x v="3"/>
    <x v="8"/>
    <n v="5"/>
    <s v="Q2"/>
    <x v="969"/>
    <d v="2028-05-22T00:00:00"/>
    <s v="C1969"/>
    <x v="969"/>
    <x v="2"/>
    <s v="India"/>
    <s v="Karnataka"/>
    <s v="Bengaluru"/>
    <x v="1"/>
    <x v="2"/>
    <x v="8"/>
    <x v="83"/>
    <n v="28185.89"/>
    <n v="8"/>
    <x v="3"/>
    <s v="Medium"/>
    <n v="0.22934347646996422"/>
    <x v="969"/>
    <x v="3"/>
  </r>
  <r>
    <s v="ORD10970"/>
    <x v="3"/>
    <x v="8"/>
    <n v="5"/>
    <s v="Q2"/>
    <x v="970"/>
    <d v="2028-05-23T00:00:00"/>
    <s v="C1970"/>
    <x v="970"/>
    <x v="0"/>
    <s v="India"/>
    <s v="Haryana"/>
    <s v="Gurugram"/>
    <x v="0"/>
    <x v="0"/>
    <x v="5"/>
    <x v="7"/>
    <n v="38383.4"/>
    <n v="3"/>
    <x v="1"/>
    <s v="High"/>
    <n v="-1.3990162413960202E-2"/>
    <x v="970"/>
    <x v="0"/>
  </r>
  <r>
    <s v="ORD10971"/>
    <x v="3"/>
    <x v="8"/>
    <n v="5"/>
    <s v="Q2"/>
    <x v="971"/>
    <d v="2028-05-24T00:00:00"/>
    <s v="C1971"/>
    <x v="971"/>
    <x v="2"/>
    <s v="India"/>
    <s v="Karnataka"/>
    <s v="Bengaluru"/>
    <x v="1"/>
    <x v="2"/>
    <x v="8"/>
    <x v="38"/>
    <n v="13325.6"/>
    <n v="4"/>
    <x v="2"/>
    <s v="Medium"/>
    <n v="0.10166821756618838"/>
    <x v="971"/>
    <x v="1"/>
  </r>
  <r>
    <s v="ORD10972"/>
    <x v="3"/>
    <x v="8"/>
    <n v="5"/>
    <s v="Q2"/>
    <x v="972"/>
    <d v="2028-05-25T00:00:00"/>
    <s v="C1972"/>
    <x v="972"/>
    <x v="0"/>
    <s v="India"/>
    <s v="Delhi"/>
    <s v="Delhi"/>
    <x v="0"/>
    <x v="0"/>
    <x v="7"/>
    <x v="17"/>
    <n v="45595.91"/>
    <n v="4"/>
    <x v="3"/>
    <s v="High"/>
    <n v="0.15664014601309634"/>
    <x v="972"/>
    <x v="3"/>
  </r>
  <r>
    <s v="ORD10973"/>
    <x v="3"/>
    <x v="8"/>
    <n v="5"/>
    <s v="Q2"/>
    <x v="973"/>
    <d v="2028-05-26T00:00:00"/>
    <s v="C1973"/>
    <x v="973"/>
    <x v="2"/>
    <s v="India"/>
    <s v="West Bengal"/>
    <s v="Kolkata"/>
    <x v="3"/>
    <x v="1"/>
    <x v="2"/>
    <x v="98"/>
    <n v="21103.27"/>
    <n v="7"/>
    <x v="1"/>
    <s v="Medium"/>
    <n v="0.12974576925756054"/>
    <x v="973"/>
    <x v="1"/>
  </r>
  <r>
    <s v="ORD10974"/>
    <x v="3"/>
    <x v="8"/>
    <n v="5"/>
    <s v="Q2"/>
    <x v="974"/>
    <d v="2028-05-27T00:00:00"/>
    <s v="C1974"/>
    <x v="974"/>
    <x v="0"/>
    <s v="India"/>
    <s v="Maharashtra"/>
    <s v="Mumbai"/>
    <x v="2"/>
    <x v="1"/>
    <x v="2"/>
    <x v="160"/>
    <n v="8545.4599999999991"/>
    <n v="4"/>
    <x v="3"/>
    <s v="Low"/>
    <n v="0.10483578414737184"/>
    <x v="974"/>
    <x v="2"/>
  </r>
  <r>
    <s v="ORD10975"/>
    <x v="3"/>
    <x v="8"/>
    <n v="5"/>
    <s v="Q2"/>
    <x v="975"/>
    <d v="2028-05-28T00:00:00"/>
    <s v="C1975"/>
    <x v="975"/>
    <x v="2"/>
    <s v="India"/>
    <s v="West Bengal"/>
    <s v="Kolkata"/>
    <x v="3"/>
    <x v="2"/>
    <x v="4"/>
    <x v="127"/>
    <n v="3297.23"/>
    <n v="6"/>
    <x v="2"/>
    <s v="Low"/>
    <n v="0.11011060799519597"/>
    <x v="975"/>
    <x v="1"/>
  </r>
  <r>
    <s v="ORD10976"/>
    <x v="3"/>
    <x v="8"/>
    <n v="5"/>
    <s v="Q2"/>
    <x v="976"/>
    <d v="2028-05-29T00:00:00"/>
    <s v="C1976"/>
    <x v="976"/>
    <x v="2"/>
    <s v="India"/>
    <s v="Maharashtra"/>
    <s v="Mumbai"/>
    <x v="2"/>
    <x v="0"/>
    <x v="7"/>
    <x v="40"/>
    <n v="44400.72"/>
    <n v="5"/>
    <x v="2"/>
    <s v="High"/>
    <n v="0.16251245475298598"/>
    <x v="976"/>
    <x v="3"/>
  </r>
  <r>
    <s v="ORD10977"/>
    <x v="3"/>
    <x v="8"/>
    <n v="5"/>
    <s v="Q2"/>
    <x v="977"/>
    <d v="2028-05-30T00:00:00"/>
    <s v="C1977"/>
    <x v="977"/>
    <x v="0"/>
    <s v="India"/>
    <s v="Delhi"/>
    <s v="Delhi"/>
    <x v="0"/>
    <x v="2"/>
    <x v="6"/>
    <x v="155"/>
    <n v="45412.28"/>
    <n v="6"/>
    <x v="2"/>
    <s v="High"/>
    <n v="0.13277333796056925"/>
    <x v="977"/>
    <x v="3"/>
  </r>
  <r>
    <s v="ORD10978"/>
    <x v="3"/>
    <x v="8"/>
    <n v="5"/>
    <s v="Q2"/>
    <x v="978"/>
    <d v="2028-05-31T00:00:00"/>
    <s v="C1978"/>
    <x v="978"/>
    <x v="0"/>
    <s v="India"/>
    <s v="Karnataka"/>
    <s v="Bengaluru"/>
    <x v="1"/>
    <x v="0"/>
    <x v="5"/>
    <x v="113"/>
    <n v="46430.83"/>
    <n v="3"/>
    <x v="0"/>
    <s v="High"/>
    <n v="5.8290579772104008E-2"/>
    <x v="978"/>
    <x v="2"/>
  </r>
  <r>
    <s v="ORD10979"/>
    <x v="3"/>
    <x v="8"/>
    <n v="5"/>
    <s v="Q2"/>
    <x v="979"/>
    <d v="2028-06-01T00:00:00"/>
    <s v="C1979"/>
    <x v="979"/>
    <x v="0"/>
    <s v="India"/>
    <s v="Delhi"/>
    <s v="Delhi"/>
    <x v="0"/>
    <x v="2"/>
    <x v="8"/>
    <x v="175"/>
    <n v="45775.91"/>
    <n v="2"/>
    <x v="2"/>
    <s v="High"/>
    <n v="0.12361370860786819"/>
    <x v="979"/>
    <x v="1"/>
  </r>
  <r>
    <s v="ORD10980"/>
    <x v="3"/>
    <x v="8"/>
    <n v="5"/>
    <s v="Q2"/>
    <x v="980"/>
    <d v="2028-06-02T00:00:00"/>
    <s v="C1980"/>
    <x v="980"/>
    <x v="2"/>
    <s v="India"/>
    <s v="Maharashtra"/>
    <s v="Mumbai"/>
    <x v="2"/>
    <x v="2"/>
    <x v="8"/>
    <x v="38"/>
    <n v="48513.81"/>
    <n v="5"/>
    <x v="1"/>
    <s v="High"/>
    <n v="-4.6312586045086958E-3"/>
    <x v="980"/>
    <x v="0"/>
  </r>
  <r>
    <s v="ORD10981"/>
    <x v="3"/>
    <x v="8"/>
    <n v="5"/>
    <s v="Q2"/>
    <x v="981"/>
    <d v="2028-06-03T00:00:00"/>
    <s v="C1981"/>
    <x v="981"/>
    <x v="1"/>
    <s v="India"/>
    <s v="Haryana"/>
    <s v="Gurugram"/>
    <x v="0"/>
    <x v="2"/>
    <x v="4"/>
    <x v="5"/>
    <n v="13548.62"/>
    <n v="6"/>
    <x v="3"/>
    <s v="Medium"/>
    <n v="2.5811484859712647E-2"/>
    <x v="981"/>
    <x v="3"/>
  </r>
  <r>
    <s v="ORD10982"/>
    <x v="3"/>
    <x v="8"/>
    <n v="5"/>
    <s v="Q2"/>
    <x v="982"/>
    <d v="2028-06-04T00:00:00"/>
    <s v="C1982"/>
    <x v="982"/>
    <x v="1"/>
    <s v="India"/>
    <s v="Delhi"/>
    <s v="Delhi"/>
    <x v="0"/>
    <x v="2"/>
    <x v="4"/>
    <x v="43"/>
    <n v="29699.5"/>
    <n v="6"/>
    <x v="1"/>
    <s v="Medium"/>
    <n v="7.1053048031111621E-2"/>
    <x v="982"/>
    <x v="1"/>
  </r>
  <r>
    <s v="ORD10983"/>
    <x v="3"/>
    <x v="9"/>
    <n v="6"/>
    <s v="Q2"/>
    <x v="983"/>
    <d v="2028-06-05T00:00:00"/>
    <s v="C1983"/>
    <x v="983"/>
    <x v="1"/>
    <s v="India"/>
    <s v="Haryana"/>
    <s v="Gurugram"/>
    <x v="0"/>
    <x v="0"/>
    <x v="5"/>
    <x v="7"/>
    <n v="37629.64"/>
    <n v="1"/>
    <x v="1"/>
    <s v="High"/>
    <n v="3.3578849013703026E-2"/>
    <x v="983"/>
    <x v="3"/>
  </r>
  <r>
    <s v="ORD10984"/>
    <x v="3"/>
    <x v="9"/>
    <n v="6"/>
    <s v="Q2"/>
    <x v="984"/>
    <d v="2028-06-06T00:00:00"/>
    <s v="C1984"/>
    <x v="984"/>
    <x v="0"/>
    <s v="India"/>
    <s v="Delhi"/>
    <s v="Delhi"/>
    <x v="0"/>
    <x v="1"/>
    <x v="1"/>
    <x v="139"/>
    <n v="18592.13"/>
    <n v="3"/>
    <x v="0"/>
    <s v="Medium"/>
    <n v="2.2706919540687376E-2"/>
    <x v="984"/>
    <x v="0"/>
  </r>
  <r>
    <s v="ORD10985"/>
    <x v="3"/>
    <x v="9"/>
    <n v="6"/>
    <s v="Q2"/>
    <x v="985"/>
    <d v="2028-06-07T00:00:00"/>
    <s v="C1985"/>
    <x v="985"/>
    <x v="0"/>
    <s v="India"/>
    <s v="West Bengal"/>
    <s v="Kolkata"/>
    <x v="3"/>
    <x v="1"/>
    <x v="2"/>
    <x v="84"/>
    <n v="1037.6400000000001"/>
    <n v="7"/>
    <x v="2"/>
    <s v="Low"/>
    <n v="0.29522763193400403"/>
    <x v="985"/>
    <x v="3"/>
  </r>
  <r>
    <s v="ORD10986"/>
    <x v="3"/>
    <x v="9"/>
    <n v="6"/>
    <s v="Q2"/>
    <x v="986"/>
    <d v="2028-06-08T00:00:00"/>
    <s v="C1986"/>
    <x v="986"/>
    <x v="1"/>
    <s v="India"/>
    <s v="Delhi"/>
    <s v="Delhi"/>
    <x v="0"/>
    <x v="1"/>
    <x v="3"/>
    <x v="102"/>
    <n v="9759.48"/>
    <n v="7"/>
    <x v="3"/>
    <s v="Low"/>
    <n v="0.1409532065232984"/>
    <x v="986"/>
    <x v="0"/>
  </r>
  <r>
    <s v="ORD10987"/>
    <x v="3"/>
    <x v="9"/>
    <n v="6"/>
    <s v="Q2"/>
    <x v="987"/>
    <d v="2028-06-09T00:00:00"/>
    <s v="C1987"/>
    <x v="987"/>
    <x v="1"/>
    <s v="India"/>
    <s v="Karnataka"/>
    <s v="Bengaluru"/>
    <x v="1"/>
    <x v="2"/>
    <x v="8"/>
    <x v="38"/>
    <n v="34132.410000000003"/>
    <n v="4"/>
    <x v="2"/>
    <s v="High"/>
    <n v="6.6432461112473445E-2"/>
    <x v="987"/>
    <x v="1"/>
  </r>
  <r>
    <s v="ORD10988"/>
    <x v="3"/>
    <x v="9"/>
    <n v="6"/>
    <s v="Q2"/>
    <x v="988"/>
    <d v="2028-06-10T00:00:00"/>
    <s v="C1988"/>
    <x v="988"/>
    <x v="2"/>
    <s v="India"/>
    <s v="West Bengal"/>
    <s v="Kolkata"/>
    <x v="3"/>
    <x v="1"/>
    <x v="2"/>
    <x v="28"/>
    <n v="4435.82"/>
    <n v="3"/>
    <x v="1"/>
    <s v="Low"/>
    <n v="2.5801317456524388E-2"/>
    <x v="988"/>
    <x v="3"/>
  </r>
  <r>
    <s v="ORD10989"/>
    <x v="3"/>
    <x v="9"/>
    <n v="6"/>
    <s v="Q2"/>
    <x v="989"/>
    <d v="2028-06-11T00:00:00"/>
    <s v="C1989"/>
    <x v="989"/>
    <x v="2"/>
    <s v="India"/>
    <s v="Karnataka"/>
    <s v="Bengaluru"/>
    <x v="1"/>
    <x v="1"/>
    <x v="3"/>
    <x v="12"/>
    <n v="8196.11"/>
    <n v="3"/>
    <x v="1"/>
    <s v="Low"/>
    <n v="-9.7168046792929803E-3"/>
    <x v="989"/>
    <x v="0"/>
  </r>
  <r>
    <s v="ORD10990"/>
    <x v="3"/>
    <x v="9"/>
    <n v="6"/>
    <s v="Q2"/>
    <x v="990"/>
    <d v="2028-06-12T00:00:00"/>
    <s v="C1990"/>
    <x v="990"/>
    <x v="2"/>
    <s v="India"/>
    <s v="Maharashtra"/>
    <s v="Mumbai"/>
    <x v="2"/>
    <x v="2"/>
    <x v="4"/>
    <x v="127"/>
    <n v="45039.06"/>
    <n v="3"/>
    <x v="0"/>
    <s v="High"/>
    <n v="0.15209908910177078"/>
    <x v="990"/>
    <x v="3"/>
  </r>
  <r>
    <s v="ORD10991"/>
    <x v="3"/>
    <x v="9"/>
    <n v="6"/>
    <s v="Q2"/>
    <x v="991"/>
    <d v="2028-06-13T00:00:00"/>
    <s v="C1991"/>
    <x v="991"/>
    <x v="1"/>
    <s v="India"/>
    <s v="Karnataka"/>
    <s v="Bengaluru"/>
    <x v="1"/>
    <x v="2"/>
    <x v="4"/>
    <x v="5"/>
    <n v="33098.870000000003"/>
    <n v="5"/>
    <x v="2"/>
    <s v="High"/>
    <n v="7.2379812362174292E-2"/>
    <x v="991"/>
    <x v="0"/>
  </r>
  <r>
    <s v="ORD10992"/>
    <x v="3"/>
    <x v="9"/>
    <n v="6"/>
    <s v="Q2"/>
    <x v="992"/>
    <d v="2028-06-14T00:00:00"/>
    <s v="C1992"/>
    <x v="992"/>
    <x v="1"/>
    <s v="India"/>
    <s v="Karnataka"/>
    <s v="Bengaluru"/>
    <x v="1"/>
    <x v="0"/>
    <x v="5"/>
    <x v="30"/>
    <n v="46721.35"/>
    <n v="5"/>
    <x v="1"/>
    <s v="High"/>
    <n v="-6.0206094216027572E-2"/>
    <x v="992"/>
    <x v="2"/>
  </r>
  <r>
    <s v="ORD10993"/>
    <x v="3"/>
    <x v="9"/>
    <n v="6"/>
    <s v="Q2"/>
    <x v="993"/>
    <d v="2028-06-15T00:00:00"/>
    <s v="C1993"/>
    <x v="993"/>
    <x v="1"/>
    <s v="India"/>
    <s v="Delhi"/>
    <s v="Delhi"/>
    <x v="0"/>
    <x v="2"/>
    <x v="4"/>
    <x v="69"/>
    <n v="2690.92"/>
    <n v="8"/>
    <x v="0"/>
    <s v="Low"/>
    <n v="8.1964532576219287E-2"/>
    <x v="993"/>
    <x v="2"/>
  </r>
  <r>
    <s v="ORD10994"/>
    <x v="3"/>
    <x v="9"/>
    <n v="6"/>
    <s v="Q2"/>
    <x v="994"/>
    <d v="2028-06-16T00:00:00"/>
    <s v="C1994"/>
    <x v="994"/>
    <x v="0"/>
    <s v="India"/>
    <s v="Haryana"/>
    <s v="Gurugram"/>
    <x v="0"/>
    <x v="0"/>
    <x v="5"/>
    <x v="16"/>
    <n v="49094.83"/>
    <n v="4"/>
    <x v="1"/>
    <s v="High"/>
    <n v="0.17952704999691413"/>
    <x v="994"/>
    <x v="0"/>
  </r>
  <r>
    <s v="ORD10995"/>
    <x v="3"/>
    <x v="9"/>
    <n v="6"/>
    <s v="Q2"/>
    <x v="995"/>
    <d v="2028-06-17T00:00:00"/>
    <s v="C1995"/>
    <x v="995"/>
    <x v="1"/>
    <s v="India"/>
    <s v="Maharashtra"/>
    <s v="Mumbai"/>
    <x v="2"/>
    <x v="1"/>
    <x v="3"/>
    <x v="33"/>
    <n v="16402.21"/>
    <n v="2"/>
    <x v="3"/>
    <s v="Medium"/>
    <n v="0.19176684117567086"/>
    <x v="995"/>
    <x v="2"/>
  </r>
  <r>
    <s v="ORD10996"/>
    <x v="3"/>
    <x v="9"/>
    <n v="6"/>
    <s v="Q2"/>
    <x v="996"/>
    <d v="2028-06-18T00:00:00"/>
    <s v="C1996"/>
    <x v="996"/>
    <x v="0"/>
    <s v="India"/>
    <s v="Karnataka"/>
    <s v="Bengaluru"/>
    <x v="1"/>
    <x v="0"/>
    <x v="7"/>
    <x v="99"/>
    <n v="5220.16"/>
    <n v="2"/>
    <x v="0"/>
    <s v="Low"/>
    <n v="6.3783485563660883E-2"/>
    <x v="996"/>
    <x v="0"/>
  </r>
  <r>
    <s v="ORD10997"/>
    <x v="3"/>
    <x v="9"/>
    <n v="6"/>
    <s v="Q2"/>
    <x v="997"/>
    <d v="2028-06-19T00:00:00"/>
    <s v="C1997"/>
    <x v="997"/>
    <x v="1"/>
    <s v="India"/>
    <s v="West Bengal"/>
    <s v="Kolkata"/>
    <x v="3"/>
    <x v="1"/>
    <x v="2"/>
    <x v="132"/>
    <n v="46029.95"/>
    <n v="1"/>
    <x v="1"/>
    <s v="High"/>
    <n v="0.14180962612386067"/>
    <x v="997"/>
    <x v="3"/>
  </r>
  <r>
    <s v="ORD10998"/>
    <x v="3"/>
    <x v="9"/>
    <n v="6"/>
    <s v="Q2"/>
    <x v="998"/>
    <d v="2028-06-20T00:00:00"/>
    <s v="C1998"/>
    <x v="998"/>
    <x v="2"/>
    <s v="India"/>
    <s v="Maharashtra"/>
    <s v="Mumbai"/>
    <x v="2"/>
    <x v="2"/>
    <x v="4"/>
    <x v="137"/>
    <n v="9503.67"/>
    <n v="8"/>
    <x v="3"/>
    <s v="Low"/>
    <n v="2.6732830580186391E-2"/>
    <x v="998"/>
    <x v="2"/>
  </r>
  <r>
    <s v="ORD10999"/>
    <x v="3"/>
    <x v="9"/>
    <n v="6"/>
    <s v="Q2"/>
    <x v="999"/>
    <d v="2028-06-21T00:00:00"/>
    <s v="C1999"/>
    <x v="999"/>
    <x v="2"/>
    <s v="India"/>
    <s v="Maharashtra"/>
    <s v="Mumbai"/>
    <x v="2"/>
    <x v="1"/>
    <x v="1"/>
    <x v="112"/>
    <n v="17272.2"/>
    <n v="8"/>
    <x v="1"/>
    <s v="Medium"/>
    <n v="-6.8083973089704847E-2"/>
    <x v="999"/>
    <x v="1"/>
  </r>
  <r>
    <s v="ORD11000"/>
    <x v="3"/>
    <x v="9"/>
    <n v="6"/>
    <s v="Q2"/>
    <x v="1000"/>
    <d v="2028-06-22T00:00:00"/>
    <s v="C2000"/>
    <x v="1000"/>
    <x v="0"/>
    <s v="India"/>
    <s v="Delhi"/>
    <s v="Delhi"/>
    <x v="0"/>
    <x v="2"/>
    <x v="8"/>
    <x v="46"/>
    <n v="48410.31"/>
    <n v="8"/>
    <x v="1"/>
    <s v="High"/>
    <n v="0.11591952210180022"/>
    <x v="1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62595-4D9E-4007-879B-C2AA518544C1}" name="PivotTable17"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K3:M4" firstHeaderRow="0" firstDataRow="1" firstDataCol="0"/>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items count="4">
        <item x="0"/>
        <item x="1"/>
        <item x="2"/>
        <item t="default"/>
      </items>
    </pivotField>
    <pivotField showAll="0"/>
    <pivotField showAll="0"/>
    <pivotField dataField="1" showAll="0"/>
    <pivotField showAll="0"/>
    <pivotField showAll="0"/>
    <pivotField dataField="1" showAll="0"/>
    <pivotField numFmtId="9" showAll="0"/>
    <pivotField dataField="1" showAll="0"/>
    <pivotField showAll="0">
      <items count="5">
        <item x="3"/>
        <item x="2"/>
        <item x="0"/>
        <item x="1"/>
        <item t="default"/>
      </items>
    </pivotField>
  </pivotFields>
  <rowItems count="1">
    <i/>
  </rowItems>
  <colFields count="1">
    <field x="-2"/>
  </colFields>
  <colItems count="3">
    <i>
      <x/>
    </i>
    <i i="1">
      <x v="1"/>
    </i>
    <i i="2">
      <x v="2"/>
    </i>
  </colItems>
  <dataFields count="3">
    <dataField name="Total Sales" fld="17" baseField="0" baseItem="1" numFmtId="168"/>
    <dataField name="Total Profit" fld="22" baseField="0" baseItem="1" numFmtId="168"/>
    <dataField name="Total Order" fld="20" subtotal="count" baseField="0" baseItem="2"/>
  </dataFields>
  <formats count="2">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AFCD5-52C2-4A34-8A6E-2C4C399AE9EE}" name="PivotTable16"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H10:I21" firstHeaderRow="1" firstDataRow="1" firstDataCol="1"/>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measureFilter="1">
      <items count="1002">
        <item x="0"/>
        <item x="1"/>
        <item x="10"/>
        <item x="100"/>
        <item x="10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showAll="0">
      <items count="4">
        <item x="2"/>
        <item x="1"/>
        <item x="0"/>
        <item t="default"/>
      </items>
    </pivotField>
    <pivotField showAll="0"/>
    <pivotField showAll="0"/>
    <pivotField showAll="0"/>
    <pivotField showAll="0">
      <items count="5">
        <item x="3"/>
        <item x="0"/>
        <item x="1"/>
        <item x="2"/>
        <item t="default"/>
      </items>
    </pivotField>
    <pivotField showAll="0">
      <items count="4">
        <item x="0"/>
        <item x="1"/>
        <item x="2"/>
        <item t="default"/>
      </items>
    </pivotField>
    <pivotField showAll="0"/>
    <pivotField axis="axisRow" showAll="0" measureFilter="1" sortType="ascending">
      <items count="181">
        <item x="167"/>
        <item x="15"/>
        <item x="108"/>
        <item x="44"/>
        <item x="71"/>
        <item x="93"/>
        <item x="150"/>
        <item x="87"/>
        <item x="45"/>
        <item x="134"/>
        <item x="179"/>
        <item x="155"/>
        <item x="9"/>
        <item x="67"/>
        <item x="128"/>
        <item x="149"/>
        <item x="21"/>
        <item x="63"/>
        <item x="8"/>
        <item x="22"/>
        <item x="153"/>
        <item x="103"/>
        <item x="162"/>
        <item x="109"/>
        <item x="118"/>
        <item x="143"/>
        <item x="112"/>
        <item x="152"/>
        <item x="23"/>
        <item x="82"/>
        <item x="68"/>
        <item x="139"/>
        <item x="145"/>
        <item x="138"/>
        <item x="135"/>
        <item x="48"/>
        <item x="60"/>
        <item x="75"/>
        <item x="116"/>
        <item x="1"/>
        <item x="176"/>
        <item x="80"/>
        <item x="100"/>
        <item x="88"/>
        <item x="111"/>
        <item x="131"/>
        <item x="51"/>
        <item x="136"/>
        <item x="62"/>
        <item x="73"/>
        <item x="91"/>
        <item x="169"/>
        <item x="0"/>
        <item x="104"/>
        <item x="49"/>
        <item x="47"/>
        <item x="37"/>
        <item x="27"/>
        <item x="164"/>
        <item x="105"/>
        <item x="89"/>
        <item x="40"/>
        <item x="53"/>
        <item x="177"/>
        <item x="76"/>
        <item x="106"/>
        <item x="86"/>
        <item x="129"/>
        <item x="110"/>
        <item x="17"/>
        <item x="10"/>
        <item x="42"/>
        <item x="99"/>
        <item x="126"/>
        <item x="122"/>
        <item x="79"/>
        <item x="61"/>
        <item x="144"/>
        <item x="97"/>
        <item x="14"/>
        <item x="127"/>
        <item x="165"/>
        <item x="32"/>
        <item x="119"/>
        <item x="96"/>
        <item x="148"/>
        <item x="5"/>
        <item x="77"/>
        <item x="154"/>
        <item x="69"/>
        <item x="137"/>
        <item x="151"/>
        <item x="50"/>
        <item x="11"/>
        <item x="18"/>
        <item x="85"/>
        <item x="4"/>
        <item x="43"/>
        <item x="54"/>
        <item x="95"/>
        <item x="146"/>
        <item x="107"/>
        <item x="64"/>
        <item x="35"/>
        <item x="58"/>
        <item x="31"/>
        <item x="147"/>
        <item x="172"/>
        <item x="12"/>
        <item x="156"/>
        <item x="133"/>
        <item x="121"/>
        <item x="33"/>
        <item x="173"/>
        <item x="102"/>
        <item x="59"/>
        <item x="3"/>
        <item x="52"/>
        <item x="117"/>
        <item x="174"/>
        <item x="24"/>
        <item x="83"/>
        <item x="123"/>
        <item x="92"/>
        <item x="25"/>
        <item x="72"/>
        <item x="46"/>
        <item x="65"/>
        <item x="81"/>
        <item x="74"/>
        <item x="114"/>
        <item x="94"/>
        <item x="36"/>
        <item x="130"/>
        <item x="175"/>
        <item x="178"/>
        <item x="168"/>
        <item x="38"/>
        <item x="29"/>
        <item x="66"/>
        <item x="28"/>
        <item x="125"/>
        <item x="120"/>
        <item x="19"/>
        <item x="13"/>
        <item x="70"/>
        <item x="170"/>
        <item x="160"/>
        <item x="140"/>
        <item x="101"/>
        <item x="78"/>
        <item x="56"/>
        <item x="166"/>
        <item x="98"/>
        <item x="34"/>
        <item x="84"/>
        <item x="132"/>
        <item x="141"/>
        <item x="115"/>
        <item x="2"/>
        <item x="90"/>
        <item x="30"/>
        <item x="26"/>
        <item x="124"/>
        <item x="6"/>
        <item x="142"/>
        <item x="55"/>
        <item x="161"/>
        <item x="16"/>
        <item x="7"/>
        <item x="158"/>
        <item x="20"/>
        <item x="57"/>
        <item x="41"/>
        <item x="159"/>
        <item x="171"/>
        <item x="113"/>
        <item x="157"/>
        <item x="163"/>
        <item x="3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9" showAll="0"/>
    <pivotField showAll="0"/>
    <pivotField showAll="0">
      <items count="5">
        <item x="3"/>
        <item x="2"/>
        <item x="0"/>
        <item x="1"/>
        <item t="default"/>
      </items>
    </pivotField>
  </pivotFields>
  <rowFields count="1">
    <field x="16"/>
  </rowFields>
  <rowItems count="11">
    <i>
      <x v="143"/>
    </i>
    <i>
      <x v="137"/>
    </i>
    <i>
      <x v="37"/>
    </i>
    <i>
      <x v="179"/>
    </i>
    <i>
      <x v="98"/>
    </i>
    <i>
      <x v="96"/>
    </i>
    <i>
      <x v="168"/>
    </i>
    <i>
      <x v="126"/>
    </i>
    <i>
      <x v="72"/>
    </i>
    <i>
      <x v="102"/>
    </i>
    <i t="grand">
      <x/>
    </i>
  </rowItems>
  <colItems count="1">
    <i/>
  </colItems>
  <dataFields count="1">
    <dataField name="Sum of Sales" fld="17" baseField="0" baseItem="0"/>
  </dataFields>
  <chartFormats count="2">
    <chartFormat chart="9"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10" filterVal="10"/>
        </filterColumn>
      </autoFilter>
    </filter>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B2915-2C0E-4723-877F-F55466C0E397}" name="PivotTable1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H3:I8" firstHeaderRow="1" firstDataRow="1" firstDataCol="1"/>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items count="4">
        <item x="0"/>
        <item x="1"/>
        <item x="2"/>
        <item t="default"/>
      </items>
    </pivotField>
    <pivotField showAll="0"/>
    <pivotField showAll="0"/>
    <pivotField dataField="1" showAll="0"/>
    <pivotField showAll="0"/>
    <pivotField showAll="0"/>
    <pivotField showAll="0"/>
    <pivotField numFmtId="9" showAll="0"/>
    <pivotField showAll="0"/>
    <pivotField axis="axisRow" showAll="0">
      <items count="5">
        <item x="3"/>
        <item x="2"/>
        <item x="0"/>
        <item x="1"/>
        <item t="default"/>
      </items>
    </pivotField>
  </pivotFields>
  <rowFields count="1">
    <field x="23"/>
  </rowFields>
  <rowItems count="5">
    <i>
      <x/>
    </i>
    <i>
      <x v="1"/>
    </i>
    <i>
      <x v="2"/>
    </i>
    <i>
      <x v="3"/>
    </i>
    <i t="grand">
      <x/>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546832-D545-4FB5-A954-15DEB7187A22}" name="PivotTable1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18:F29" firstHeaderRow="1" firstDataRow="1" firstDataCol="1"/>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axis="axisRow" showAll="0" measureFilter="1" sortType="ascending">
      <items count="1002">
        <item x="0"/>
        <item x="1"/>
        <item x="10"/>
        <item x="100"/>
        <item x="10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items count="5">
        <item x="3"/>
        <item x="0"/>
        <item x="1"/>
        <item x="2"/>
        <item t="default"/>
      </items>
    </pivotField>
    <pivotField showAll="0">
      <items count="4">
        <item x="0"/>
        <item x="1"/>
        <item x="2"/>
        <item t="default"/>
      </items>
    </pivotField>
    <pivotField showAll="0"/>
    <pivotField showAll="0"/>
    <pivotField dataField="1" showAll="0"/>
    <pivotField showAll="0"/>
    <pivotField showAll="0"/>
    <pivotField showAll="0"/>
    <pivotField numFmtId="9" showAll="0"/>
    <pivotField showAll="0"/>
    <pivotField showAll="0">
      <items count="5">
        <item x="3"/>
        <item x="2"/>
        <item x="0"/>
        <item x="1"/>
        <item t="default"/>
      </items>
    </pivotField>
  </pivotFields>
  <rowFields count="1">
    <field x="8"/>
  </rowFields>
  <rowItems count="11">
    <i>
      <x v="348"/>
    </i>
    <i>
      <x v="566"/>
    </i>
    <i>
      <x v="874"/>
    </i>
    <i>
      <x v="270"/>
    </i>
    <i>
      <x v="772"/>
    </i>
    <i>
      <x v="536"/>
    </i>
    <i>
      <x v="67"/>
    </i>
    <i>
      <x v="773"/>
    </i>
    <i>
      <x v="260"/>
    </i>
    <i>
      <x v="332"/>
    </i>
    <i t="grand">
      <x/>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C31C1E-0D10-420E-8851-D01974C985B3}" name="PivotTable1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E3:F16" firstHeaderRow="1" firstDataRow="1" firstDataCol="1"/>
  <pivotFields count="24">
    <pivotField showAll="0"/>
    <pivotField showAll="0">
      <items count="5">
        <item x="0"/>
        <item x="1"/>
        <item x="2"/>
        <item x="3"/>
        <item t="default"/>
      </items>
    </pivotField>
    <pivotField axis="axisRow" showAll="0">
      <items count="13">
        <item x="4"/>
        <item x="5"/>
        <item x="6"/>
        <item x="7"/>
        <item x="8"/>
        <item x="9"/>
        <item x="10"/>
        <item x="11"/>
        <item x="0"/>
        <item x="1"/>
        <item x="2"/>
        <item x="3"/>
        <item t="default"/>
      </items>
    </pivotField>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items count="4">
        <item x="0"/>
        <item x="1"/>
        <item x="2"/>
        <item t="default"/>
      </items>
    </pivotField>
    <pivotField showAll="0"/>
    <pivotField showAll="0"/>
    <pivotField dataField="1" showAll="0"/>
    <pivotField showAll="0"/>
    <pivotField showAll="0"/>
    <pivotField showAll="0"/>
    <pivotField numFmtId="9" showAll="0"/>
    <pivotField showAll="0"/>
    <pivotField showAll="0">
      <items count="5">
        <item x="3"/>
        <item x="2"/>
        <item x="0"/>
        <item x="1"/>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CDE380-C95F-427E-942A-CD33BD91F786}"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1:B26" firstHeaderRow="1" firstDataRow="1" firstDataCol="1"/>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pivotField showAll="0">
      <items count="4">
        <item x="2"/>
        <item x="1"/>
        <item x="0"/>
        <item t="default"/>
      </items>
    </pivotField>
    <pivotField showAll="0"/>
    <pivotField showAll="0"/>
    <pivotField showAll="0"/>
    <pivotField axis="axisRow" showAll="0">
      <items count="5">
        <item x="3"/>
        <item x="0"/>
        <item x="1"/>
        <item x="2"/>
        <item t="default"/>
      </items>
    </pivotField>
    <pivotField showAll="0">
      <items count="4">
        <item x="0"/>
        <item x="1"/>
        <item x="2"/>
        <item t="default"/>
      </items>
    </pivotField>
    <pivotField showAll="0"/>
    <pivotField showAll="0"/>
    <pivotField dataField="1" showAll="0"/>
    <pivotField showAll="0"/>
    <pivotField showAll="0"/>
    <pivotField showAll="0"/>
    <pivotField numFmtId="9" showAll="0"/>
    <pivotField showAll="0"/>
    <pivotField showAll="0">
      <items count="5">
        <item x="3"/>
        <item x="2"/>
        <item x="0"/>
        <item x="1"/>
        <item t="default"/>
      </items>
    </pivotField>
  </pivotFields>
  <rowFields count="1">
    <field x="13"/>
  </rowFields>
  <rowItems count="5">
    <i>
      <x/>
    </i>
    <i>
      <x v="1"/>
    </i>
    <i>
      <x v="2"/>
    </i>
    <i>
      <x v="3"/>
    </i>
    <i t="grand">
      <x/>
    </i>
  </rowItems>
  <colItems count="1">
    <i/>
  </colItems>
  <dataFields count="1">
    <dataField name="Sum of Sales" fld="17"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3" count="1" selected="0">
            <x v="0"/>
          </reference>
        </references>
      </pivotArea>
    </chartFormat>
    <chartFormat chart="9" format="8">
      <pivotArea type="data" outline="0" fieldPosition="0">
        <references count="2">
          <reference field="4294967294" count="1" selected="0">
            <x v="0"/>
          </reference>
          <reference field="13" count="1" selected="0">
            <x v="1"/>
          </reference>
        </references>
      </pivotArea>
    </chartFormat>
    <chartFormat chart="9" format="9">
      <pivotArea type="data" outline="0" fieldPosition="0">
        <references count="2">
          <reference field="4294967294" count="1" selected="0">
            <x v="0"/>
          </reference>
          <reference field="13" count="1" selected="0">
            <x v="2"/>
          </reference>
        </references>
      </pivotArea>
    </chartFormat>
    <chartFormat chart="9"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070C8-3D17-49A8-8FF2-36B01BA4BFD4}" name="PivotTable9"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9:B19" firstHeaderRow="1" firstDataRow="1" firstDataCol="1"/>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items count="4">
        <item x="0"/>
        <item x="1"/>
        <item x="2"/>
        <item t="default"/>
      </items>
    </pivotField>
    <pivotField axis="axisRow" showAll="0" sortType="ascending">
      <items count="10">
        <item x="6"/>
        <item x="1"/>
        <item x="0"/>
        <item x="7"/>
        <item x="4"/>
        <item x="3"/>
        <item x="8"/>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dataField="1" showAll="0"/>
    <pivotField showAll="0">
      <items count="5">
        <item x="3"/>
        <item x="2"/>
        <item x="0"/>
        <item x="1"/>
        <item t="default"/>
      </items>
    </pivotField>
  </pivotFields>
  <rowFields count="1">
    <field x="15"/>
  </rowFields>
  <rowItems count="10">
    <i>
      <x v="3"/>
    </i>
    <i>
      <x v="5"/>
    </i>
    <i>
      <x/>
    </i>
    <i>
      <x v="1"/>
    </i>
    <i>
      <x v="8"/>
    </i>
    <i>
      <x v="2"/>
    </i>
    <i>
      <x v="6"/>
    </i>
    <i>
      <x v="4"/>
    </i>
    <i>
      <x v="7"/>
    </i>
    <i t="grand">
      <x/>
    </i>
  </rowItems>
  <colItems count="1">
    <i/>
  </colItems>
  <dataFields count="1">
    <dataField name="Sum of Profit" fld="22" baseField="0" baseItem="0"/>
  </dataFields>
  <formats count="1">
    <format dxfId="20">
      <pivotArea collapsedLevelsAreSubtotals="1" fieldPosition="0">
        <references count="1">
          <reference field="15" count="1">
            <x v="0"/>
          </reference>
        </references>
      </pivotArea>
    </format>
  </format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C39EC-F898-44B2-BCA1-A654E9CA41C5}" name="PivotTable8"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C7" firstHeaderRow="0" firstDataRow="1" firstDataCol="1"/>
  <pivotFields count="24">
    <pivotField showAll="0"/>
    <pivotField showAll="0"/>
    <pivotField showAll="0"/>
    <pivotField showAll="0"/>
    <pivotField showAll="0"/>
    <pivotField numFmtId="14"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axis="axisRow" showAll="0">
      <items count="4">
        <item x="0"/>
        <item x="1"/>
        <item x="2"/>
        <item t="default"/>
      </items>
    </pivotField>
    <pivotField showAll="0"/>
    <pivotField showAll="0"/>
    <pivotField dataField="1" showAll="0"/>
    <pivotField showAll="0"/>
    <pivotField showAll="0"/>
    <pivotField showAll="0"/>
    <pivotField numFmtId="9" showAll="0"/>
    <pivotField dataField="1" showAll="0"/>
    <pivotField showAll="0">
      <items count="5">
        <item x="3"/>
        <item x="2"/>
        <item x="0"/>
        <item x="1"/>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2"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21FB5B4-80DB-4286-8B8B-D4B9F6FE8F55}" sourceName="Segment">
  <pivotTables>
    <pivotTable tabId="6" name="PivotTable11"/>
    <pivotTable tabId="6" name="PivotTable10"/>
    <pivotTable tabId="6" name="PivotTable12"/>
    <pivotTable tabId="6" name="PivotTable13"/>
    <pivotTable tabId="6" name="PivotTable16"/>
    <pivotTable tabId="6" name="PivotTable8"/>
    <pivotTable tabId="6" name="PivotTable9"/>
    <pivotTable tabId="6" name="PivotTable17"/>
  </pivotTables>
  <data>
    <tabular pivotCacheId="189665700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37D4D4-2298-4801-BA09-4EC86A53FCDA}" sourceName="Region">
  <pivotTables>
    <pivotTable tabId="6" name="PivotTable11"/>
    <pivotTable tabId="6" name="PivotTable10"/>
    <pivotTable tabId="6" name="PivotTable12"/>
    <pivotTable tabId="6" name="PivotTable13"/>
    <pivotTable tabId="6" name="PivotTable16"/>
    <pivotTable tabId="6" name="PivotTable8"/>
    <pivotTable tabId="6" name="PivotTable9"/>
    <pivotTable tabId="6" name="PivotTable17"/>
  </pivotTables>
  <data>
    <tabular pivotCacheId="189665700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5F1DBD-0DA3-4E74-A5DC-237A31B051BA}" sourceName="Category">
  <pivotTables>
    <pivotTable tabId="6" name="PivotTable11"/>
    <pivotTable tabId="6" name="PivotTable10"/>
    <pivotTable tabId="6" name="PivotTable12"/>
    <pivotTable tabId="6" name="PivotTable13"/>
    <pivotTable tabId="6" name="PivotTable16"/>
    <pivotTable tabId="6" name="PivotTable8"/>
    <pivotTable tabId="6" name="PivotTable9"/>
    <pivotTable tabId="6" name="PivotTable17"/>
  </pivotTables>
  <data>
    <tabular pivotCacheId="189665700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ABC240D-F048-425D-9C3A-66573A2A2D7F}" sourceName="Ship Mode">
  <pivotTables>
    <pivotTable tabId="6" name="PivotTable11"/>
    <pivotTable tabId="6" name="PivotTable10"/>
    <pivotTable tabId="6" name="PivotTable12"/>
    <pivotTable tabId="6" name="PivotTable13"/>
    <pivotTable tabId="6" name="PivotTable16"/>
    <pivotTable tabId="6" name="PivotTable8"/>
    <pivotTable tabId="6" name="PivotTable9"/>
    <pivotTable tabId="6" name="PivotTable17"/>
  </pivotTables>
  <data>
    <tabular pivotCacheId="189665700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29618D1-3D5F-4E06-BE86-8A5D00A8E4FD}" cache="Slicer_Segment" caption="Segment" rowHeight="234950"/>
  <slicer name="Region" xr10:uid="{D5F3DC2B-CB58-4F15-9FC8-7A5A5E343FA1}" cache="Slicer_Region" caption="Region" rowHeight="234950"/>
  <slicer name="Category" xr10:uid="{EF41EE18-A7AA-40C5-9235-01B6C86B295F}" cache="Slicer_Category" caption="Category" rowHeight="234950"/>
  <slicer name="Ship Mode" xr10:uid="{AE523ADA-205A-4D28-85E7-0BB2F16C1141}" cache="Slicer_Ship_Mode" caption="Ship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9E47B6-451A-4D02-936B-ADADB84D3BB1}" name="Retail_data" displayName="Retail_data" ref="A1:X1002" totalsRowShown="0">
  <autoFilter ref="A1:X1002" xr:uid="{AC9E47B6-451A-4D02-936B-ADADB84D3BB1}"/>
  <tableColumns count="24">
    <tableColumn id="1" xr3:uid="{087ABCD8-2675-4111-A06E-F0CBAF8E71ED}" name="Order ID"/>
    <tableColumn id="19" xr3:uid="{2EC94C74-3D2C-445F-85C7-2DA02FA84231}" name="Year" dataDxfId="25">
      <calculatedColumnFormula>YEAR(Retail_data[[#This Row],[Order Date]])</calculatedColumnFormula>
    </tableColumn>
    <tableColumn id="20" xr3:uid="{BF6B96A6-2556-4922-A342-9507CD976C79}" name="Month Name" dataDxfId="24">
      <calculatedColumnFormula>TEXT(Retail_data[[#This Row],[Order Date]],"mmmm")</calculatedColumnFormula>
    </tableColumn>
    <tableColumn id="21" xr3:uid="{EBE2CB4F-E56B-4A3A-9FCA-250306B6D954}" name="Month Number" dataDxfId="23">
      <calculatedColumnFormula>MONTH(Retail_data[[#This Row],[Order Date]])</calculatedColumnFormula>
    </tableColumn>
    <tableColumn id="22" xr3:uid="{BAF7D1C0-B76E-48A2-96B6-6D37FC006254}" name="Quarter" dataDxfId="22">
      <calculatedColumnFormula>"Q"&amp;ROUNDUP(MONTH(Retail_data[[#This Row],[Order Date]])/3,0)</calculatedColumnFormula>
    </tableColumn>
    <tableColumn id="2" xr3:uid="{28F0B7AA-AF2F-48CE-93D6-3A01E5003A99}" name="Order Date" dataDxfId="27"/>
    <tableColumn id="3" xr3:uid="{F6CCE19B-C0C5-43F6-8BB3-F732A19E179E}" name="Ship Date" dataDxfId="26"/>
    <tableColumn id="4" xr3:uid="{47C437AF-5FC1-4E94-8E01-CECF3B205EF4}" name="Customer ID"/>
    <tableColumn id="5" xr3:uid="{204847A3-C599-40B1-BB38-6A3C98CB4172}" name="Customer Name"/>
    <tableColumn id="6" xr3:uid="{E30C7BD2-84C6-47AA-94D4-5752AD8BEC87}" name="Segment"/>
    <tableColumn id="7" xr3:uid="{3032AAC1-9567-433A-9F8D-21B016130109}" name="Country"/>
    <tableColumn id="8" xr3:uid="{5C7AFAF1-46D7-459F-82C8-01A122470676}" name="State"/>
    <tableColumn id="9" xr3:uid="{8A11F89C-5976-40A8-9A9C-B70AC2D7BEE9}" name="City"/>
    <tableColumn id="10" xr3:uid="{73D97395-1E46-47FF-A557-A7BCB2A41446}" name="Region"/>
    <tableColumn id="11" xr3:uid="{74374472-9593-44B3-B612-2F2B4D345EC2}" name="Category"/>
    <tableColumn id="12" xr3:uid="{02DB3DE7-F11F-46AA-AEB9-D0D9496DCC3B}" name="Sub-Category"/>
    <tableColumn id="13" xr3:uid="{941CE386-C4B9-4343-ADF7-DC745E4B9395}" name="Product Name"/>
    <tableColumn id="14" xr3:uid="{20EAA4D8-AB01-4AD5-84B1-357B1FF8E515}" name="Sales"/>
    <tableColumn id="15" xr3:uid="{36E2C363-F8F5-4D7B-8CF2-BAD672C74BC4}" name="Quantity"/>
    <tableColumn id="16" xr3:uid="{4F74D25F-495B-4E34-875C-67DB37815F84}" name="Discount"/>
    <tableColumn id="24" xr3:uid="{5F2DF270-A288-46DA-82A0-8E8E24E76DA2}" name="Order size" dataDxfId="21">
      <calculatedColumnFormula>IF(Retail_data[[#This Row],[Sales]]&gt;30000,"High",IF(Retail_data[[#This Row],[Sales]]&gt;10000,"Medium","Low"))</calculatedColumnFormula>
    </tableColumn>
    <tableColumn id="23" xr3:uid="{7FD8A863-204A-43B1-AA11-BB5C85ED4398}" name="Profit margin %" dataCellStyle="Percent">
      <calculatedColumnFormula>Retail_data[[#This Row],[Profit]]/Retail_data[[#This Row],[Sales]]</calculatedColumnFormula>
    </tableColumn>
    <tableColumn id="17" xr3:uid="{004F6422-2012-4D0B-AEC8-9BFD962322F8}" name="Profit"/>
    <tableColumn id="18" xr3:uid="{71C7252F-45C4-4B08-81B0-4AAA91820AE8}" name="Ship Mode"/>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2F620AA-8615-40D6-A11A-15C56CD90116}" sourceName="Order Date">
  <pivotTables>
    <pivotTable tabId="6" name="PivotTable11"/>
    <pivotTable tabId="6" name="PivotTable10"/>
    <pivotTable tabId="6" name="PivotTable12"/>
    <pivotTable tabId="6" name="PivotTable13"/>
    <pivotTable tabId="6" name="PivotTable16"/>
    <pivotTable tabId="6" name="PivotTable8"/>
    <pivotTable tabId="6" name="PivotTable9"/>
    <pivotTable tabId="6" name="PivotTable17"/>
  </pivotTables>
  <state minimalRefreshVersion="6" lastRefreshVersion="6" pivotCacheId="1896657003" filterType="unknown">
    <bounds startDate="2025-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2F35F1A-AE9F-4A26-8A99-E058D33A83B6}" cache="NativeTimeline_Order_Date" caption="Order Date" level="2" selectionLevel="2" scrollPosition="2028-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FA33-0AA6-4C3F-A74B-E01E7FC8A74B}">
  <dimension ref="A3:M191"/>
  <sheetViews>
    <sheetView topLeftCell="B1" workbookViewId="0">
      <selection activeCell="N3" sqref="N3"/>
    </sheetView>
  </sheetViews>
  <sheetFormatPr defaultRowHeight="14.4" x14ac:dyDescent="0.25"/>
  <cols>
    <col min="1" max="1" width="13.09765625" customWidth="1"/>
    <col min="2" max="3" width="12.296875" customWidth="1"/>
    <col min="5" max="5" width="13.09765625" customWidth="1"/>
    <col min="6" max="6" width="12.3984375" customWidth="1"/>
    <col min="7" max="7" width="12" customWidth="1"/>
    <col min="8" max="8" width="15.296875" customWidth="1"/>
    <col min="9" max="9" width="12.3984375" customWidth="1"/>
    <col min="10" max="10" width="8.59765625" customWidth="1"/>
    <col min="11" max="11" width="14.5" customWidth="1"/>
    <col min="12" max="12" width="13" customWidth="1"/>
    <col min="13" max="13" width="10.69921875" customWidth="1"/>
    <col min="14" max="14" width="18" customWidth="1"/>
    <col min="15" max="15" width="7.796875" customWidth="1"/>
    <col min="16" max="23" width="7.796875" bestFit="1" customWidth="1"/>
    <col min="24" max="24" width="6.8984375" bestFit="1" customWidth="1"/>
    <col min="25" max="33" width="7.796875" bestFit="1" customWidth="1"/>
    <col min="34" max="34" width="6.8984375" bestFit="1" customWidth="1"/>
    <col min="35" max="40" width="7.796875" bestFit="1" customWidth="1"/>
    <col min="41" max="41" width="6.8984375" bestFit="1" customWidth="1"/>
    <col min="42" max="42" width="7.796875" bestFit="1" customWidth="1"/>
    <col min="43" max="43" width="6.8984375" bestFit="1" customWidth="1"/>
    <col min="44" max="45" width="6" bestFit="1" customWidth="1"/>
    <col min="46" max="48" width="6.8984375" bestFit="1" customWidth="1"/>
    <col min="49" max="49" width="6" bestFit="1" customWidth="1"/>
    <col min="50" max="70" width="6.8984375" bestFit="1" customWidth="1"/>
    <col min="71" max="71" width="4.19921875" bestFit="1" customWidth="1"/>
    <col min="72" max="81" width="6.8984375" bestFit="1" customWidth="1"/>
    <col min="82" max="82" width="6" bestFit="1" customWidth="1"/>
    <col min="83" max="86" width="6.8984375" bestFit="1" customWidth="1"/>
    <col min="87" max="87" width="6" bestFit="1" customWidth="1"/>
    <col min="88" max="100" width="6.8984375" bestFit="1" customWidth="1"/>
    <col min="101" max="109" width="6" bestFit="1" customWidth="1"/>
    <col min="110" max="111" width="5.09765625" bestFit="1" customWidth="1"/>
    <col min="112" max="112" width="4.5" bestFit="1" customWidth="1"/>
    <col min="113" max="124" width="5.3984375" bestFit="1" customWidth="1"/>
    <col min="125" max="125" width="4.5" bestFit="1" customWidth="1"/>
    <col min="126" max="126" width="5.3984375" bestFit="1" customWidth="1"/>
    <col min="127" max="127" width="2.69921875" bestFit="1" customWidth="1"/>
    <col min="128" max="131" width="5.3984375" bestFit="1" customWidth="1"/>
    <col min="132" max="133" width="6.296875" bestFit="1" customWidth="1"/>
    <col min="134" max="134" width="5.3984375" bestFit="1" customWidth="1"/>
    <col min="135" max="170" width="6.296875" bestFit="1" customWidth="1"/>
    <col min="171" max="171" width="5.3984375" bestFit="1" customWidth="1"/>
    <col min="172" max="179" width="6.296875" bestFit="1" customWidth="1"/>
    <col min="180" max="180" width="5.3984375" bestFit="1" customWidth="1"/>
    <col min="181" max="190" width="6.296875" bestFit="1" customWidth="1"/>
    <col min="191" max="191" width="5.3984375" bestFit="1" customWidth="1"/>
    <col min="192" max="194" width="6.296875" bestFit="1" customWidth="1"/>
    <col min="195" max="195" width="5.3984375" bestFit="1" customWidth="1"/>
    <col min="196" max="201" width="6.296875" bestFit="1" customWidth="1"/>
    <col min="202" max="202" width="5.3984375" bestFit="1" customWidth="1"/>
    <col min="203" max="208" width="6.296875" bestFit="1" customWidth="1"/>
    <col min="209" max="209" width="5.3984375" bestFit="1" customWidth="1"/>
    <col min="210" max="215" width="6.296875" bestFit="1" customWidth="1"/>
    <col min="216" max="216" width="5.3984375" bestFit="1" customWidth="1"/>
    <col min="217" max="222" width="6.296875" bestFit="1" customWidth="1"/>
    <col min="223" max="223" width="5.3984375" bestFit="1" customWidth="1"/>
    <col min="224" max="230" width="6.296875" bestFit="1" customWidth="1"/>
    <col min="231" max="231" width="5.3984375" bestFit="1" customWidth="1"/>
    <col min="232" max="234" width="6.296875" bestFit="1" customWidth="1"/>
    <col min="235" max="235" width="5.3984375" bestFit="1" customWidth="1"/>
    <col min="236" max="240" width="6.296875" bestFit="1" customWidth="1"/>
    <col min="241" max="241" width="5.3984375" bestFit="1" customWidth="1"/>
    <col min="242" max="242" width="6.296875" bestFit="1" customWidth="1"/>
    <col min="243" max="243" width="5.3984375" bestFit="1" customWidth="1"/>
    <col min="244" max="259" width="6.296875" bestFit="1" customWidth="1"/>
    <col min="260" max="260" width="5.3984375" bestFit="1" customWidth="1"/>
    <col min="261" max="276" width="6.296875" bestFit="1" customWidth="1"/>
    <col min="277" max="278" width="5.3984375" bestFit="1" customWidth="1"/>
    <col min="279" max="279" width="6.296875" bestFit="1" customWidth="1"/>
    <col min="280" max="280" width="5.3984375" bestFit="1" customWidth="1"/>
    <col min="281" max="289" width="6.296875" bestFit="1" customWidth="1"/>
    <col min="290" max="290" width="5.3984375" bestFit="1" customWidth="1"/>
    <col min="291" max="301" width="6.296875" bestFit="1" customWidth="1"/>
    <col min="302" max="302" width="5.3984375" bestFit="1" customWidth="1"/>
    <col min="303" max="318" width="6.296875" bestFit="1" customWidth="1"/>
    <col min="319" max="319" width="3.59765625" bestFit="1" customWidth="1"/>
    <col min="320" max="320" width="6.296875" bestFit="1" customWidth="1"/>
    <col min="321" max="321" width="5.3984375" bestFit="1" customWidth="1"/>
    <col min="322" max="327" width="7.19921875" bestFit="1" customWidth="1"/>
    <col min="328" max="328" width="6.296875" bestFit="1" customWidth="1"/>
    <col min="329" max="332" width="7.19921875" bestFit="1" customWidth="1"/>
    <col min="333" max="333" width="6.296875" bestFit="1" customWidth="1"/>
    <col min="334" max="336" width="7.19921875" bestFit="1" customWidth="1"/>
    <col min="337" max="337" width="4.5" bestFit="1" customWidth="1"/>
    <col min="338" max="339" width="7.19921875" bestFit="1" customWidth="1"/>
    <col min="340" max="340" width="6.296875" bestFit="1" customWidth="1"/>
    <col min="341" max="349" width="7.19921875" bestFit="1" customWidth="1"/>
    <col min="350" max="350" width="6.296875" bestFit="1" customWidth="1"/>
    <col min="351" max="354" width="7.19921875" bestFit="1" customWidth="1"/>
    <col min="355" max="355" width="6.296875" bestFit="1" customWidth="1"/>
    <col min="356" max="363" width="7.19921875" bestFit="1" customWidth="1"/>
    <col min="364" max="364" width="6.296875" bestFit="1" customWidth="1"/>
    <col min="365" max="370" width="7.19921875" bestFit="1" customWidth="1"/>
    <col min="371" max="371" width="4.5" bestFit="1" customWidth="1"/>
    <col min="372" max="372" width="7.19921875" bestFit="1" customWidth="1"/>
    <col min="373" max="373" width="6.296875" bestFit="1" customWidth="1"/>
    <col min="374" max="374" width="7.19921875" bestFit="1" customWidth="1"/>
    <col min="375" max="376" width="6.296875" bestFit="1" customWidth="1"/>
    <col min="377" max="377" width="7.19921875" bestFit="1" customWidth="1"/>
    <col min="378" max="378" width="6.296875" bestFit="1" customWidth="1"/>
    <col min="379" max="382" width="7.19921875" bestFit="1" customWidth="1"/>
    <col min="383" max="383" width="6.296875" bestFit="1" customWidth="1"/>
    <col min="384" max="390" width="7.19921875" bestFit="1" customWidth="1"/>
    <col min="391" max="392" width="6.296875" bestFit="1" customWidth="1"/>
    <col min="393" max="398" width="7.19921875" bestFit="1" customWidth="1"/>
    <col min="399" max="399" width="6.296875" bestFit="1" customWidth="1"/>
    <col min="400" max="403" width="7.19921875" bestFit="1" customWidth="1"/>
    <col min="404" max="404" width="6.296875" bestFit="1" customWidth="1"/>
    <col min="405" max="409" width="7.19921875" bestFit="1" customWidth="1"/>
    <col min="410" max="410" width="6.296875" bestFit="1" customWidth="1"/>
    <col min="411" max="418" width="7.19921875" bestFit="1" customWidth="1"/>
    <col min="419" max="419" width="6.296875" bestFit="1" customWidth="1"/>
    <col min="420" max="426" width="7.19921875" bestFit="1" customWidth="1"/>
    <col min="427" max="427" width="4.5" bestFit="1" customWidth="1"/>
    <col min="428" max="436" width="7.19921875" bestFit="1" customWidth="1"/>
    <col min="437" max="437" width="6.296875" bestFit="1" customWidth="1"/>
    <col min="438" max="441" width="7.19921875" bestFit="1" customWidth="1"/>
    <col min="442" max="442" width="6.296875" bestFit="1" customWidth="1"/>
    <col min="443" max="444" width="7.19921875" bestFit="1" customWidth="1"/>
    <col min="445" max="445" width="4.5" bestFit="1" customWidth="1"/>
    <col min="446" max="463" width="7.19921875" bestFit="1" customWidth="1"/>
    <col min="464" max="464" width="6.296875" bestFit="1" customWidth="1"/>
    <col min="465" max="470" width="7.19921875" bestFit="1" customWidth="1"/>
    <col min="471" max="471" width="4.5" bestFit="1" customWidth="1"/>
    <col min="472" max="480" width="7.19921875" bestFit="1" customWidth="1"/>
    <col min="481" max="481" width="4.5" bestFit="1" customWidth="1"/>
    <col min="482" max="483" width="7.19921875" bestFit="1" customWidth="1"/>
    <col min="484" max="484" width="6.296875" bestFit="1" customWidth="1"/>
    <col min="485" max="486" width="7.19921875" bestFit="1" customWidth="1"/>
    <col min="487" max="487" width="6.296875" bestFit="1" customWidth="1"/>
    <col min="488" max="496" width="7.19921875" bestFit="1" customWidth="1"/>
    <col min="497" max="497" width="6.296875" bestFit="1" customWidth="1"/>
    <col min="498" max="521" width="7.19921875" bestFit="1" customWidth="1"/>
    <col min="522" max="523" width="6.296875" bestFit="1" customWidth="1"/>
    <col min="524" max="539" width="7.19921875" bestFit="1" customWidth="1"/>
    <col min="540" max="540" width="6.296875" bestFit="1" customWidth="1"/>
    <col min="541" max="571" width="7.19921875" bestFit="1" customWidth="1"/>
    <col min="572" max="573" width="6.296875" bestFit="1" customWidth="1"/>
    <col min="574" max="580" width="7.19921875" bestFit="1" customWidth="1"/>
    <col min="581" max="581" width="6.296875" bestFit="1" customWidth="1"/>
    <col min="582" max="584" width="7.19921875" bestFit="1" customWidth="1"/>
    <col min="585" max="585" width="6.296875" bestFit="1" customWidth="1"/>
    <col min="586" max="591" width="7.19921875" bestFit="1" customWidth="1"/>
    <col min="592" max="592" width="6.296875" bestFit="1" customWidth="1"/>
    <col min="593" max="601" width="7.19921875" bestFit="1" customWidth="1"/>
    <col min="602" max="602" width="6.296875" bestFit="1" customWidth="1"/>
    <col min="603" max="614" width="7.19921875" bestFit="1" customWidth="1"/>
    <col min="615" max="615" width="6.296875" bestFit="1" customWidth="1"/>
    <col min="616" max="620" width="7.19921875" bestFit="1" customWidth="1"/>
    <col min="621" max="621" width="6.296875" bestFit="1" customWidth="1"/>
    <col min="622" max="632" width="7.19921875" bestFit="1" customWidth="1"/>
    <col min="633" max="633" width="6.296875" bestFit="1" customWidth="1"/>
    <col min="634" max="659" width="7.19921875" bestFit="1" customWidth="1"/>
    <col min="660" max="660" width="4.5" bestFit="1" customWidth="1"/>
    <col min="661" max="666" width="7.19921875" bestFit="1" customWidth="1"/>
    <col min="667" max="667" width="6.296875" bestFit="1" customWidth="1"/>
    <col min="668" max="688" width="7.19921875" bestFit="1" customWidth="1"/>
    <col min="689" max="689" width="6.296875" bestFit="1" customWidth="1"/>
    <col min="690" max="696" width="7.19921875" bestFit="1" customWidth="1"/>
    <col min="697" max="698" width="6.296875" bestFit="1" customWidth="1"/>
    <col min="699" max="704" width="7.19921875" bestFit="1" customWidth="1"/>
    <col min="705" max="705" width="6.296875" bestFit="1" customWidth="1"/>
    <col min="706" max="713" width="7.19921875" bestFit="1" customWidth="1"/>
    <col min="714" max="714" width="6.296875" bestFit="1" customWidth="1"/>
    <col min="715" max="726" width="7.19921875" bestFit="1" customWidth="1"/>
    <col min="727" max="727" width="6.296875" bestFit="1" customWidth="1"/>
    <col min="728" max="749" width="7.19921875" bestFit="1" customWidth="1"/>
    <col min="750" max="750" width="6.296875" bestFit="1" customWidth="1"/>
    <col min="751" max="764" width="7.19921875" bestFit="1" customWidth="1"/>
    <col min="765" max="765" width="6.296875" bestFit="1" customWidth="1"/>
    <col min="766" max="782" width="7.19921875" bestFit="1" customWidth="1"/>
    <col min="783" max="783" width="6.296875" bestFit="1" customWidth="1"/>
    <col min="784" max="791" width="7.19921875" bestFit="1" customWidth="1"/>
    <col min="792" max="792" width="6.296875" bestFit="1" customWidth="1"/>
    <col min="793" max="804" width="7.19921875" bestFit="1" customWidth="1"/>
    <col min="805" max="806" width="6.296875" bestFit="1" customWidth="1"/>
    <col min="807" max="808" width="7.19921875" bestFit="1" customWidth="1"/>
    <col min="809" max="809" width="6.296875" bestFit="1" customWidth="1"/>
    <col min="810" max="812" width="7.19921875" bestFit="1" customWidth="1"/>
    <col min="813" max="813" width="6.296875" bestFit="1" customWidth="1"/>
    <col min="814" max="822" width="7.19921875" bestFit="1" customWidth="1"/>
    <col min="823" max="823" width="6.296875" bestFit="1" customWidth="1"/>
    <col min="824" max="825" width="7.19921875" bestFit="1" customWidth="1"/>
    <col min="826" max="828" width="6.296875" bestFit="1" customWidth="1"/>
    <col min="829" max="832" width="7.19921875" bestFit="1" customWidth="1"/>
    <col min="833" max="833" width="6.296875" bestFit="1" customWidth="1"/>
    <col min="834" max="835" width="7.19921875" bestFit="1" customWidth="1"/>
    <col min="836" max="837" width="6.296875" bestFit="1" customWidth="1"/>
    <col min="838" max="839" width="7.19921875" bestFit="1" customWidth="1"/>
    <col min="840" max="840" width="6.296875" bestFit="1" customWidth="1"/>
    <col min="841" max="841" width="7.19921875" bestFit="1" customWidth="1"/>
    <col min="842" max="842" width="6.296875" bestFit="1" customWidth="1"/>
    <col min="843" max="847" width="7.19921875" bestFit="1" customWidth="1"/>
    <col min="848" max="848" width="6.296875" bestFit="1" customWidth="1"/>
    <col min="849" max="852" width="7.19921875" bestFit="1" customWidth="1"/>
    <col min="853" max="853" width="6.296875" bestFit="1" customWidth="1"/>
    <col min="854" max="858" width="7.19921875" bestFit="1" customWidth="1"/>
    <col min="859" max="859" width="6.296875" bestFit="1" customWidth="1"/>
    <col min="860" max="863" width="7.19921875" bestFit="1" customWidth="1"/>
    <col min="864" max="864" width="4.5" bestFit="1" customWidth="1"/>
    <col min="865" max="865" width="6.296875" bestFit="1" customWidth="1"/>
    <col min="866" max="886" width="7.19921875" bestFit="1" customWidth="1"/>
    <col min="887" max="887" width="6.296875" bestFit="1" customWidth="1"/>
    <col min="888" max="905" width="7.19921875" bestFit="1" customWidth="1"/>
    <col min="906" max="906" width="4.5" bestFit="1" customWidth="1"/>
    <col min="907" max="908" width="7.19921875" bestFit="1" customWidth="1"/>
    <col min="909" max="909" width="6.296875" bestFit="1" customWidth="1"/>
    <col min="910" max="932" width="7.19921875" bestFit="1" customWidth="1"/>
    <col min="933" max="933" width="6.296875" bestFit="1" customWidth="1"/>
    <col min="934" max="950" width="7.19921875" bestFit="1" customWidth="1"/>
    <col min="951" max="951" width="6.296875" bestFit="1" customWidth="1"/>
    <col min="952" max="977" width="7.19921875" bestFit="1" customWidth="1"/>
    <col min="978" max="978" width="6.296875" bestFit="1" customWidth="1"/>
    <col min="979" max="980" width="7.19921875" bestFit="1" customWidth="1"/>
    <col min="981" max="1009" width="8.09765625" bestFit="1" customWidth="1"/>
    <col min="1010" max="1010" width="9.69921875" bestFit="1" customWidth="1"/>
  </cols>
  <sheetData>
    <row r="3" spans="1:13" ht="13.8" x14ac:dyDescent="0.25">
      <c r="A3" s="4" t="s">
        <v>3246</v>
      </c>
      <c r="B3" t="s">
        <v>3248</v>
      </c>
      <c r="C3" t="s">
        <v>3249</v>
      </c>
      <c r="E3" s="4" t="s">
        <v>3246</v>
      </c>
      <c r="F3" t="s">
        <v>3248</v>
      </c>
      <c r="H3" s="4" t="s">
        <v>3246</v>
      </c>
      <c r="I3" t="s">
        <v>3248</v>
      </c>
      <c r="K3" t="s">
        <v>3262</v>
      </c>
      <c r="L3" t="s">
        <v>3263</v>
      </c>
      <c r="M3" t="s">
        <v>3264</v>
      </c>
    </row>
    <row r="4" spans="1:13" ht="13.8" x14ac:dyDescent="0.25">
      <c r="A4" s="5" t="s">
        <v>26</v>
      </c>
      <c r="B4" s="6">
        <v>7829838.7399999974</v>
      </c>
      <c r="C4" s="6">
        <v>897606.9</v>
      </c>
      <c r="E4" s="5" t="s">
        <v>3254</v>
      </c>
      <c r="F4" s="6">
        <v>2259256.3099999996</v>
      </c>
      <c r="H4" s="5" t="s">
        <v>81</v>
      </c>
      <c r="I4" s="6">
        <v>5923354.9000000004</v>
      </c>
      <c r="K4" s="7">
        <v>24970054.849999975</v>
      </c>
      <c r="L4" s="7">
        <v>2851535.6499999985</v>
      </c>
      <c r="M4" s="6">
        <v>1001</v>
      </c>
    </row>
    <row r="5" spans="1:13" ht="13.8" x14ac:dyDescent="0.25">
      <c r="A5" s="5" t="s">
        <v>37</v>
      </c>
      <c r="B5" s="6">
        <v>8182835.1800000034</v>
      </c>
      <c r="C5" s="6">
        <v>963887.75000000023</v>
      </c>
      <c r="E5" s="5" t="s">
        <v>3255</v>
      </c>
      <c r="F5" s="6">
        <v>2249342.9800000004</v>
      </c>
      <c r="H5" s="5" t="s">
        <v>48</v>
      </c>
      <c r="I5" s="6">
        <v>6585563.7599999979</v>
      </c>
    </row>
    <row r="6" spans="1:13" ht="13.8" x14ac:dyDescent="0.25">
      <c r="A6" s="5" t="s">
        <v>57</v>
      </c>
      <c r="B6" s="6">
        <v>8957380.929999996</v>
      </c>
      <c r="C6" s="6">
        <v>990040.99999999942</v>
      </c>
      <c r="E6" s="5" t="s">
        <v>3256</v>
      </c>
      <c r="F6" s="6">
        <v>2405824.1100000013</v>
      </c>
      <c r="H6" s="5" t="s">
        <v>29</v>
      </c>
      <c r="I6" s="6">
        <v>6596471.1099999994</v>
      </c>
      <c r="K6" s="7">
        <f>GETPIVOTDATA("Total Sales",$K$3)</f>
        <v>24970054.849999975</v>
      </c>
      <c r="L6" s="9">
        <f>GETPIVOTDATA("Total Profit",$K$3)</f>
        <v>2851535.6499999985</v>
      </c>
      <c r="M6">
        <f>GETPIVOTDATA("Total Order",$K$3)</f>
        <v>1001</v>
      </c>
    </row>
    <row r="7" spans="1:13" ht="13.8" x14ac:dyDescent="0.25">
      <c r="A7" s="5" t="s">
        <v>3247</v>
      </c>
      <c r="B7" s="6">
        <v>24970054.849999998</v>
      </c>
      <c r="C7" s="6">
        <v>2851535.65</v>
      </c>
      <c r="E7" s="5" t="s">
        <v>3257</v>
      </c>
      <c r="F7" s="6">
        <v>2026526.6999999995</v>
      </c>
      <c r="H7" s="5" t="s">
        <v>40</v>
      </c>
      <c r="I7" s="6">
        <v>5864665.0799999963</v>
      </c>
    </row>
    <row r="8" spans="1:13" ht="13.8" x14ac:dyDescent="0.25">
      <c r="E8" s="5" t="s">
        <v>3258</v>
      </c>
      <c r="F8" s="6">
        <v>2452599.8899999997</v>
      </c>
      <c r="H8" s="5" t="s">
        <v>3247</v>
      </c>
      <c r="I8" s="6">
        <v>24970054.849999994</v>
      </c>
    </row>
    <row r="9" spans="1:13" ht="13.8" x14ac:dyDescent="0.25">
      <c r="A9" s="4" t="s">
        <v>3246</v>
      </c>
      <c r="B9" t="s">
        <v>3249</v>
      </c>
      <c r="E9" s="5" t="s">
        <v>3259</v>
      </c>
      <c r="F9" s="6">
        <v>1834031.59</v>
      </c>
    </row>
    <row r="10" spans="1:13" ht="13.8" x14ac:dyDescent="0.25">
      <c r="A10" s="5" t="s">
        <v>92</v>
      </c>
      <c r="B10" s="6">
        <v>286143.91000000009</v>
      </c>
      <c r="E10" s="5" t="s">
        <v>3260</v>
      </c>
      <c r="F10" s="6">
        <v>1637094.29</v>
      </c>
      <c r="H10" s="4" t="s">
        <v>3246</v>
      </c>
      <c r="I10" t="s">
        <v>3248</v>
      </c>
    </row>
    <row r="11" spans="1:13" ht="13.8" x14ac:dyDescent="0.25">
      <c r="A11" s="5" t="s">
        <v>52</v>
      </c>
      <c r="B11" s="6">
        <v>291899.91000000003</v>
      </c>
      <c r="E11" s="5" t="s">
        <v>3261</v>
      </c>
      <c r="F11" s="6">
        <v>1346630.3800000006</v>
      </c>
      <c r="H11" s="5" t="s">
        <v>129</v>
      </c>
      <c r="I11" s="6">
        <v>264495.43</v>
      </c>
    </row>
    <row r="12" spans="1:13" ht="13.8" x14ac:dyDescent="0.25">
      <c r="A12" s="5" t="s">
        <v>79</v>
      </c>
      <c r="B12" s="6">
        <v>293434.44000000012</v>
      </c>
      <c r="E12" s="5" t="s">
        <v>3250</v>
      </c>
      <c r="F12" s="6">
        <v>1696809.5200000003</v>
      </c>
      <c r="H12" s="5" t="s">
        <v>227</v>
      </c>
      <c r="I12" s="6">
        <v>265632.76</v>
      </c>
    </row>
    <row r="13" spans="1:13" ht="13.8" x14ac:dyDescent="0.25">
      <c r="A13" s="5" t="s">
        <v>38</v>
      </c>
      <c r="B13" s="6">
        <v>294819.56999999983</v>
      </c>
      <c r="E13" s="5" t="s">
        <v>3251</v>
      </c>
      <c r="F13" s="6">
        <v>2478579.5599999991</v>
      </c>
      <c r="H13" s="5" t="s">
        <v>411</v>
      </c>
      <c r="I13" s="6">
        <v>268183.79000000004</v>
      </c>
    </row>
    <row r="14" spans="1:13" ht="13.8" x14ac:dyDescent="0.25">
      <c r="A14" s="5" t="s">
        <v>70</v>
      </c>
      <c r="B14" s="6">
        <v>301446.81</v>
      </c>
      <c r="E14" s="5" t="s">
        <v>3252</v>
      </c>
      <c r="F14" s="6">
        <v>2335439.5400000005</v>
      </c>
      <c r="H14" s="5" t="s">
        <v>231</v>
      </c>
      <c r="I14" s="6">
        <v>289538.39</v>
      </c>
    </row>
    <row r="15" spans="1:13" ht="13.8" x14ac:dyDescent="0.25">
      <c r="A15" s="5" t="s">
        <v>27</v>
      </c>
      <c r="B15" s="6">
        <v>310016.17999999993</v>
      </c>
      <c r="E15" s="5" t="s">
        <v>3253</v>
      </c>
      <c r="F15" s="6">
        <v>2247919.98</v>
      </c>
      <c r="H15" s="5" t="s">
        <v>309</v>
      </c>
      <c r="I15" s="6">
        <v>290750.23</v>
      </c>
    </row>
    <row r="16" spans="1:13" ht="13.8" x14ac:dyDescent="0.25">
      <c r="A16" s="5" t="s">
        <v>149</v>
      </c>
      <c r="B16" s="6">
        <v>335548.85000000009</v>
      </c>
      <c r="E16" s="5" t="s">
        <v>3247</v>
      </c>
      <c r="F16" s="6">
        <v>24970054.850000001</v>
      </c>
      <c r="H16" s="5" t="s">
        <v>59</v>
      </c>
      <c r="I16" s="6">
        <v>291866.48</v>
      </c>
    </row>
    <row r="17" spans="1:9" ht="13.8" x14ac:dyDescent="0.25">
      <c r="A17" s="5" t="s">
        <v>58</v>
      </c>
      <c r="B17" s="6">
        <v>361057.71000000025</v>
      </c>
      <c r="H17" s="5" t="s">
        <v>117</v>
      </c>
      <c r="I17" s="6">
        <v>331551.95999999996</v>
      </c>
    </row>
    <row r="18" spans="1:9" ht="13.8" x14ac:dyDescent="0.25">
      <c r="A18" s="5" t="s">
        <v>46</v>
      </c>
      <c r="B18" s="6">
        <v>377168.27000000008</v>
      </c>
      <c r="E18" s="4" t="s">
        <v>3246</v>
      </c>
      <c r="F18" t="s">
        <v>3248</v>
      </c>
      <c r="H18" s="5" t="s">
        <v>262</v>
      </c>
      <c r="I18" s="6">
        <v>345423.84</v>
      </c>
    </row>
    <row r="19" spans="1:9" ht="13.8" x14ac:dyDescent="0.25">
      <c r="A19" s="5" t="s">
        <v>3247</v>
      </c>
      <c r="B19" s="6">
        <v>2851535.6500000004</v>
      </c>
      <c r="E19" s="5" t="s">
        <v>1444</v>
      </c>
      <c r="F19" s="6">
        <v>49626.46</v>
      </c>
      <c r="H19" s="5" t="s">
        <v>570</v>
      </c>
      <c r="I19" s="6">
        <v>350959.72</v>
      </c>
    </row>
    <row r="20" spans="1:9" ht="13.8" x14ac:dyDescent="0.25">
      <c r="E20" s="5" t="s">
        <v>2048</v>
      </c>
      <c r="F20" s="6">
        <v>49632.38</v>
      </c>
      <c r="H20" s="5" t="s">
        <v>358</v>
      </c>
      <c r="I20" s="6">
        <v>356350.93</v>
      </c>
    </row>
    <row r="21" spans="1:9" ht="13.8" x14ac:dyDescent="0.25">
      <c r="A21" s="4" t="s">
        <v>3246</v>
      </c>
      <c r="B21" t="s">
        <v>3248</v>
      </c>
      <c r="E21" s="5" t="s">
        <v>2887</v>
      </c>
      <c r="F21" s="6">
        <v>49634.04</v>
      </c>
      <c r="H21" s="5" t="s">
        <v>3247</v>
      </c>
      <c r="I21" s="6">
        <v>3054753.5300000003</v>
      </c>
    </row>
    <row r="22" spans="1:9" ht="13.8" x14ac:dyDescent="0.25">
      <c r="A22" s="5" t="s">
        <v>87</v>
      </c>
      <c r="B22" s="6">
        <v>4598753.8600000003</v>
      </c>
      <c r="E22" s="5" t="s">
        <v>1227</v>
      </c>
      <c r="F22" s="6">
        <v>49663.16</v>
      </c>
    </row>
    <row r="23" spans="1:9" ht="13.8" x14ac:dyDescent="0.25">
      <c r="A23" s="5" t="s">
        <v>25</v>
      </c>
      <c r="B23" s="6">
        <v>9933920.7599999979</v>
      </c>
      <c r="E23" s="5" t="s">
        <v>2610</v>
      </c>
      <c r="F23" s="6">
        <v>49695.25</v>
      </c>
    </row>
    <row r="24" spans="1:9" ht="13.8" x14ac:dyDescent="0.25">
      <c r="A24" s="5" t="s">
        <v>36</v>
      </c>
      <c r="B24" s="6">
        <v>5205019.669999999</v>
      </c>
      <c r="E24" s="5" t="s">
        <v>1966</v>
      </c>
      <c r="F24" s="6">
        <v>49744.87</v>
      </c>
    </row>
    <row r="25" spans="1:9" ht="13.8" x14ac:dyDescent="0.25">
      <c r="A25" s="5" t="s">
        <v>69</v>
      </c>
      <c r="B25" s="6">
        <v>5232360.5599999968</v>
      </c>
      <c r="E25" s="5" t="s">
        <v>634</v>
      </c>
      <c r="F25" s="6">
        <v>49791.9</v>
      </c>
    </row>
    <row r="26" spans="1:9" ht="13.8" x14ac:dyDescent="0.25">
      <c r="A26" s="5" t="s">
        <v>3247</v>
      </c>
      <c r="B26" s="6">
        <v>24970054.849999994</v>
      </c>
      <c r="E26" s="5" t="s">
        <v>2613</v>
      </c>
      <c r="F26" s="6">
        <v>49866.77</v>
      </c>
    </row>
    <row r="27" spans="1:9" ht="13.8" x14ac:dyDescent="0.25">
      <c r="E27" s="5" t="s">
        <v>1200</v>
      </c>
      <c r="F27" s="6">
        <v>49883.74</v>
      </c>
    </row>
    <row r="28" spans="1:9" ht="13.8" x14ac:dyDescent="0.25">
      <c r="E28" s="5" t="s">
        <v>1401</v>
      </c>
      <c r="F28" s="6">
        <v>49993.73</v>
      </c>
    </row>
    <row r="29" spans="1:9" ht="13.8" x14ac:dyDescent="0.25">
      <c r="E29" s="5" t="s">
        <v>3247</v>
      </c>
      <c r="F29" s="6">
        <v>497532.3</v>
      </c>
    </row>
    <row r="30" spans="1:9" ht="13.8" x14ac:dyDescent="0.25"/>
    <row r="31" spans="1:9" ht="13.8" x14ac:dyDescent="0.25"/>
    <row r="32" spans="1:9" ht="13.8" x14ac:dyDescent="0.25"/>
    <row r="33" ht="13.8" x14ac:dyDescent="0.25"/>
    <row r="34" ht="13.8" x14ac:dyDescent="0.25"/>
    <row r="35" ht="13.8" x14ac:dyDescent="0.25"/>
    <row r="36" ht="13.8" x14ac:dyDescent="0.25"/>
    <row r="37" ht="13.8" x14ac:dyDescent="0.25"/>
    <row r="38" ht="13.8" x14ac:dyDescent="0.25"/>
    <row r="39" ht="13.8" x14ac:dyDescent="0.25"/>
    <row r="40" ht="13.8" x14ac:dyDescent="0.25"/>
    <row r="41" ht="13.8" x14ac:dyDescent="0.25"/>
    <row r="42" ht="13.8" x14ac:dyDescent="0.25"/>
    <row r="43" ht="13.8" x14ac:dyDescent="0.25"/>
    <row r="44" ht="13.8" x14ac:dyDescent="0.25"/>
    <row r="45" ht="13.8" x14ac:dyDescent="0.25"/>
    <row r="46" ht="13.8" x14ac:dyDescent="0.25"/>
    <row r="47" ht="13.8" x14ac:dyDescent="0.25"/>
    <row r="48"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row r="93" ht="13.8" x14ac:dyDescent="0.25"/>
    <row r="94" ht="13.8" x14ac:dyDescent="0.25"/>
    <row r="95" ht="13.8" x14ac:dyDescent="0.25"/>
    <row r="96" ht="13.8" x14ac:dyDescent="0.25"/>
    <row r="97" ht="13.8" x14ac:dyDescent="0.25"/>
    <row r="98" ht="13.8" x14ac:dyDescent="0.25"/>
    <row r="99" ht="13.8" x14ac:dyDescent="0.25"/>
    <row r="100" ht="13.8" x14ac:dyDescent="0.25"/>
    <row r="101" ht="13.8" x14ac:dyDescent="0.25"/>
    <row r="102" ht="13.8" x14ac:dyDescent="0.25"/>
    <row r="103" ht="13.8" x14ac:dyDescent="0.25"/>
    <row r="104" ht="13.8" x14ac:dyDescent="0.25"/>
    <row r="105" ht="13.8" x14ac:dyDescent="0.25"/>
    <row r="106" ht="13.8" x14ac:dyDescent="0.25"/>
    <row r="107" ht="13.8" x14ac:dyDescent="0.25"/>
    <row r="108" ht="13.8" x14ac:dyDescent="0.25"/>
    <row r="109" ht="13.8" x14ac:dyDescent="0.25"/>
    <row r="110" ht="13.8" x14ac:dyDescent="0.25"/>
    <row r="111" ht="13.8" x14ac:dyDescent="0.25"/>
    <row r="112" ht="13.8" x14ac:dyDescent="0.25"/>
    <row r="113" ht="13.8" x14ac:dyDescent="0.25"/>
    <row r="114" ht="13.8" x14ac:dyDescent="0.25"/>
    <row r="115" ht="13.8" x14ac:dyDescent="0.25"/>
    <row r="116" ht="13.8" x14ac:dyDescent="0.25"/>
    <row r="117" ht="13.8" x14ac:dyDescent="0.25"/>
    <row r="118" ht="13.8" x14ac:dyDescent="0.25"/>
    <row r="119" ht="13.8" x14ac:dyDescent="0.25"/>
    <row r="120" ht="13.8" x14ac:dyDescent="0.25"/>
    <row r="121" ht="13.8" x14ac:dyDescent="0.25"/>
    <row r="122" ht="13.8" x14ac:dyDescent="0.25"/>
    <row r="123" ht="13.8" x14ac:dyDescent="0.25"/>
    <row r="124" ht="13.8" x14ac:dyDescent="0.25"/>
    <row r="125" ht="13.8" x14ac:dyDescent="0.25"/>
    <row r="126" ht="13.8" x14ac:dyDescent="0.25"/>
    <row r="127" ht="13.8" x14ac:dyDescent="0.25"/>
    <row r="128" ht="13.8" x14ac:dyDescent="0.25"/>
    <row r="129" ht="13.8" x14ac:dyDescent="0.25"/>
    <row r="130" ht="13.8" x14ac:dyDescent="0.25"/>
    <row r="131" ht="13.8" x14ac:dyDescent="0.25"/>
    <row r="132" ht="13.8" x14ac:dyDescent="0.25"/>
    <row r="133" ht="13.8" x14ac:dyDescent="0.25"/>
    <row r="134" ht="13.8" x14ac:dyDescent="0.25"/>
    <row r="135" ht="13.8" x14ac:dyDescent="0.25"/>
    <row r="136" ht="13.8" x14ac:dyDescent="0.25"/>
    <row r="137" ht="13.8" x14ac:dyDescent="0.25"/>
    <row r="138" ht="13.8" x14ac:dyDescent="0.25"/>
    <row r="139" ht="13.8" x14ac:dyDescent="0.25"/>
    <row r="140" ht="13.8" x14ac:dyDescent="0.25"/>
    <row r="141" ht="13.8" x14ac:dyDescent="0.25"/>
    <row r="142" ht="13.8" x14ac:dyDescent="0.25"/>
    <row r="143" ht="13.8" x14ac:dyDescent="0.25"/>
    <row r="144" ht="13.8" x14ac:dyDescent="0.25"/>
    <row r="145" ht="13.8" x14ac:dyDescent="0.25"/>
    <row r="146" ht="13.8" x14ac:dyDescent="0.25"/>
    <row r="147" ht="13.8" x14ac:dyDescent="0.25"/>
    <row r="148" ht="13.8" x14ac:dyDescent="0.25"/>
    <row r="149" ht="13.8" x14ac:dyDescent="0.25"/>
    <row r="150" ht="13.8" x14ac:dyDescent="0.25"/>
    <row r="151" ht="13.8" x14ac:dyDescent="0.25"/>
    <row r="152" ht="13.8" x14ac:dyDescent="0.25"/>
    <row r="153" ht="13.8" x14ac:dyDescent="0.25"/>
    <row r="154" ht="13.8" x14ac:dyDescent="0.25"/>
    <row r="155" ht="13.8" x14ac:dyDescent="0.25"/>
    <row r="156" ht="13.8" x14ac:dyDescent="0.25"/>
    <row r="157" ht="13.8" x14ac:dyDescent="0.25"/>
    <row r="158" ht="13.8" x14ac:dyDescent="0.25"/>
    <row r="159" ht="13.8" x14ac:dyDescent="0.25"/>
    <row r="160" ht="13.8" x14ac:dyDescent="0.25"/>
    <row r="161" ht="13.8" x14ac:dyDescent="0.25"/>
    <row r="162" ht="13.8" x14ac:dyDescent="0.25"/>
    <row r="163" ht="13.8" x14ac:dyDescent="0.25"/>
    <row r="164" ht="13.8" x14ac:dyDescent="0.25"/>
    <row r="165" ht="13.8" x14ac:dyDescent="0.25"/>
    <row r="166" ht="13.8" x14ac:dyDescent="0.25"/>
    <row r="167" ht="13.8" x14ac:dyDescent="0.25"/>
    <row r="168" ht="13.8" x14ac:dyDescent="0.25"/>
    <row r="169" ht="13.8" x14ac:dyDescent="0.25"/>
    <row r="170" ht="13.8" x14ac:dyDescent="0.25"/>
    <row r="171" ht="13.8" x14ac:dyDescent="0.25"/>
    <row r="172" ht="13.8" x14ac:dyDescent="0.25"/>
    <row r="173" ht="13.8" x14ac:dyDescent="0.25"/>
    <row r="174" ht="13.8" x14ac:dyDescent="0.25"/>
    <row r="175" ht="13.8" x14ac:dyDescent="0.25"/>
    <row r="176" ht="13.8" x14ac:dyDescent="0.25"/>
    <row r="177" ht="13.8" x14ac:dyDescent="0.25"/>
    <row r="178" ht="13.8" x14ac:dyDescent="0.25"/>
    <row r="179" ht="13.8" x14ac:dyDescent="0.25"/>
    <row r="180" ht="13.8" x14ac:dyDescent="0.25"/>
    <row r="181" ht="13.8" x14ac:dyDescent="0.25"/>
    <row r="182" ht="13.8" x14ac:dyDescent="0.25"/>
    <row r="183" ht="13.8" x14ac:dyDescent="0.25"/>
    <row r="184" ht="13.8" x14ac:dyDescent="0.25"/>
    <row r="185" ht="13.8" x14ac:dyDescent="0.25"/>
    <row r="186" ht="13.8" x14ac:dyDescent="0.25"/>
    <row r="187" ht="13.8" x14ac:dyDescent="0.25"/>
    <row r="188" ht="13.8" x14ac:dyDescent="0.25"/>
    <row r="189" ht="13.8" x14ac:dyDescent="0.25"/>
    <row r="190" ht="13.8" x14ac:dyDescent="0.25"/>
    <row r="191" ht="13.8"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A044-6DC4-4152-B957-3F241C23585D}">
  <dimension ref="G2:I2"/>
  <sheetViews>
    <sheetView showGridLines="0" tabSelected="1" workbookViewId="0">
      <selection activeCell="A8" sqref="A8"/>
    </sheetView>
  </sheetViews>
  <sheetFormatPr defaultRowHeight="13.8" x14ac:dyDescent="0.25"/>
  <cols>
    <col min="7" max="7" width="14.5" customWidth="1"/>
    <col min="9" max="9" width="13" customWidth="1"/>
  </cols>
  <sheetData>
    <row r="2" spans="7:9" x14ac:dyDescent="0.25">
      <c r="G2" s="7"/>
      <c r="I2"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opLeftCell="J1" workbookViewId="0">
      <selection activeCell="Z3" sqref="Z3"/>
    </sheetView>
  </sheetViews>
  <sheetFormatPr defaultRowHeight="14.4" x14ac:dyDescent="0.25"/>
  <cols>
    <col min="1" max="1" width="9.59765625" customWidth="1"/>
    <col min="2" max="2" width="4.8984375" customWidth="1"/>
    <col min="3" max="3" width="9.69921875" customWidth="1"/>
    <col min="4" max="4" width="2.8984375" customWidth="1"/>
    <col min="5" max="5" width="3.296875" customWidth="1"/>
    <col min="6" max="7" width="10.296875" style="1" customWidth="1"/>
    <col min="8" max="8" width="6" customWidth="1"/>
    <col min="9" max="9" width="13.3984375" customWidth="1"/>
    <col min="10" max="10" width="11.296875" customWidth="1"/>
    <col min="11" max="11" width="4.8984375" customWidth="1"/>
    <col min="12" max="12" width="11.3984375" customWidth="1"/>
    <col min="13" max="13" width="9" customWidth="1"/>
    <col min="14" max="14" width="5.69921875" customWidth="1"/>
    <col min="15" max="15" width="13" customWidth="1"/>
    <col min="16" max="16" width="10.3984375" customWidth="1"/>
    <col min="17" max="17" width="18.69921875" customWidth="1"/>
    <col min="18" max="18" width="8.8984375" customWidth="1"/>
    <col min="19" max="19" width="1.8984375" customWidth="1"/>
    <col min="20" max="20" width="3.8984375" customWidth="1"/>
    <col min="21" max="21" width="7.59765625" customWidth="1"/>
    <col min="22" max="22" width="4.3984375" style="3" customWidth="1"/>
    <col min="23" max="23" width="8.8984375" customWidth="1"/>
    <col min="24" max="24" width="11.3984375" customWidth="1"/>
    <col min="26" max="26" width="14.5" customWidth="1"/>
  </cols>
  <sheetData>
    <row r="1" spans="1:26" ht="13.8" x14ac:dyDescent="0.25">
      <c r="A1" t="s">
        <v>0</v>
      </c>
      <c r="B1" t="s">
        <v>3234</v>
      </c>
      <c r="C1" t="s">
        <v>3235</v>
      </c>
      <c r="D1" t="s">
        <v>3236</v>
      </c>
      <c r="E1" t="s">
        <v>3237</v>
      </c>
      <c r="F1" s="1" t="s">
        <v>1</v>
      </c>
      <c r="G1" s="1" t="s">
        <v>2</v>
      </c>
      <c r="H1" t="s">
        <v>3</v>
      </c>
      <c r="I1" t="s">
        <v>4</v>
      </c>
      <c r="J1" t="s">
        <v>5</v>
      </c>
      <c r="K1" t="s">
        <v>6</v>
      </c>
      <c r="L1" t="s">
        <v>7</v>
      </c>
      <c r="M1" t="s">
        <v>8</v>
      </c>
      <c r="N1" t="s">
        <v>9</v>
      </c>
      <c r="O1" t="s">
        <v>10</v>
      </c>
      <c r="P1" t="s">
        <v>11</v>
      </c>
      <c r="Q1" t="s">
        <v>12</v>
      </c>
      <c r="R1" t="s">
        <v>13</v>
      </c>
      <c r="S1" t="s">
        <v>14</v>
      </c>
      <c r="T1" t="s">
        <v>15</v>
      </c>
      <c r="U1" t="s">
        <v>3239</v>
      </c>
      <c r="V1" s="3" t="s">
        <v>3238</v>
      </c>
      <c r="W1" t="s">
        <v>16</v>
      </c>
      <c r="X1" t="s">
        <v>17</v>
      </c>
    </row>
    <row r="2" spans="1:26" ht="13.8" x14ac:dyDescent="0.25">
      <c r="A2" t="s">
        <v>18</v>
      </c>
      <c r="B2">
        <f>YEAR(Retail_data[[#This Row],[Order Date]])</f>
        <v>2025</v>
      </c>
      <c r="C2" t="str">
        <f>TEXT(Retail_data[[#This Row],[Order Date]],"mmmm")</f>
        <v>September</v>
      </c>
      <c r="D2">
        <f>MONTH(Retail_data[[#This Row],[Order Date]])</f>
        <v>9</v>
      </c>
      <c r="E2" s="2" t="str">
        <f>"Q"&amp;ROUNDUP(MONTH(Retail_data[[#This Row],[Order Date]])/3,0)</f>
        <v>Q3</v>
      </c>
      <c r="F2" s="1">
        <v>45922</v>
      </c>
      <c r="G2" s="1">
        <v>45926</v>
      </c>
      <c r="H2" t="s">
        <v>19</v>
      </c>
      <c r="I2" t="s">
        <v>20</v>
      </c>
      <c r="J2" t="s">
        <v>21</v>
      </c>
      <c r="K2" t="s">
        <v>22</v>
      </c>
      <c r="L2" t="s">
        <v>23</v>
      </c>
      <c r="M2" t="s">
        <v>24</v>
      </c>
      <c r="N2" t="s">
        <v>25</v>
      </c>
      <c r="O2" t="s">
        <v>26</v>
      </c>
      <c r="P2" t="s">
        <v>27</v>
      </c>
      <c r="Q2" t="s">
        <v>28</v>
      </c>
      <c r="R2">
        <v>11552.92</v>
      </c>
      <c r="S2">
        <v>2</v>
      </c>
      <c r="T2">
        <v>0.2</v>
      </c>
      <c r="U2" t="str">
        <f>IF(Retail_data[[#This Row],[Sales]]&gt;30000,"High",IF(Retail_data[[#This Row],[Sales]]&gt;10000,"Medium","Low"))</f>
        <v>Medium</v>
      </c>
      <c r="V2" s="3">
        <f>Retail_data[[#This Row],[Profit]]/Retail_data[[#This Row],[Sales]]</f>
        <v>0.17001762325022593</v>
      </c>
      <c r="W2">
        <v>1964.2</v>
      </c>
      <c r="X2" t="s">
        <v>29</v>
      </c>
      <c r="Z2" t="s">
        <v>3241</v>
      </c>
    </row>
    <row r="3" spans="1:26" ht="13.8" x14ac:dyDescent="0.25">
      <c r="A3" t="s">
        <v>30</v>
      </c>
      <c r="B3">
        <f>YEAR(Retail_data[[#This Row],[Order Date]])</f>
        <v>2025</v>
      </c>
      <c r="C3" t="str">
        <f>TEXT(Retail_data[[#This Row],[Order Date]],"mmmm")</f>
        <v>September</v>
      </c>
      <c r="D3">
        <f>MONTH(Retail_data[[#This Row],[Order Date]])</f>
        <v>9</v>
      </c>
      <c r="E3" t="str">
        <f>"Q"&amp;ROUNDUP(MONTH(Retail_data[[#This Row],[Order Date]])/3,0)</f>
        <v>Q3</v>
      </c>
      <c r="F3" s="1">
        <v>45923</v>
      </c>
      <c r="G3" s="1">
        <v>45927</v>
      </c>
      <c r="H3" t="s">
        <v>31</v>
      </c>
      <c r="I3" t="s">
        <v>32</v>
      </c>
      <c r="J3" t="s">
        <v>33</v>
      </c>
      <c r="K3" t="s">
        <v>22</v>
      </c>
      <c r="L3" t="s">
        <v>34</v>
      </c>
      <c r="M3" t="s">
        <v>35</v>
      </c>
      <c r="N3" t="s">
        <v>36</v>
      </c>
      <c r="O3" t="s">
        <v>37</v>
      </c>
      <c r="P3" t="s">
        <v>38</v>
      </c>
      <c r="Q3" t="s">
        <v>39</v>
      </c>
      <c r="R3">
        <v>24217.34</v>
      </c>
      <c r="S3">
        <v>5</v>
      </c>
      <c r="T3">
        <v>0.2</v>
      </c>
      <c r="U3" t="str">
        <f>IF(Retail_data[[#This Row],[Sales]]&gt;30000,"High",IF(Retail_data[[#This Row],[Sales]]&gt;10000,"Medium","Low"))</f>
        <v>Medium</v>
      </c>
      <c r="V3" s="3">
        <f>Retail_data[[#This Row],[Profit]]/Retail_data[[#This Row],[Sales]]</f>
        <v>4.2137988730389056E-2</v>
      </c>
      <c r="W3">
        <v>1020.47</v>
      </c>
      <c r="X3" t="s">
        <v>40</v>
      </c>
      <c r="Z3" s="7">
        <f>SUM(W:W)</f>
        <v>2851535.6499999985</v>
      </c>
    </row>
    <row r="4" spans="1:26" ht="13.8" x14ac:dyDescent="0.25">
      <c r="A4" t="s">
        <v>41</v>
      </c>
      <c r="B4">
        <f>YEAR(Retail_data[[#This Row],[Order Date]])</f>
        <v>2025</v>
      </c>
      <c r="C4" t="str">
        <f>TEXT(Retail_data[[#This Row],[Order Date]],"mmmm")</f>
        <v>September</v>
      </c>
      <c r="D4">
        <f>MONTH(Retail_data[[#This Row],[Order Date]])</f>
        <v>9</v>
      </c>
      <c r="E4" t="str">
        <f>"Q"&amp;ROUNDUP(MONTH(Retail_data[[#This Row],[Order Date]])/3,0)</f>
        <v>Q3</v>
      </c>
      <c r="F4" s="1">
        <v>45924</v>
      </c>
      <c r="G4" s="1">
        <v>45928</v>
      </c>
      <c r="H4" t="s">
        <v>42</v>
      </c>
      <c r="I4" t="s">
        <v>43</v>
      </c>
      <c r="J4" t="s">
        <v>44</v>
      </c>
      <c r="K4" t="s">
        <v>22</v>
      </c>
      <c r="L4" t="s">
        <v>45</v>
      </c>
      <c r="M4" t="s">
        <v>45</v>
      </c>
      <c r="N4" t="s">
        <v>25</v>
      </c>
      <c r="O4" t="s">
        <v>37</v>
      </c>
      <c r="P4" t="s">
        <v>46</v>
      </c>
      <c r="Q4" t="s">
        <v>47</v>
      </c>
      <c r="R4">
        <v>2895</v>
      </c>
      <c r="S4">
        <v>3</v>
      </c>
      <c r="T4">
        <v>0.2</v>
      </c>
      <c r="U4" t="str">
        <f>IF(Retail_data[[#This Row],[Sales]]&gt;30000,"High",IF(Retail_data[[#This Row],[Sales]]&gt;10000,"Medium","Low"))</f>
        <v>Low</v>
      </c>
      <c r="V4" s="3">
        <f>Retail_data[[#This Row],[Profit]]/Retail_data[[#This Row],[Sales]]</f>
        <v>0.14202763385146805</v>
      </c>
      <c r="W4">
        <v>411.17</v>
      </c>
      <c r="X4" t="s">
        <v>48</v>
      </c>
    </row>
    <row r="5" spans="1:26" ht="13.8" x14ac:dyDescent="0.25">
      <c r="A5" t="s">
        <v>49</v>
      </c>
      <c r="B5">
        <f>YEAR(Retail_data[[#This Row],[Order Date]])</f>
        <v>2025</v>
      </c>
      <c r="C5" t="str">
        <f>TEXT(Retail_data[[#This Row],[Order Date]],"mmmm")</f>
        <v>September</v>
      </c>
      <c r="D5">
        <f>MONTH(Retail_data[[#This Row],[Order Date]])</f>
        <v>9</v>
      </c>
      <c r="E5" t="str">
        <f>"Q"&amp;ROUNDUP(MONTH(Retail_data[[#This Row],[Order Date]])/3,0)</f>
        <v>Q3</v>
      </c>
      <c r="F5" s="1">
        <v>45925</v>
      </c>
      <c r="G5" s="1">
        <v>45929</v>
      </c>
      <c r="H5" t="s">
        <v>50</v>
      </c>
      <c r="I5" t="s">
        <v>51</v>
      </c>
      <c r="J5" t="s">
        <v>33</v>
      </c>
      <c r="K5" t="s">
        <v>22</v>
      </c>
      <c r="L5" t="s">
        <v>45</v>
      </c>
      <c r="M5" t="s">
        <v>45</v>
      </c>
      <c r="N5" t="s">
        <v>25</v>
      </c>
      <c r="O5" t="s">
        <v>37</v>
      </c>
      <c r="P5" t="s">
        <v>52</v>
      </c>
      <c r="Q5" t="s">
        <v>53</v>
      </c>
      <c r="R5">
        <v>30619.61</v>
      </c>
      <c r="S5">
        <v>8</v>
      </c>
      <c r="T5">
        <v>0.3</v>
      </c>
      <c r="U5" t="str">
        <f>IF(Retail_data[[#This Row],[Sales]]&gt;30000,"High",IF(Retail_data[[#This Row],[Sales]]&gt;10000,"Medium","Low"))</f>
        <v>High</v>
      </c>
      <c r="V5" s="3">
        <f>Retail_data[[#This Row],[Profit]]/Retail_data[[#This Row],[Sales]]</f>
        <v>-4.237807078535618E-2</v>
      </c>
      <c r="W5">
        <v>-1297.5999999999999</v>
      </c>
      <c r="X5" t="s">
        <v>48</v>
      </c>
      <c r="Z5" t="s">
        <v>3240</v>
      </c>
    </row>
    <row r="6" spans="1:26" ht="13.8" x14ac:dyDescent="0.25">
      <c r="A6" t="s">
        <v>54</v>
      </c>
      <c r="B6">
        <f>YEAR(Retail_data[[#This Row],[Order Date]])</f>
        <v>2025</v>
      </c>
      <c r="C6" t="str">
        <f>TEXT(Retail_data[[#This Row],[Order Date]],"mmmm")</f>
        <v>September</v>
      </c>
      <c r="D6">
        <f>MONTH(Retail_data[[#This Row],[Order Date]])</f>
        <v>9</v>
      </c>
      <c r="E6" t="str">
        <f>"Q"&amp;ROUNDUP(MONTH(Retail_data[[#This Row],[Order Date]])/3,0)</f>
        <v>Q3</v>
      </c>
      <c r="F6" s="1">
        <v>45926</v>
      </c>
      <c r="G6" s="1">
        <v>45930</v>
      </c>
      <c r="H6" t="s">
        <v>55</v>
      </c>
      <c r="I6" t="s">
        <v>56</v>
      </c>
      <c r="J6" t="s">
        <v>21</v>
      </c>
      <c r="K6" t="s">
        <v>22</v>
      </c>
      <c r="L6" t="s">
        <v>34</v>
      </c>
      <c r="M6" t="s">
        <v>35</v>
      </c>
      <c r="N6" t="s">
        <v>36</v>
      </c>
      <c r="O6" t="s">
        <v>57</v>
      </c>
      <c r="P6" t="s">
        <v>58</v>
      </c>
      <c r="Q6" t="s">
        <v>59</v>
      </c>
      <c r="R6">
        <v>48234.8</v>
      </c>
      <c r="S6">
        <v>5</v>
      </c>
      <c r="T6">
        <v>0.3</v>
      </c>
      <c r="U6" t="str">
        <f>IF(Retail_data[[#This Row],[Sales]]&gt;30000,"High",IF(Retail_data[[#This Row],[Sales]]&gt;10000,"Medium","Low"))</f>
        <v>High</v>
      </c>
      <c r="V6" s="3">
        <f>Retail_data[[#This Row],[Profit]]/Retail_data[[#This Row],[Sales]]</f>
        <v>0.14173273238408782</v>
      </c>
      <c r="W6">
        <v>6836.45</v>
      </c>
      <c r="X6" t="s">
        <v>40</v>
      </c>
      <c r="Z6" s="7">
        <f>SUM(R:R)</f>
        <v>24970054.849999975</v>
      </c>
    </row>
    <row r="7" spans="1:26" ht="13.8" x14ac:dyDescent="0.25">
      <c r="A7" t="s">
        <v>60</v>
      </c>
      <c r="B7">
        <f>YEAR(Retail_data[[#This Row],[Order Date]])</f>
        <v>2025</v>
      </c>
      <c r="C7" t="str">
        <f>TEXT(Retail_data[[#This Row],[Order Date]],"mmmm")</f>
        <v>September</v>
      </c>
      <c r="D7">
        <f>MONTH(Retail_data[[#This Row],[Order Date]])</f>
        <v>9</v>
      </c>
      <c r="E7" t="str">
        <f>"Q"&amp;ROUNDUP(MONTH(Retail_data[[#This Row],[Order Date]])/3,0)</f>
        <v>Q3</v>
      </c>
      <c r="F7" s="1">
        <v>45927</v>
      </c>
      <c r="G7" s="1">
        <v>45931</v>
      </c>
      <c r="H7" t="s">
        <v>61</v>
      </c>
      <c r="I7" t="s">
        <v>62</v>
      </c>
      <c r="J7" t="s">
        <v>44</v>
      </c>
      <c r="K7" t="s">
        <v>22</v>
      </c>
      <c r="L7" t="s">
        <v>45</v>
      </c>
      <c r="M7" t="s">
        <v>45</v>
      </c>
      <c r="N7" t="s">
        <v>25</v>
      </c>
      <c r="O7" t="s">
        <v>57</v>
      </c>
      <c r="P7" t="s">
        <v>58</v>
      </c>
      <c r="Q7" t="s">
        <v>63</v>
      </c>
      <c r="R7">
        <v>4611.8599999999997</v>
      </c>
      <c r="S7">
        <v>8</v>
      </c>
      <c r="T7">
        <v>0.3</v>
      </c>
      <c r="U7" t="str">
        <f>IF(Retail_data[[#This Row],[Sales]]&gt;30000,"High",IF(Retail_data[[#This Row],[Sales]]&gt;10000,"Medium","Low"))</f>
        <v>Low</v>
      </c>
      <c r="V7" s="3">
        <f>Retail_data[[#This Row],[Profit]]/Retail_data[[#This Row],[Sales]]</f>
        <v>8.4972223788232951E-2</v>
      </c>
      <c r="W7">
        <v>391.88</v>
      </c>
      <c r="X7" t="s">
        <v>40</v>
      </c>
    </row>
    <row r="8" spans="1:26" ht="13.8" x14ac:dyDescent="0.25">
      <c r="A8" t="s">
        <v>64</v>
      </c>
      <c r="B8">
        <f>YEAR(Retail_data[[#This Row],[Order Date]])</f>
        <v>2025</v>
      </c>
      <c r="C8" t="str">
        <f>TEXT(Retail_data[[#This Row],[Order Date]],"mmmm")</f>
        <v>September</v>
      </c>
      <c r="D8">
        <f>MONTH(Retail_data[[#This Row],[Order Date]])</f>
        <v>9</v>
      </c>
      <c r="E8" t="str">
        <f>"Q"&amp;ROUNDUP(MONTH(Retail_data[[#This Row],[Order Date]])/3,0)</f>
        <v>Q3</v>
      </c>
      <c r="F8" s="1">
        <v>45928</v>
      </c>
      <c r="G8" s="1">
        <v>45932</v>
      </c>
      <c r="H8" t="s">
        <v>65</v>
      </c>
      <c r="I8" t="s">
        <v>66</v>
      </c>
      <c r="J8" t="s">
        <v>21</v>
      </c>
      <c r="K8" t="s">
        <v>22</v>
      </c>
      <c r="L8" t="s">
        <v>67</v>
      </c>
      <c r="M8" t="s">
        <v>68</v>
      </c>
      <c r="N8" t="s">
        <v>69</v>
      </c>
      <c r="O8" t="s">
        <v>26</v>
      </c>
      <c r="P8" t="s">
        <v>70</v>
      </c>
      <c r="Q8" t="s">
        <v>71</v>
      </c>
      <c r="R8">
        <v>3249.11</v>
      </c>
      <c r="S8">
        <v>8</v>
      </c>
      <c r="T8">
        <v>0</v>
      </c>
      <c r="U8" t="str">
        <f>IF(Retail_data[[#This Row],[Sales]]&gt;30000,"High",IF(Retail_data[[#This Row],[Sales]]&gt;10000,"Medium","Low"))</f>
        <v>Low</v>
      </c>
      <c r="V8" s="3">
        <f>Retail_data[[#This Row],[Profit]]/Retail_data[[#This Row],[Sales]]</f>
        <v>0.14604307025616245</v>
      </c>
      <c r="W8">
        <v>474.51</v>
      </c>
      <c r="X8" t="s">
        <v>29</v>
      </c>
      <c r="Z8" t="s">
        <v>3242</v>
      </c>
    </row>
    <row r="9" spans="1:26" ht="13.8" x14ac:dyDescent="0.25">
      <c r="A9" t="s">
        <v>72</v>
      </c>
      <c r="B9">
        <f>YEAR(Retail_data[[#This Row],[Order Date]])</f>
        <v>2025</v>
      </c>
      <c r="C9" t="str">
        <f>TEXT(Retail_data[[#This Row],[Order Date]],"mmmm")</f>
        <v>September</v>
      </c>
      <c r="D9">
        <f>MONTH(Retail_data[[#This Row],[Order Date]])</f>
        <v>9</v>
      </c>
      <c r="E9" t="str">
        <f>"Q"&amp;ROUNDUP(MONTH(Retail_data[[#This Row],[Order Date]])/3,0)</f>
        <v>Q3</v>
      </c>
      <c r="F9" s="1">
        <v>45929</v>
      </c>
      <c r="G9" s="1">
        <v>45933</v>
      </c>
      <c r="H9" t="s">
        <v>73</v>
      </c>
      <c r="I9" t="s">
        <v>74</v>
      </c>
      <c r="J9" t="s">
        <v>33</v>
      </c>
      <c r="K9" t="s">
        <v>22</v>
      </c>
      <c r="L9" t="s">
        <v>45</v>
      </c>
      <c r="M9" t="s">
        <v>45</v>
      </c>
      <c r="N9" t="s">
        <v>25</v>
      </c>
      <c r="O9" t="s">
        <v>26</v>
      </c>
      <c r="P9" t="s">
        <v>70</v>
      </c>
      <c r="Q9" t="s">
        <v>75</v>
      </c>
      <c r="R9">
        <v>30787.31</v>
      </c>
      <c r="S9">
        <v>3</v>
      </c>
      <c r="T9">
        <v>0</v>
      </c>
      <c r="U9" t="str">
        <f>IF(Retail_data[[#This Row],[Sales]]&gt;30000,"High",IF(Retail_data[[#This Row],[Sales]]&gt;10000,"Medium","Low"))</f>
        <v>High</v>
      </c>
      <c r="V9" s="3">
        <f>Retail_data[[#This Row],[Profit]]/Retail_data[[#This Row],[Sales]]</f>
        <v>0.26254680905866734</v>
      </c>
      <c r="W9">
        <v>8083.11</v>
      </c>
      <c r="X9" t="s">
        <v>40</v>
      </c>
      <c r="Z9">
        <f>ROWS(Retail_data[])</f>
        <v>1001</v>
      </c>
    </row>
    <row r="10" spans="1:26" ht="13.8" x14ac:dyDescent="0.25">
      <c r="A10" t="s">
        <v>76</v>
      </c>
      <c r="B10">
        <f>YEAR(Retail_data[[#This Row],[Order Date]])</f>
        <v>2025</v>
      </c>
      <c r="C10" t="str">
        <f>TEXT(Retail_data[[#This Row],[Order Date]],"mmmm")</f>
        <v>September</v>
      </c>
      <c r="D10">
        <f>MONTH(Retail_data[[#This Row],[Order Date]])</f>
        <v>9</v>
      </c>
      <c r="E10" t="str">
        <f>"Q"&amp;ROUNDUP(MONTH(Retail_data[[#This Row],[Order Date]])/3,0)</f>
        <v>Q3</v>
      </c>
      <c r="F10" s="1">
        <v>45930</v>
      </c>
      <c r="G10" s="1">
        <v>45934</v>
      </c>
      <c r="H10" t="s">
        <v>77</v>
      </c>
      <c r="I10" t="s">
        <v>78</v>
      </c>
      <c r="J10" t="s">
        <v>33</v>
      </c>
      <c r="K10" t="s">
        <v>22</v>
      </c>
      <c r="L10" t="s">
        <v>34</v>
      </c>
      <c r="M10" t="s">
        <v>35</v>
      </c>
      <c r="N10" t="s">
        <v>36</v>
      </c>
      <c r="O10" t="s">
        <v>57</v>
      </c>
      <c r="P10" t="s">
        <v>79</v>
      </c>
      <c r="Q10" t="s">
        <v>80</v>
      </c>
      <c r="R10">
        <v>23340.5</v>
      </c>
      <c r="S10">
        <v>1</v>
      </c>
      <c r="T10">
        <v>0</v>
      </c>
      <c r="U10" t="str">
        <f>IF(Retail_data[[#This Row],[Sales]]&gt;30000,"High",IF(Retail_data[[#This Row],[Sales]]&gt;10000,"Medium","Low"))</f>
        <v>Medium</v>
      </c>
      <c r="V10" s="3">
        <f>Retail_data[[#This Row],[Profit]]/Retail_data[[#This Row],[Sales]]</f>
        <v>0.24563312696814549</v>
      </c>
      <c r="W10">
        <v>5733.2</v>
      </c>
      <c r="X10" t="s">
        <v>81</v>
      </c>
    </row>
    <row r="11" spans="1:26" ht="13.8" x14ac:dyDescent="0.25">
      <c r="A11" t="s">
        <v>82</v>
      </c>
      <c r="B11">
        <f>YEAR(Retail_data[[#This Row],[Order Date]])</f>
        <v>2025</v>
      </c>
      <c r="C11" t="str">
        <f>TEXT(Retail_data[[#This Row],[Order Date]],"mmmm")</f>
        <v>October</v>
      </c>
      <c r="D11">
        <f>MONTH(Retail_data[[#This Row],[Order Date]])</f>
        <v>10</v>
      </c>
      <c r="E11" t="str">
        <f>"Q"&amp;ROUNDUP(MONTH(Retail_data[[#This Row],[Order Date]])/3,0)</f>
        <v>Q4</v>
      </c>
      <c r="F11" s="1">
        <v>45931</v>
      </c>
      <c r="G11" s="1">
        <v>45935</v>
      </c>
      <c r="H11" t="s">
        <v>83</v>
      </c>
      <c r="I11" t="s">
        <v>84</v>
      </c>
      <c r="J11" t="s">
        <v>44</v>
      </c>
      <c r="K11" t="s">
        <v>22</v>
      </c>
      <c r="L11" t="s">
        <v>85</v>
      </c>
      <c r="M11" t="s">
        <v>86</v>
      </c>
      <c r="N11" t="s">
        <v>87</v>
      </c>
      <c r="O11" t="s">
        <v>57</v>
      </c>
      <c r="P11" t="s">
        <v>79</v>
      </c>
      <c r="Q11" t="s">
        <v>88</v>
      </c>
      <c r="R11">
        <v>28532</v>
      </c>
      <c r="S11">
        <v>6</v>
      </c>
      <c r="T11">
        <v>0.2</v>
      </c>
      <c r="U11" t="str">
        <f>IF(Retail_data[[#This Row],[Sales]]&gt;30000,"High",IF(Retail_data[[#This Row],[Sales]]&gt;10000,"Medium","Low"))</f>
        <v>Medium</v>
      </c>
      <c r="V11" s="3">
        <f>Retail_data[[#This Row],[Profit]]/Retail_data[[#This Row],[Sales]]</f>
        <v>0.20648079349502316</v>
      </c>
      <c r="W11">
        <v>5891.31</v>
      </c>
      <c r="X11" t="s">
        <v>40</v>
      </c>
      <c r="Z11" t="s">
        <v>3243</v>
      </c>
    </row>
    <row r="12" spans="1:26" ht="13.8" x14ac:dyDescent="0.25">
      <c r="A12" t="s">
        <v>89</v>
      </c>
      <c r="B12">
        <f>YEAR(Retail_data[[#This Row],[Order Date]])</f>
        <v>2025</v>
      </c>
      <c r="C12" t="str">
        <f>TEXT(Retail_data[[#This Row],[Order Date]],"mmmm")</f>
        <v>October</v>
      </c>
      <c r="D12">
        <f>MONTH(Retail_data[[#This Row],[Order Date]])</f>
        <v>10</v>
      </c>
      <c r="E12" t="str">
        <f>"Q"&amp;ROUNDUP(MONTH(Retail_data[[#This Row],[Order Date]])/3,0)</f>
        <v>Q4</v>
      </c>
      <c r="F12" s="1">
        <v>45932</v>
      </c>
      <c r="G12" s="1">
        <v>45936</v>
      </c>
      <c r="H12" t="s">
        <v>90</v>
      </c>
      <c r="I12" t="s">
        <v>91</v>
      </c>
      <c r="J12" t="s">
        <v>44</v>
      </c>
      <c r="K12" t="s">
        <v>22</v>
      </c>
      <c r="L12" t="s">
        <v>85</v>
      </c>
      <c r="M12" t="s">
        <v>86</v>
      </c>
      <c r="N12" t="s">
        <v>87</v>
      </c>
      <c r="O12" t="s">
        <v>26</v>
      </c>
      <c r="P12" t="s">
        <v>92</v>
      </c>
      <c r="Q12" t="s">
        <v>93</v>
      </c>
      <c r="R12">
        <v>14706.45</v>
      </c>
      <c r="S12">
        <v>5</v>
      </c>
      <c r="T12">
        <v>0.1</v>
      </c>
      <c r="U12" t="str">
        <f>IF(Retail_data[[#This Row],[Sales]]&gt;30000,"High",IF(Retail_data[[#This Row],[Sales]]&gt;10000,"Medium","Low"))</f>
        <v>Medium</v>
      </c>
      <c r="V12" s="3">
        <f>Retail_data[[#This Row],[Profit]]/Retail_data[[#This Row],[Sales]]</f>
        <v>0.21472959143777048</v>
      </c>
      <c r="W12">
        <v>3157.91</v>
      </c>
      <c r="X12" t="s">
        <v>40</v>
      </c>
      <c r="Z12" s="8">
        <f>AVERAGE(R:R)</f>
        <v>24945.109740259715</v>
      </c>
    </row>
    <row r="13" spans="1:26" ht="13.8" x14ac:dyDescent="0.25">
      <c r="A13" t="s">
        <v>94</v>
      </c>
      <c r="B13">
        <f>YEAR(Retail_data[[#This Row],[Order Date]])</f>
        <v>2025</v>
      </c>
      <c r="C13" t="str">
        <f>TEXT(Retail_data[[#This Row],[Order Date]],"mmmm")</f>
        <v>October</v>
      </c>
      <c r="D13">
        <f>MONTH(Retail_data[[#This Row],[Order Date]])</f>
        <v>10</v>
      </c>
      <c r="E13" t="str">
        <f>"Q"&amp;ROUNDUP(MONTH(Retail_data[[#This Row],[Order Date]])/3,0)</f>
        <v>Q4</v>
      </c>
      <c r="F13" s="1">
        <v>45933</v>
      </c>
      <c r="G13" s="1">
        <v>45937</v>
      </c>
      <c r="H13" t="s">
        <v>95</v>
      </c>
      <c r="I13" t="s">
        <v>96</v>
      </c>
      <c r="J13" t="s">
        <v>33</v>
      </c>
      <c r="K13" t="s">
        <v>22</v>
      </c>
      <c r="L13" t="s">
        <v>85</v>
      </c>
      <c r="M13" t="s">
        <v>86</v>
      </c>
      <c r="N13" t="s">
        <v>87</v>
      </c>
      <c r="O13" t="s">
        <v>57</v>
      </c>
      <c r="P13" t="s">
        <v>58</v>
      </c>
      <c r="Q13" t="s">
        <v>97</v>
      </c>
      <c r="R13">
        <v>22473.25</v>
      </c>
      <c r="S13">
        <v>7</v>
      </c>
      <c r="T13">
        <v>0.3</v>
      </c>
      <c r="U13" t="str">
        <f>IF(Retail_data[[#This Row],[Sales]]&gt;30000,"High",IF(Retail_data[[#This Row],[Sales]]&gt;10000,"Medium","Low"))</f>
        <v>Medium</v>
      </c>
      <c r="V13" s="3">
        <f>Retail_data[[#This Row],[Profit]]/Retail_data[[#This Row],[Sales]]</f>
        <v>0.14766711534824736</v>
      </c>
      <c r="W13">
        <v>3318.56</v>
      </c>
      <c r="X13" t="s">
        <v>81</v>
      </c>
    </row>
    <row r="14" spans="1:26" ht="13.8" x14ac:dyDescent="0.25">
      <c r="A14" t="s">
        <v>98</v>
      </c>
      <c r="B14">
        <f>YEAR(Retail_data[[#This Row],[Order Date]])</f>
        <v>2025</v>
      </c>
      <c r="C14" t="str">
        <f>TEXT(Retail_data[[#This Row],[Order Date]],"mmmm")</f>
        <v>October</v>
      </c>
      <c r="D14">
        <f>MONTH(Retail_data[[#This Row],[Order Date]])</f>
        <v>10</v>
      </c>
      <c r="E14" t="str">
        <f>"Q"&amp;ROUNDUP(MONTH(Retail_data[[#This Row],[Order Date]])/3,0)</f>
        <v>Q4</v>
      </c>
      <c r="F14" s="1">
        <v>45934</v>
      </c>
      <c r="G14" s="1">
        <v>45938</v>
      </c>
      <c r="H14" t="s">
        <v>99</v>
      </c>
      <c r="I14" t="s">
        <v>100</v>
      </c>
      <c r="J14" t="s">
        <v>21</v>
      </c>
      <c r="K14" t="s">
        <v>22</v>
      </c>
      <c r="L14" t="s">
        <v>45</v>
      </c>
      <c r="M14" t="s">
        <v>45</v>
      </c>
      <c r="N14" t="s">
        <v>25</v>
      </c>
      <c r="O14" t="s">
        <v>37</v>
      </c>
      <c r="P14" t="s">
        <v>52</v>
      </c>
      <c r="Q14" t="s">
        <v>101</v>
      </c>
      <c r="R14">
        <v>39521.49</v>
      </c>
      <c r="S14">
        <v>8</v>
      </c>
      <c r="T14">
        <v>0.1</v>
      </c>
      <c r="U14" t="str">
        <f>IF(Retail_data[[#This Row],[Sales]]&gt;30000,"High",IF(Retail_data[[#This Row],[Sales]]&gt;10000,"Medium","Low"))</f>
        <v>High</v>
      </c>
      <c r="V14" s="3">
        <f>Retail_data[[#This Row],[Profit]]/Retail_data[[#This Row],[Sales]]</f>
        <v>3.7657740130749122E-2</v>
      </c>
      <c r="W14">
        <v>1488.29</v>
      </c>
      <c r="X14" t="s">
        <v>29</v>
      </c>
      <c r="Z14" t="s">
        <v>3244</v>
      </c>
    </row>
    <row r="15" spans="1:26" ht="13.8" x14ac:dyDescent="0.25">
      <c r="A15" t="s">
        <v>102</v>
      </c>
      <c r="B15">
        <f>YEAR(Retail_data[[#This Row],[Order Date]])</f>
        <v>2025</v>
      </c>
      <c r="C15" t="str">
        <f>TEXT(Retail_data[[#This Row],[Order Date]],"mmmm")</f>
        <v>October</v>
      </c>
      <c r="D15">
        <f>MONTH(Retail_data[[#This Row],[Order Date]])</f>
        <v>10</v>
      </c>
      <c r="E15" t="str">
        <f>"Q"&amp;ROUNDUP(MONTH(Retail_data[[#This Row],[Order Date]])/3,0)</f>
        <v>Q4</v>
      </c>
      <c r="F15" s="1">
        <v>45935</v>
      </c>
      <c r="G15" s="1">
        <v>45939</v>
      </c>
      <c r="H15" t="s">
        <v>103</v>
      </c>
      <c r="I15" t="s">
        <v>104</v>
      </c>
      <c r="J15" t="s">
        <v>33</v>
      </c>
      <c r="K15" t="s">
        <v>22</v>
      </c>
      <c r="L15" t="s">
        <v>23</v>
      </c>
      <c r="M15" t="s">
        <v>24</v>
      </c>
      <c r="N15" t="s">
        <v>25</v>
      </c>
      <c r="O15" t="s">
        <v>37</v>
      </c>
      <c r="P15" t="s">
        <v>46</v>
      </c>
      <c r="Q15" t="s">
        <v>105</v>
      </c>
      <c r="R15">
        <v>46709.75</v>
      </c>
      <c r="S15">
        <v>4</v>
      </c>
      <c r="T15">
        <v>0.1</v>
      </c>
      <c r="U15" t="str">
        <f>IF(Retail_data[[#This Row],[Sales]]&gt;30000,"High",IF(Retail_data[[#This Row],[Sales]]&gt;10000,"Medium","Low"))</f>
        <v>High</v>
      </c>
      <c r="V15" s="3">
        <f>Retail_data[[#This Row],[Profit]]/Retail_data[[#This Row],[Sales]]</f>
        <v>0.2529902215276254</v>
      </c>
      <c r="W15">
        <v>11817.11</v>
      </c>
      <c r="X15" t="s">
        <v>29</v>
      </c>
      <c r="Z15" s="7">
        <f>AVERAGE(W:W)</f>
        <v>2848.6869630369615</v>
      </c>
    </row>
    <row r="16" spans="1:26" ht="13.8" x14ac:dyDescent="0.25">
      <c r="A16" t="s">
        <v>106</v>
      </c>
      <c r="B16">
        <f>YEAR(Retail_data[[#This Row],[Order Date]])</f>
        <v>2025</v>
      </c>
      <c r="C16" t="str">
        <f>TEXT(Retail_data[[#This Row],[Order Date]],"mmmm")</f>
        <v>October</v>
      </c>
      <c r="D16">
        <f>MONTH(Retail_data[[#This Row],[Order Date]])</f>
        <v>10</v>
      </c>
      <c r="E16" t="str">
        <f>"Q"&amp;ROUNDUP(MONTH(Retail_data[[#This Row],[Order Date]])/3,0)</f>
        <v>Q4</v>
      </c>
      <c r="F16" s="1">
        <v>45936</v>
      </c>
      <c r="G16" s="1">
        <v>45940</v>
      </c>
      <c r="H16" t="s">
        <v>107</v>
      </c>
      <c r="I16" t="s">
        <v>108</v>
      </c>
      <c r="J16" t="s">
        <v>33</v>
      </c>
      <c r="K16" t="s">
        <v>22</v>
      </c>
      <c r="L16" t="s">
        <v>45</v>
      </c>
      <c r="M16" t="s">
        <v>45</v>
      </c>
      <c r="N16" t="s">
        <v>25</v>
      </c>
      <c r="O16" t="s">
        <v>26</v>
      </c>
      <c r="P16" t="s">
        <v>92</v>
      </c>
      <c r="Q16" t="s">
        <v>109</v>
      </c>
      <c r="R16">
        <v>34875.89</v>
      </c>
      <c r="S16">
        <v>2</v>
      </c>
      <c r="T16">
        <v>0.1</v>
      </c>
      <c r="U16" t="str">
        <f>IF(Retail_data[[#This Row],[Sales]]&gt;30000,"High",IF(Retail_data[[#This Row],[Sales]]&gt;10000,"Medium","Low"))</f>
        <v>High</v>
      </c>
      <c r="V16" s="3">
        <f>Retail_data[[#This Row],[Profit]]/Retail_data[[#This Row],[Sales]]</f>
        <v>0.2189957016150699</v>
      </c>
      <c r="W16">
        <v>7637.67</v>
      </c>
      <c r="X16" t="s">
        <v>48</v>
      </c>
    </row>
    <row r="17" spans="1:26" ht="13.8" x14ac:dyDescent="0.25">
      <c r="A17" t="s">
        <v>110</v>
      </c>
      <c r="B17">
        <f>YEAR(Retail_data[[#This Row],[Order Date]])</f>
        <v>2025</v>
      </c>
      <c r="C17" t="str">
        <f>TEXT(Retail_data[[#This Row],[Order Date]],"mmmm")</f>
        <v>October</v>
      </c>
      <c r="D17">
        <f>MONTH(Retail_data[[#This Row],[Order Date]])</f>
        <v>10</v>
      </c>
      <c r="E17" t="str">
        <f>"Q"&amp;ROUNDUP(MONTH(Retail_data[[#This Row],[Order Date]])/3,0)</f>
        <v>Q4</v>
      </c>
      <c r="F17" s="1">
        <v>45937</v>
      </c>
      <c r="G17" s="1">
        <v>45941</v>
      </c>
      <c r="H17" t="s">
        <v>111</v>
      </c>
      <c r="I17" t="s">
        <v>112</v>
      </c>
      <c r="J17" t="s">
        <v>21</v>
      </c>
      <c r="K17" t="s">
        <v>22</v>
      </c>
      <c r="L17" t="s">
        <v>85</v>
      </c>
      <c r="M17" t="s">
        <v>86</v>
      </c>
      <c r="N17" t="s">
        <v>87</v>
      </c>
      <c r="O17" t="s">
        <v>57</v>
      </c>
      <c r="P17" t="s">
        <v>79</v>
      </c>
      <c r="Q17" t="s">
        <v>113</v>
      </c>
      <c r="R17">
        <v>17075.63</v>
      </c>
      <c r="S17">
        <v>6</v>
      </c>
      <c r="T17">
        <v>0.2</v>
      </c>
      <c r="U17" t="str">
        <f>IF(Retail_data[[#This Row],[Sales]]&gt;30000,"High",IF(Retail_data[[#This Row],[Sales]]&gt;10000,"Medium","Low"))</f>
        <v>Medium</v>
      </c>
      <c r="V17" s="3">
        <f>Retail_data[[#This Row],[Profit]]/Retail_data[[#This Row],[Sales]]</f>
        <v>0.19467920070884645</v>
      </c>
      <c r="W17">
        <v>3324.27</v>
      </c>
      <c r="X17" t="s">
        <v>29</v>
      </c>
      <c r="Z17" t="s">
        <v>3245</v>
      </c>
    </row>
    <row r="18" spans="1:26" ht="13.8" x14ac:dyDescent="0.25">
      <c r="A18" t="s">
        <v>114</v>
      </c>
      <c r="B18">
        <f>YEAR(Retail_data[[#This Row],[Order Date]])</f>
        <v>2025</v>
      </c>
      <c r="C18" t="str">
        <f>TEXT(Retail_data[[#This Row],[Order Date]],"mmmm")</f>
        <v>October</v>
      </c>
      <c r="D18">
        <f>MONTH(Retail_data[[#This Row],[Order Date]])</f>
        <v>10</v>
      </c>
      <c r="E18" t="str">
        <f>"Q"&amp;ROUNDUP(MONTH(Retail_data[[#This Row],[Order Date]])/3,0)</f>
        <v>Q4</v>
      </c>
      <c r="F18" s="1">
        <v>45938</v>
      </c>
      <c r="G18" s="1">
        <v>45942</v>
      </c>
      <c r="H18" t="s">
        <v>115</v>
      </c>
      <c r="I18" t="s">
        <v>116</v>
      </c>
      <c r="J18" t="s">
        <v>33</v>
      </c>
      <c r="K18" t="s">
        <v>22</v>
      </c>
      <c r="L18" t="s">
        <v>45</v>
      </c>
      <c r="M18" t="s">
        <v>45</v>
      </c>
      <c r="N18" t="s">
        <v>25</v>
      </c>
      <c r="O18" t="s">
        <v>26</v>
      </c>
      <c r="P18" t="s">
        <v>70</v>
      </c>
      <c r="Q18" t="s">
        <v>117</v>
      </c>
      <c r="R18">
        <v>44511.09</v>
      </c>
      <c r="S18">
        <v>8</v>
      </c>
      <c r="T18">
        <v>0.1</v>
      </c>
      <c r="U18" t="str">
        <f>IF(Retail_data[[#This Row],[Sales]]&gt;30000,"High",IF(Retail_data[[#This Row],[Sales]]&gt;10000,"Medium","Low"))</f>
        <v>High</v>
      </c>
      <c r="V18" s="3">
        <f>Retail_data[[#This Row],[Profit]]/Retail_data[[#This Row],[Sales]]</f>
        <v>0.21214690541166259</v>
      </c>
      <c r="W18">
        <v>9442.89</v>
      </c>
      <c r="X18" t="s">
        <v>40</v>
      </c>
      <c r="Z18" s="3">
        <f>SUM(W:W/R:R)</f>
        <v>0.21214690541166259</v>
      </c>
    </row>
    <row r="19" spans="1:26" ht="13.8" x14ac:dyDescent="0.25">
      <c r="A19" t="s">
        <v>118</v>
      </c>
      <c r="B19">
        <f>YEAR(Retail_data[[#This Row],[Order Date]])</f>
        <v>2025</v>
      </c>
      <c r="C19" t="str">
        <f>TEXT(Retail_data[[#This Row],[Order Date]],"mmmm")</f>
        <v>October</v>
      </c>
      <c r="D19">
        <f>MONTH(Retail_data[[#This Row],[Order Date]])</f>
        <v>10</v>
      </c>
      <c r="E19" t="str">
        <f>"Q"&amp;ROUNDUP(MONTH(Retail_data[[#This Row],[Order Date]])/3,0)</f>
        <v>Q4</v>
      </c>
      <c r="F19" s="1">
        <v>45939</v>
      </c>
      <c r="G19" s="1">
        <v>45943</v>
      </c>
      <c r="H19" t="s">
        <v>119</v>
      </c>
      <c r="I19" t="s">
        <v>120</v>
      </c>
      <c r="J19" t="s">
        <v>44</v>
      </c>
      <c r="K19" t="s">
        <v>22</v>
      </c>
      <c r="L19" t="s">
        <v>45</v>
      </c>
      <c r="M19" t="s">
        <v>45</v>
      </c>
      <c r="N19" t="s">
        <v>25</v>
      </c>
      <c r="O19" t="s">
        <v>26</v>
      </c>
      <c r="P19" t="s">
        <v>92</v>
      </c>
      <c r="Q19" t="s">
        <v>121</v>
      </c>
      <c r="R19">
        <v>43484.26</v>
      </c>
      <c r="S19">
        <v>5</v>
      </c>
      <c r="T19">
        <v>0.3</v>
      </c>
      <c r="U19" t="str">
        <f>IF(Retail_data[[#This Row],[Sales]]&gt;30000,"High",IF(Retail_data[[#This Row],[Sales]]&gt;10000,"Medium","Low"))</f>
        <v>High</v>
      </c>
      <c r="V19" s="3">
        <f>Retail_data[[#This Row],[Profit]]/Retail_data[[#This Row],[Sales]]</f>
        <v>0.1168169815928798</v>
      </c>
      <c r="W19">
        <v>5079.7</v>
      </c>
      <c r="X19" t="s">
        <v>81</v>
      </c>
    </row>
    <row r="20" spans="1:26" ht="13.8" x14ac:dyDescent="0.25">
      <c r="A20" t="s">
        <v>122</v>
      </c>
      <c r="B20">
        <f>YEAR(Retail_data[[#This Row],[Order Date]])</f>
        <v>2025</v>
      </c>
      <c r="C20" t="str">
        <f>TEXT(Retail_data[[#This Row],[Order Date]],"mmmm")</f>
        <v>October</v>
      </c>
      <c r="D20">
        <f>MONTH(Retail_data[[#This Row],[Order Date]])</f>
        <v>10</v>
      </c>
      <c r="E20" t="str">
        <f>"Q"&amp;ROUNDUP(MONTH(Retail_data[[#This Row],[Order Date]])/3,0)</f>
        <v>Q4</v>
      </c>
      <c r="F20" s="1">
        <v>45940</v>
      </c>
      <c r="G20" s="1">
        <v>45944</v>
      </c>
      <c r="H20" t="s">
        <v>123</v>
      </c>
      <c r="I20" t="s">
        <v>124</v>
      </c>
      <c r="J20" t="s">
        <v>33</v>
      </c>
      <c r="K20" t="s">
        <v>22</v>
      </c>
      <c r="L20" t="s">
        <v>67</v>
      </c>
      <c r="M20" t="s">
        <v>68</v>
      </c>
      <c r="N20" t="s">
        <v>69</v>
      </c>
      <c r="O20" t="s">
        <v>57</v>
      </c>
      <c r="P20" t="s">
        <v>58</v>
      </c>
      <c r="Q20" t="s">
        <v>125</v>
      </c>
      <c r="R20">
        <v>2258.19</v>
      </c>
      <c r="S20">
        <v>8</v>
      </c>
      <c r="T20">
        <v>0.3</v>
      </c>
      <c r="U20" t="str">
        <f>IF(Retail_data[[#This Row],[Sales]]&gt;30000,"High",IF(Retail_data[[#This Row],[Sales]]&gt;10000,"Medium","Low"))</f>
        <v>Low</v>
      </c>
      <c r="V20" s="3">
        <f>Retail_data[[#This Row],[Profit]]/Retail_data[[#This Row],[Sales]]</f>
        <v>5.6005030577586469E-2</v>
      </c>
      <c r="W20">
        <v>126.47</v>
      </c>
      <c r="X20" t="s">
        <v>81</v>
      </c>
    </row>
    <row r="21" spans="1:26" ht="13.8" x14ac:dyDescent="0.25">
      <c r="A21" t="s">
        <v>126</v>
      </c>
      <c r="B21">
        <f>YEAR(Retail_data[[#This Row],[Order Date]])</f>
        <v>2025</v>
      </c>
      <c r="C21" t="str">
        <f>TEXT(Retail_data[[#This Row],[Order Date]],"mmmm")</f>
        <v>October</v>
      </c>
      <c r="D21">
        <f>MONTH(Retail_data[[#This Row],[Order Date]])</f>
        <v>10</v>
      </c>
      <c r="E21" t="str">
        <f>"Q"&amp;ROUNDUP(MONTH(Retail_data[[#This Row],[Order Date]])/3,0)</f>
        <v>Q4</v>
      </c>
      <c r="F21" s="1">
        <v>45941</v>
      </c>
      <c r="G21" s="1">
        <v>45945</v>
      </c>
      <c r="H21" t="s">
        <v>127</v>
      </c>
      <c r="I21" t="s">
        <v>128</v>
      </c>
      <c r="J21" t="s">
        <v>33</v>
      </c>
      <c r="K21" t="s">
        <v>22</v>
      </c>
      <c r="L21" t="s">
        <v>23</v>
      </c>
      <c r="M21" t="s">
        <v>24</v>
      </c>
      <c r="N21" t="s">
        <v>25</v>
      </c>
      <c r="O21" t="s">
        <v>37</v>
      </c>
      <c r="P21" t="s">
        <v>46</v>
      </c>
      <c r="Q21" t="s">
        <v>129</v>
      </c>
      <c r="R21">
        <v>16739.95</v>
      </c>
      <c r="S21">
        <v>6</v>
      </c>
      <c r="T21">
        <v>0.2</v>
      </c>
      <c r="U21" t="str">
        <f>IF(Retail_data[[#This Row],[Sales]]&gt;30000,"High",IF(Retail_data[[#This Row],[Sales]]&gt;10000,"Medium","Low"))</f>
        <v>Medium</v>
      </c>
      <c r="V21" s="3">
        <f>Retail_data[[#This Row],[Profit]]/Retail_data[[#This Row],[Sales]]</f>
        <v>0.17048378280699761</v>
      </c>
      <c r="W21">
        <v>2853.89</v>
      </c>
      <c r="X21" t="s">
        <v>29</v>
      </c>
    </row>
    <row r="22" spans="1:26" ht="13.8" x14ac:dyDescent="0.25">
      <c r="A22" t="s">
        <v>130</v>
      </c>
      <c r="B22">
        <f>YEAR(Retail_data[[#This Row],[Order Date]])</f>
        <v>2025</v>
      </c>
      <c r="C22" t="str">
        <f>TEXT(Retail_data[[#This Row],[Order Date]],"mmmm")</f>
        <v>October</v>
      </c>
      <c r="D22">
        <f>MONTH(Retail_data[[#This Row],[Order Date]])</f>
        <v>10</v>
      </c>
      <c r="E22" t="str">
        <f>"Q"&amp;ROUNDUP(MONTH(Retail_data[[#This Row],[Order Date]])/3,0)</f>
        <v>Q4</v>
      </c>
      <c r="F22" s="1">
        <v>45942</v>
      </c>
      <c r="G22" s="1">
        <v>45946</v>
      </c>
      <c r="H22" t="s">
        <v>131</v>
      </c>
      <c r="I22" t="s">
        <v>132</v>
      </c>
      <c r="J22" t="s">
        <v>21</v>
      </c>
      <c r="K22" t="s">
        <v>22</v>
      </c>
      <c r="L22" t="s">
        <v>85</v>
      </c>
      <c r="M22" t="s">
        <v>86</v>
      </c>
      <c r="N22" t="s">
        <v>87</v>
      </c>
      <c r="O22" t="s">
        <v>26</v>
      </c>
      <c r="P22" t="s">
        <v>70</v>
      </c>
      <c r="Q22" t="s">
        <v>133</v>
      </c>
      <c r="R22">
        <v>1791.77</v>
      </c>
      <c r="S22">
        <v>8</v>
      </c>
      <c r="T22">
        <v>0</v>
      </c>
      <c r="U22" t="str">
        <f>IF(Retail_data[[#This Row],[Sales]]&gt;30000,"High",IF(Retail_data[[#This Row],[Sales]]&gt;10000,"Medium","Low"))</f>
        <v>Low</v>
      </c>
      <c r="V22" s="3">
        <f>Retail_data[[#This Row],[Profit]]/Retail_data[[#This Row],[Sales]]</f>
        <v>0.19583986784018037</v>
      </c>
      <c r="W22">
        <v>350.9</v>
      </c>
      <c r="X22" t="s">
        <v>48</v>
      </c>
    </row>
    <row r="23" spans="1:26" ht="13.8" x14ac:dyDescent="0.25">
      <c r="A23" t="s">
        <v>134</v>
      </c>
      <c r="B23">
        <f>YEAR(Retail_data[[#This Row],[Order Date]])</f>
        <v>2025</v>
      </c>
      <c r="C23" t="str">
        <f>TEXT(Retail_data[[#This Row],[Order Date]],"mmmm")</f>
        <v>October</v>
      </c>
      <c r="D23">
        <f>MONTH(Retail_data[[#This Row],[Order Date]])</f>
        <v>10</v>
      </c>
      <c r="E23" t="str">
        <f>"Q"&amp;ROUNDUP(MONTH(Retail_data[[#This Row],[Order Date]])/3,0)</f>
        <v>Q4</v>
      </c>
      <c r="F23" s="1">
        <v>45943</v>
      </c>
      <c r="G23" s="1">
        <v>45947</v>
      </c>
      <c r="H23" t="s">
        <v>135</v>
      </c>
      <c r="I23" t="s">
        <v>136</v>
      </c>
      <c r="J23" t="s">
        <v>33</v>
      </c>
      <c r="K23" t="s">
        <v>22</v>
      </c>
      <c r="L23" t="s">
        <v>45</v>
      </c>
      <c r="M23" t="s">
        <v>45</v>
      </c>
      <c r="N23" t="s">
        <v>25</v>
      </c>
      <c r="O23" t="s">
        <v>57</v>
      </c>
      <c r="P23" t="s">
        <v>79</v>
      </c>
      <c r="Q23" t="s">
        <v>137</v>
      </c>
      <c r="R23">
        <v>34797.800000000003</v>
      </c>
      <c r="S23">
        <v>5</v>
      </c>
      <c r="T23">
        <v>0</v>
      </c>
      <c r="U23" t="str">
        <f>IF(Retail_data[[#This Row],[Sales]]&gt;30000,"High",IF(Retail_data[[#This Row],[Sales]]&gt;10000,"Medium","Low"))</f>
        <v>High</v>
      </c>
      <c r="V23" s="3">
        <f>Retail_data[[#This Row],[Profit]]/Retail_data[[#This Row],[Sales]]</f>
        <v>0.143557351326808</v>
      </c>
      <c r="W23">
        <v>4995.4799999999996</v>
      </c>
      <c r="X23" t="s">
        <v>29</v>
      </c>
    </row>
    <row r="24" spans="1:26" ht="13.8" x14ac:dyDescent="0.25">
      <c r="A24" t="s">
        <v>138</v>
      </c>
      <c r="B24">
        <f>YEAR(Retail_data[[#This Row],[Order Date]])</f>
        <v>2025</v>
      </c>
      <c r="C24" t="str">
        <f>TEXT(Retail_data[[#This Row],[Order Date]],"mmmm")</f>
        <v>October</v>
      </c>
      <c r="D24">
        <f>MONTH(Retail_data[[#This Row],[Order Date]])</f>
        <v>10</v>
      </c>
      <c r="E24" t="str">
        <f>"Q"&amp;ROUNDUP(MONTH(Retail_data[[#This Row],[Order Date]])/3,0)</f>
        <v>Q4</v>
      </c>
      <c r="F24" s="1">
        <v>45944</v>
      </c>
      <c r="G24" s="1">
        <v>45948</v>
      </c>
      <c r="H24" t="s">
        <v>139</v>
      </c>
      <c r="I24" t="s">
        <v>140</v>
      </c>
      <c r="J24" t="s">
        <v>44</v>
      </c>
      <c r="K24" t="s">
        <v>22</v>
      </c>
      <c r="L24" t="s">
        <v>45</v>
      </c>
      <c r="M24" t="s">
        <v>45</v>
      </c>
      <c r="N24" t="s">
        <v>25</v>
      </c>
      <c r="O24" t="s">
        <v>57</v>
      </c>
      <c r="P24" t="s">
        <v>79</v>
      </c>
      <c r="Q24" t="s">
        <v>141</v>
      </c>
      <c r="R24">
        <v>31740.13</v>
      </c>
      <c r="S24">
        <v>8</v>
      </c>
      <c r="T24">
        <v>0.3</v>
      </c>
      <c r="U24" t="str">
        <f>IF(Retail_data[[#This Row],[Sales]]&gt;30000,"High",IF(Retail_data[[#This Row],[Sales]]&gt;10000,"Medium","Low"))</f>
        <v>High</v>
      </c>
      <c r="V24" s="3">
        <f>Retail_data[[#This Row],[Profit]]/Retail_data[[#This Row],[Sales]]</f>
        <v>0.16799647638494233</v>
      </c>
      <c r="W24">
        <v>5332.23</v>
      </c>
      <c r="X24" t="s">
        <v>40</v>
      </c>
    </row>
    <row r="25" spans="1:26" ht="13.8" x14ac:dyDescent="0.25">
      <c r="A25" t="s">
        <v>142</v>
      </c>
      <c r="B25">
        <f>YEAR(Retail_data[[#This Row],[Order Date]])</f>
        <v>2025</v>
      </c>
      <c r="C25" t="str">
        <f>TEXT(Retail_data[[#This Row],[Order Date]],"mmmm")</f>
        <v>October</v>
      </c>
      <c r="D25">
        <f>MONTH(Retail_data[[#This Row],[Order Date]])</f>
        <v>10</v>
      </c>
      <c r="E25" t="str">
        <f>"Q"&amp;ROUNDUP(MONTH(Retail_data[[#This Row],[Order Date]])/3,0)</f>
        <v>Q4</v>
      </c>
      <c r="F25" s="1">
        <v>45945</v>
      </c>
      <c r="G25" s="1">
        <v>45949</v>
      </c>
      <c r="H25" t="s">
        <v>143</v>
      </c>
      <c r="I25" t="s">
        <v>144</v>
      </c>
      <c r="J25" t="s">
        <v>44</v>
      </c>
      <c r="K25" t="s">
        <v>22</v>
      </c>
      <c r="L25" t="s">
        <v>34</v>
      </c>
      <c r="M25" t="s">
        <v>35</v>
      </c>
      <c r="N25" t="s">
        <v>36</v>
      </c>
      <c r="O25" t="s">
        <v>37</v>
      </c>
      <c r="P25" t="s">
        <v>38</v>
      </c>
      <c r="Q25" t="s">
        <v>145</v>
      </c>
      <c r="R25">
        <v>6318.56</v>
      </c>
      <c r="S25">
        <v>5</v>
      </c>
      <c r="T25">
        <v>0</v>
      </c>
      <c r="U25" t="str">
        <f>IF(Retail_data[[#This Row],[Sales]]&gt;30000,"High",IF(Retail_data[[#This Row],[Sales]]&gt;10000,"Medium","Low"))</f>
        <v>Low</v>
      </c>
      <c r="V25" s="3">
        <f>Retail_data[[#This Row],[Profit]]/Retail_data[[#This Row],[Sales]]</f>
        <v>0.22270897166442985</v>
      </c>
      <c r="W25">
        <v>1407.2</v>
      </c>
      <c r="X25" t="s">
        <v>48</v>
      </c>
    </row>
    <row r="26" spans="1:26" ht="13.8" x14ac:dyDescent="0.25">
      <c r="A26" t="s">
        <v>146</v>
      </c>
      <c r="B26">
        <f>YEAR(Retail_data[[#This Row],[Order Date]])</f>
        <v>2025</v>
      </c>
      <c r="C26" t="str">
        <f>TEXT(Retail_data[[#This Row],[Order Date]],"mmmm")</f>
        <v>October</v>
      </c>
      <c r="D26">
        <f>MONTH(Retail_data[[#This Row],[Order Date]])</f>
        <v>10</v>
      </c>
      <c r="E26" t="str">
        <f>"Q"&amp;ROUNDUP(MONTH(Retail_data[[#This Row],[Order Date]])/3,0)</f>
        <v>Q4</v>
      </c>
      <c r="F26" s="1">
        <v>45946</v>
      </c>
      <c r="G26" s="1">
        <v>45950</v>
      </c>
      <c r="H26" t="s">
        <v>147</v>
      </c>
      <c r="I26" t="s">
        <v>148</v>
      </c>
      <c r="J26" t="s">
        <v>44</v>
      </c>
      <c r="K26" t="s">
        <v>22</v>
      </c>
      <c r="L26" t="s">
        <v>23</v>
      </c>
      <c r="M26" t="s">
        <v>24</v>
      </c>
      <c r="N26" t="s">
        <v>25</v>
      </c>
      <c r="O26" t="s">
        <v>57</v>
      </c>
      <c r="P26" t="s">
        <v>149</v>
      </c>
      <c r="Q26" t="s">
        <v>150</v>
      </c>
      <c r="R26">
        <v>22873.919999999998</v>
      </c>
      <c r="S26">
        <v>1</v>
      </c>
      <c r="T26">
        <v>0.2</v>
      </c>
      <c r="U26" t="str">
        <f>IF(Retail_data[[#This Row],[Sales]]&gt;30000,"High",IF(Retail_data[[#This Row],[Sales]]&gt;10000,"Medium","Low"))</f>
        <v>Medium</v>
      </c>
      <c r="V26" s="3">
        <f>Retail_data[[#This Row],[Profit]]/Retail_data[[#This Row],[Sales]]</f>
        <v>0.11238257369091088</v>
      </c>
      <c r="W26">
        <v>2570.63</v>
      </c>
      <c r="X26" t="s">
        <v>40</v>
      </c>
    </row>
    <row r="27" spans="1:26" ht="13.8" x14ac:dyDescent="0.25">
      <c r="A27" t="s">
        <v>151</v>
      </c>
      <c r="B27">
        <f>YEAR(Retail_data[[#This Row],[Order Date]])</f>
        <v>2025</v>
      </c>
      <c r="C27" t="str">
        <f>TEXT(Retail_data[[#This Row],[Order Date]],"mmmm")</f>
        <v>October</v>
      </c>
      <c r="D27">
        <f>MONTH(Retail_data[[#This Row],[Order Date]])</f>
        <v>10</v>
      </c>
      <c r="E27" t="str">
        <f>"Q"&amp;ROUNDUP(MONTH(Retail_data[[#This Row],[Order Date]])/3,0)</f>
        <v>Q4</v>
      </c>
      <c r="F27" s="1">
        <v>45947</v>
      </c>
      <c r="G27" s="1">
        <v>45951</v>
      </c>
      <c r="H27" t="s">
        <v>152</v>
      </c>
      <c r="I27" t="s">
        <v>153</v>
      </c>
      <c r="J27" t="s">
        <v>44</v>
      </c>
      <c r="K27" t="s">
        <v>22</v>
      </c>
      <c r="L27" t="s">
        <v>34</v>
      </c>
      <c r="M27" t="s">
        <v>35</v>
      </c>
      <c r="N27" t="s">
        <v>36</v>
      </c>
      <c r="O27" t="s">
        <v>26</v>
      </c>
      <c r="P27" t="s">
        <v>70</v>
      </c>
      <c r="Q27" t="s">
        <v>71</v>
      </c>
      <c r="R27">
        <v>23816.33</v>
      </c>
      <c r="S27">
        <v>4</v>
      </c>
      <c r="T27">
        <v>0.3</v>
      </c>
      <c r="U27" t="str">
        <f>IF(Retail_data[[#This Row],[Sales]]&gt;30000,"High",IF(Retail_data[[#This Row],[Sales]]&gt;10000,"Medium","Low"))</f>
        <v>Medium</v>
      </c>
      <c r="V27" s="3">
        <f>Retail_data[[#This Row],[Profit]]/Retail_data[[#This Row],[Sales]]</f>
        <v>-1.7363296528054489E-2</v>
      </c>
      <c r="W27">
        <v>-413.53</v>
      </c>
      <c r="X27" t="s">
        <v>29</v>
      </c>
    </row>
    <row r="28" spans="1:26" ht="13.8" x14ac:dyDescent="0.25">
      <c r="A28" t="s">
        <v>154</v>
      </c>
      <c r="B28">
        <f>YEAR(Retail_data[[#This Row],[Order Date]])</f>
        <v>2025</v>
      </c>
      <c r="C28" t="str">
        <f>TEXT(Retail_data[[#This Row],[Order Date]],"mmmm")</f>
        <v>October</v>
      </c>
      <c r="D28">
        <f>MONTH(Retail_data[[#This Row],[Order Date]])</f>
        <v>10</v>
      </c>
      <c r="E28" t="str">
        <f>"Q"&amp;ROUNDUP(MONTH(Retail_data[[#This Row],[Order Date]])/3,0)</f>
        <v>Q4</v>
      </c>
      <c r="F28" s="1">
        <v>45948</v>
      </c>
      <c r="G28" s="1">
        <v>45952</v>
      </c>
      <c r="H28" t="s">
        <v>155</v>
      </c>
      <c r="I28" t="s">
        <v>156</v>
      </c>
      <c r="J28" t="s">
        <v>21</v>
      </c>
      <c r="K28" t="s">
        <v>22</v>
      </c>
      <c r="L28" t="s">
        <v>23</v>
      </c>
      <c r="M28" t="s">
        <v>24</v>
      </c>
      <c r="N28" t="s">
        <v>25</v>
      </c>
      <c r="O28" t="s">
        <v>57</v>
      </c>
      <c r="P28" t="s">
        <v>149</v>
      </c>
      <c r="Q28" t="s">
        <v>157</v>
      </c>
      <c r="R28">
        <v>24590.67</v>
      </c>
      <c r="S28">
        <v>1</v>
      </c>
      <c r="T28">
        <v>0.3</v>
      </c>
      <c r="U28" t="str">
        <f>IF(Retail_data[[#This Row],[Sales]]&gt;30000,"High",IF(Retail_data[[#This Row],[Sales]]&gt;10000,"Medium","Low"))</f>
        <v>Medium</v>
      </c>
      <c r="V28" s="3">
        <f>Retail_data[[#This Row],[Profit]]/Retail_data[[#This Row],[Sales]]</f>
        <v>0.13868959243485435</v>
      </c>
      <c r="W28">
        <v>3410.47</v>
      </c>
      <c r="X28" t="s">
        <v>40</v>
      </c>
    </row>
    <row r="29" spans="1:26" ht="13.8" x14ac:dyDescent="0.25">
      <c r="A29" t="s">
        <v>158</v>
      </c>
      <c r="B29">
        <f>YEAR(Retail_data[[#This Row],[Order Date]])</f>
        <v>2025</v>
      </c>
      <c r="C29" t="str">
        <f>TEXT(Retail_data[[#This Row],[Order Date]],"mmmm")</f>
        <v>October</v>
      </c>
      <c r="D29">
        <f>MONTH(Retail_data[[#This Row],[Order Date]])</f>
        <v>10</v>
      </c>
      <c r="E29" t="str">
        <f>"Q"&amp;ROUNDUP(MONTH(Retail_data[[#This Row],[Order Date]])/3,0)</f>
        <v>Q4</v>
      </c>
      <c r="F29" s="1">
        <v>45949</v>
      </c>
      <c r="G29" s="1">
        <v>45953</v>
      </c>
      <c r="H29" t="s">
        <v>159</v>
      </c>
      <c r="I29" t="s">
        <v>160</v>
      </c>
      <c r="J29" t="s">
        <v>44</v>
      </c>
      <c r="K29" t="s">
        <v>22</v>
      </c>
      <c r="L29" t="s">
        <v>67</v>
      </c>
      <c r="M29" t="s">
        <v>68</v>
      </c>
      <c r="N29" t="s">
        <v>69</v>
      </c>
      <c r="O29" t="s">
        <v>26</v>
      </c>
      <c r="P29" t="s">
        <v>70</v>
      </c>
      <c r="Q29" t="s">
        <v>161</v>
      </c>
      <c r="R29">
        <v>33924.699999999997</v>
      </c>
      <c r="S29">
        <v>4</v>
      </c>
      <c r="T29">
        <v>0.3</v>
      </c>
      <c r="U29" t="str">
        <f>IF(Retail_data[[#This Row],[Sales]]&gt;30000,"High",IF(Retail_data[[#This Row],[Sales]]&gt;10000,"Medium","Low"))</f>
        <v>High</v>
      </c>
      <c r="V29" s="3">
        <f>Retail_data[[#This Row],[Profit]]/Retail_data[[#This Row],[Sales]]</f>
        <v>0.17322157601983218</v>
      </c>
      <c r="W29">
        <v>5876.49</v>
      </c>
      <c r="X29" t="s">
        <v>29</v>
      </c>
    </row>
    <row r="30" spans="1:26" ht="13.8" x14ac:dyDescent="0.25">
      <c r="A30" t="s">
        <v>162</v>
      </c>
      <c r="B30">
        <f>YEAR(Retail_data[[#This Row],[Order Date]])</f>
        <v>2025</v>
      </c>
      <c r="C30" t="str">
        <f>TEXT(Retail_data[[#This Row],[Order Date]],"mmmm")</f>
        <v>October</v>
      </c>
      <c r="D30">
        <f>MONTH(Retail_data[[#This Row],[Order Date]])</f>
        <v>10</v>
      </c>
      <c r="E30" t="str">
        <f>"Q"&amp;ROUNDUP(MONTH(Retail_data[[#This Row],[Order Date]])/3,0)</f>
        <v>Q4</v>
      </c>
      <c r="F30" s="1">
        <v>45950</v>
      </c>
      <c r="G30" s="1">
        <v>45954</v>
      </c>
      <c r="H30" t="s">
        <v>163</v>
      </c>
      <c r="I30" t="s">
        <v>164</v>
      </c>
      <c r="J30" t="s">
        <v>21</v>
      </c>
      <c r="K30" t="s">
        <v>22</v>
      </c>
      <c r="L30" t="s">
        <v>34</v>
      </c>
      <c r="M30" t="s">
        <v>35</v>
      </c>
      <c r="N30" t="s">
        <v>36</v>
      </c>
      <c r="O30" t="s">
        <v>26</v>
      </c>
      <c r="P30" t="s">
        <v>70</v>
      </c>
      <c r="Q30" t="s">
        <v>133</v>
      </c>
      <c r="R30">
        <v>45862.59</v>
      </c>
      <c r="S30">
        <v>2</v>
      </c>
      <c r="T30">
        <v>0.1</v>
      </c>
      <c r="U30" t="str">
        <f>IF(Retail_data[[#This Row],[Sales]]&gt;30000,"High",IF(Retail_data[[#This Row],[Sales]]&gt;10000,"Medium","Low"))</f>
        <v>High</v>
      </c>
      <c r="V30" s="3">
        <f>Retail_data[[#This Row],[Profit]]/Retail_data[[#This Row],[Sales]]</f>
        <v>0.23589836509451387</v>
      </c>
      <c r="W30">
        <v>10818.91</v>
      </c>
      <c r="X30" t="s">
        <v>29</v>
      </c>
    </row>
    <row r="31" spans="1:26" ht="13.8" x14ac:dyDescent="0.25">
      <c r="A31" t="s">
        <v>165</v>
      </c>
      <c r="B31">
        <f>YEAR(Retail_data[[#This Row],[Order Date]])</f>
        <v>2025</v>
      </c>
      <c r="C31" t="str">
        <f>TEXT(Retail_data[[#This Row],[Order Date]],"mmmm")</f>
        <v>October</v>
      </c>
      <c r="D31">
        <f>MONTH(Retail_data[[#This Row],[Order Date]])</f>
        <v>10</v>
      </c>
      <c r="E31" t="str">
        <f>"Q"&amp;ROUNDUP(MONTH(Retail_data[[#This Row],[Order Date]])/3,0)</f>
        <v>Q4</v>
      </c>
      <c r="F31" s="1">
        <v>45951</v>
      </c>
      <c r="G31" s="1">
        <v>45955</v>
      </c>
      <c r="H31" t="s">
        <v>166</v>
      </c>
      <c r="I31" t="s">
        <v>167</v>
      </c>
      <c r="J31" t="s">
        <v>33</v>
      </c>
      <c r="K31" t="s">
        <v>22</v>
      </c>
      <c r="L31" t="s">
        <v>85</v>
      </c>
      <c r="M31" t="s">
        <v>86</v>
      </c>
      <c r="N31" t="s">
        <v>87</v>
      </c>
      <c r="O31" t="s">
        <v>26</v>
      </c>
      <c r="P31" t="s">
        <v>27</v>
      </c>
      <c r="Q31" t="s">
        <v>168</v>
      </c>
      <c r="R31">
        <v>47492.09</v>
      </c>
      <c r="S31">
        <v>2</v>
      </c>
      <c r="T31">
        <v>0</v>
      </c>
      <c r="U31" t="str">
        <f>IF(Retail_data[[#This Row],[Sales]]&gt;30000,"High",IF(Retail_data[[#This Row],[Sales]]&gt;10000,"Medium","Low"))</f>
        <v>High</v>
      </c>
      <c r="V31" s="3">
        <f>Retail_data[[#This Row],[Profit]]/Retail_data[[#This Row],[Sales]]</f>
        <v>0.20260363357350666</v>
      </c>
      <c r="W31">
        <v>9622.07</v>
      </c>
      <c r="X31" t="s">
        <v>48</v>
      </c>
    </row>
    <row r="32" spans="1:26" ht="13.8" x14ac:dyDescent="0.25">
      <c r="A32" t="s">
        <v>169</v>
      </c>
      <c r="B32">
        <f>YEAR(Retail_data[[#This Row],[Order Date]])</f>
        <v>2025</v>
      </c>
      <c r="C32" t="str">
        <f>TEXT(Retail_data[[#This Row],[Order Date]],"mmmm")</f>
        <v>October</v>
      </c>
      <c r="D32">
        <f>MONTH(Retail_data[[#This Row],[Order Date]])</f>
        <v>10</v>
      </c>
      <c r="E32" t="str">
        <f>"Q"&amp;ROUNDUP(MONTH(Retail_data[[#This Row],[Order Date]])/3,0)</f>
        <v>Q4</v>
      </c>
      <c r="F32" s="1">
        <v>45952</v>
      </c>
      <c r="G32" s="1">
        <v>45956</v>
      </c>
      <c r="H32" t="s">
        <v>170</v>
      </c>
      <c r="I32" t="s">
        <v>171</v>
      </c>
      <c r="J32" t="s">
        <v>33</v>
      </c>
      <c r="K32" t="s">
        <v>22</v>
      </c>
      <c r="L32" t="s">
        <v>34</v>
      </c>
      <c r="M32" t="s">
        <v>35</v>
      </c>
      <c r="N32" t="s">
        <v>36</v>
      </c>
      <c r="O32" t="s">
        <v>37</v>
      </c>
      <c r="P32" t="s">
        <v>46</v>
      </c>
      <c r="Q32" t="s">
        <v>172</v>
      </c>
      <c r="R32">
        <v>24853.1</v>
      </c>
      <c r="S32">
        <v>2</v>
      </c>
      <c r="T32">
        <v>0.1</v>
      </c>
      <c r="U32" t="str">
        <f>IF(Retail_data[[#This Row],[Sales]]&gt;30000,"High",IF(Retail_data[[#This Row],[Sales]]&gt;10000,"Medium","Low"))</f>
        <v>Medium</v>
      </c>
      <c r="V32" s="3">
        <f>Retail_data[[#This Row],[Profit]]/Retail_data[[#This Row],[Sales]]</f>
        <v>5.2135146118592858E-2</v>
      </c>
      <c r="W32">
        <v>1295.72</v>
      </c>
      <c r="X32" t="s">
        <v>29</v>
      </c>
    </row>
    <row r="33" spans="1:24" ht="13.8" x14ac:dyDescent="0.25">
      <c r="A33" t="s">
        <v>173</v>
      </c>
      <c r="B33">
        <f>YEAR(Retail_data[[#This Row],[Order Date]])</f>
        <v>2025</v>
      </c>
      <c r="C33" t="str">
        <f>TEXT(Retail_data[[#This Row],[Order Date]],"mmmm")</f>
        <v>October</v>
      </c>
      <c r="D33">
        <f>MONTH(Retail_data[[#This Row],[Order Date]])</f>
        <v>10</v>
      </c>
      <c r="E33" t="str">
        <f>"Q"&amp;ROUNDUP(MONTH(Retail_data[[#This Row],[Order Date]])/3,0)</f>
        <v>Q4</v>
      </c>
      <c r="F33" s="1">
        <v>45953</v>
      </c>
      <c r="G33" s="1">
        <v>45957</v>
      </c>
      <c r="H33" t="s">
        <v>174</v>
      </c>
      <c r="I33" t="s">
        <v>175</v>
      </c>
      <c r="J33" t="s">
        <v>33</v>
      </c>
      <c r="K33" t="s">
        <v>22</v>
      </c>
      <c r="L33" t="s">
        <v>34</v>
      </c>
      <c r="M33" t="s">
        <v>35</v>
      </c>
      <c r="N33" t="s">
        <v>36</v>
      </c>
      <c r="O33" t="s">
        <v>57</v>
      </c>
      <c r="P33" t="s">
        <v>149</v>
      </c>
      <c r="Q33" t="s">
        <v>176</v>
      </c>
      <c r="R33">
        <v>37393.06</v>
      </c>
      <c r="S33">
        <v>6</v>
      </c>
      <c r="T33">
        <v>0</v>
      </c>
      <c r="U33" t="str">
        <f>IF(Retail_data[[#This Row],[Sales]]&gt;30000,"High",IF(Retail_data[[#This Row],[Sales]]&gt;10000,"Medium","Low"))</f>
        <v>High</v>
      </c>
      <c r="V33" s="3">
        <f>Retail_data[[#This Row],[Profit]]/Retail_data[[#This Row],[Sales]]</f>
        <v>8.8723148092186094E-2</v>
      </c>
      <c r="W33">
        <v>3317.63</v>
      </c>
      <c r="X33" t="s">
        <v>40</v>
      </c>
    </row>
    <row r="34" spans="1:24" ht="13.8" x14ac:dyDescent="0.25">
      <c r="A34" t="s">
        <v>177</v>
      </c>
      <c r="B34">
        <f>YEAR(Retail_data[[#This Row],[Order Date]])</f>
        <v>2025</v>
      </c>
      <c r="C34" t="str">
        <f>TEXT(Retail_data[[#This Row],[Order Date]],"mmmm")</f>
        <v>October</v>
      </c>
      <c r="D34">
        <f>MONTH(Retail_data[[#This Row],[Order Date]])</f>
        <v>10</v>
      </c>
      <c r="E34" t="str">
        <f>"Q"&amp;ROUNDUP(MONTH(Retail_data[[#This Row],[Order Date]])/3,0)</f>
        <v>Q4</v>
      </c>
      <c r="F34" s="1">
        <v>45954</v>
      </c>
      <c r="G34" s="1">
        <v>45958</v>
      </c>
      <c r="H34" t="s">
        <v>178</v>
      </c>
      <c r="I34" t="s">
        <v>179</v>
      </c>
      <c r="J34" t="s">
        <v>21</v>
      </c>
      <c r="K34" t="s">
        <v>22</v>
      </c>
      <c r="L34" t="s">
        <v>34</v>
      </c>
      <c r="M34" t="s">
        <v>35</v>
      </c>
      <c r="N34" t="s">
        <v>36</v>
      </c>
      <c r="O34" t="s">
        <v>26</v>
      </c>
      <c r="P34" t="s">
        <v>70</v>
      </c>
      <c r="Q34" t="s">
        <v>180</v>
      </c>
      <c r="R34">
        <v>42511.51</v>
      </c>
      <c r="S34">
        <v>6</v>
      </c>
      <c r="T34">
        <v>0.2</v>
      </c>
      <c r="U34" t="str">
        <f>IF(Retail_data[[#This Row],[Sales]]&gt;30000,"High",IF(Retail_data[[#This Row],[Sales]]&gt;10000,"Medium","Low"))</f>
        <v>High</v>
      </c>
      <c r="V34" s="3">
        <f>Retail_data[[#This Row],[Profit]]/Retail_data[[#This Row],[Sales]]</f>
        <v>5.442478989807701E-2</v>
      </c>
      <c r="W34">
        <v>2313.6799999999998</v>
      </c>
      <c r="X34" t="s">
        <v>81</v>
      </c>
    </row>
    <row r="35" spans="1:24" ht="13.8" x14ac:dyDescent="0.25">
      <c r="A35" t="s">
        <v>181</v>
      </c>
      <c r="B35">
        <f>YEAR(Retail_data[[#This Row],[Order Date]])</f>
        <v>2025</v>
      </c>
      <c r="C35" t="str">
        <f>TEXT(Retail_data[[#This Row],[Order Date]],"mmmm")</f>
        <v>October</v>
      </c>
      <c r="D35">
        <f>MONTH(Retail_data[[#This Row],[Order Date]])</f>
        <v>10</v>
      </c>
      <c r="E35" t="str">
        <f>"Q"&amp;ROUNDUP(MONTH(Retail_data[[#This Row],[Order Date]])/3,0)</f>
        <v>Q4</v>
      </c>
      <c r="F35" s="1">
        <v>45955</v>
      </c>
      <c r="G35" s="1">
        <v>45959</v>
      </c>
      <c r="H35" t="s">
        <v>182</v>
      </c>
      <c r="I35" t="s">
        <v>183</v>
      </c>
      <c r="J35" t="s">
        <v>33</v>
      </c>
      <c r="K35" t="s">
        <v>22</v>
      </c>
      <c r="L35" t="s">
        <v>85</v>
      </c>
      <c r="M35" t="s">
        <v>86</v>
      </c>
      <c r="N35" t="s">
        <v>87</v>
      </c>
      <c r="O35" t="s">
        <v>37</v>
      </c>
      <c r="P35" t="s">
        <v>52</v>
      </c>
      <c r="Q35" t="s">
        <v>184</v>
      </c>
      <c r="R35">
        <v>6247.65</v>
      </c>
      <c r="S35">
        <v>8</v>
      </c>
      <c r="T35">
        <v>0</v>
      </c>
      <c r="U35" t="str">
        <f>IF(Retail_data[[#This Row],[Sales]]&gt;30000,"High",IF(Retail_data[[#This Row],[Sales]]&gt;10000,"Medium","Low"))</f>
        <v>Low</v>
      </c>
      <c r="V35" s="3">
        <f>Retail_data[[#This Row],[Profit]]/Retail_data[[#This Row],[Sales]]</f>
        <v>9.0301153233615844E-2</v>
      </c>
      <c r="W35">
        <v>564.16999999999996</v>
      </c>
      <c r="X35" t="s">
        <v>48</v>
      </c>
    </row>
    <row r="36" spans="1:24" ht="13.8" x14ac:dyDescent="0.25">
      <c r="A36" t="s">
        <v>185</v>
      </c>
      <c r="B36">
        <f>YEAR(Retail_data[[#This Row],[Order Date]])</f>
        <v>2025</v>
      </c>
      <c r="C36" t="str">
        <f>TEXT(Retail_data[[#This Row],[Order Date]],"mmmm")</f>
        <v>October</v>
      </c>
      <c r="D36">
        <f>MONTH(Retail_data[[#This Row],[Order Date]])</f>
        <v>10</v>
      </c>
      <c r="E36" t="str">
        <f>"Q"&amp;ROUNDUP(MONTH(Retail_data[[#This Row],[Order Date]])/3,0)</f>
        <v>Q4</v>
      </c>
      <c r="F36" s="1">
        <v>45956</v>
      </c>
      <c r="G36" s="1">
        <v>45960</v>
      </c>
      <c r="H36" t="s">
        <v>186</v>
      </c>
      <c r="I36" t="s">
        <v>187</v>
      </c>
      <c r="J36" t="s">
        <v>44</v>
      </c>
      <c r="K36" t="s">
        <v>22</v>
      </c>
      <c r="L36" t="s">
        <v>34</v>
      </c>
      <c r="M36" t="s">
        <v>35</v>
      </c>
      <c r="N36" t="s">
        <v>36</v>
      </c>
      <c r="O36" t="s">
        <v>57</v>
      </c>
      <c r="P36" t="s">
        <v>58</v>
      </c>
      <c r="Q36" t="s">
        <v>188</v>
      </c>
      <c r="R36">
        <v>22531.37</v>
      </c>
      <c r="S36">
        <v>2</v>
      </c>
      <c r="T36">
        <v>0.1</v>
      </c>
      <c r="U36" t="str">
        <f>IF(Retail_data[[#This Row],[Sales]]&gt;30000,"High",IF(Retail_data[[#This Row],[Sales]]&gt;10000,"Medium","Low"))</f>
        <v>Medium</v>
      </c>
      <c r="V36" s="3">
        <f>Retail_data[[#This Row],[Profit]]/Retail_data[[#This Row],[Sales]]</f>
        <v>6.2134703748595851E-2</v>
      </c>
      <c r="W36">
        <v>1399.98</v>
      </c>
      <c r="X36" t="s">
        <v>40</v>
      </c>
    </row>
    <row r="37" spans="1:24" ht="13.8" x14ac:dyDescent="0.25">
      <c r="A37" t="s">
        <v>189</v>
      </c>
      <c r="B37">
        <f>YEAR(Retail_data[[#This Row],[Order Date]])</f>
        <v>2025</v>
      </c>
      <c r="C37" t="str">
        <f>TEXT(Retail_data[[#This Row],[Order Date]],"mmmm")</f>
        <v>October</v>
      </c>
      <c r="D37">
        <f>MONTH(Retail_data[[#This Row],[Order Date]])</f>
        <v>10</v>
      </c>
      <c r="E37" t="str">
        <f>"Q"&amp;ROUNDUP(MONTH(Retail_data[[#This Row],[Order Date]])/3,0)</f>
        <v>Q4</v>
      </c>
      <c r="F37" s="1">
        <v>45957</v>
      </c>
      <c r="G37" s="1">
        <v>45961</v>
      </c>
      <c r="H37" t="s">
        <v>190</v>
      </c>
      <c r="I37" t="s">
        <v>191</v>
      </c>
      <c r="J37" t="s">
        <v>44</v>
      </c>
      <c r="K37" t="s">
        <v>22</v>
      </c>
      <c r="L37" t="s">
        <v>45</v>
      </c>
      <c r="M37" t="s">
        <v>45</v>
      </c>
      <c r="N37" t="s">
        <v>25</v>
      </c>
      <c r="O37" t="s">
        <v>37</v>
      </c>
      <c r="P37" t="s">
        <v>46</v>
      </c>
      <c r="Q37" t="s">
        <v>47</v>
      </c>
      <c r="R37">
        <v>14905.84</v>
      </c>
      <c r="S37">
        <v>3</v>
      </c>
      <c r="T37">
        <v>0.3</v>
      </c>
      <c r="U37" t="str">
        <f>IF(Retail_data[[#This Row],[Sales]]&gt;30000,"High",IF(Retail_data[[#This Row],[Sales]]&gt;10000,"Medium","Low"))</f>
        <v>Medium</v>
      </c>
      <c r="V37" s="3">
        <f>Retail_data[[#This Row],[Profit]]/Retail_data[[#This Row],[Sales]]</f>
        <v>8.9159685063035688E-4</v>
      </c>
      <c r="W37">
        <v>13.29</v>
      </c>
      <c r="X37" t="s">
        <v>40</v>
      </c>
    </row>
    <row r="38" spans="1:24" ht="13.8" x14ac:dyDescent="0.25">
      <c r="A38" t="s">
        <v>192</v>
      </c>
      <c r="B38">
        <f>YEAR(Retail_data[[#This Row],[Order Date]])</f>
        <v>2025</v>
      </c>
      <c r="C38" t="str">
        <f>TEXT(Retail_data[[#This Row],[Order Date]],"mmmm")</f>
        <v>October</v>
      </c>
      <c r="D38">
        <f>MONTH(Retail_data[[#This Row],[Order Date]])</f>
        <v>10</v>
      </c>
      <c r="E38" t="str">
        <f>"Q"&amp;ROUNDUP(MONTH(Retail_data[[#This Row],[Order Date]])/3,0)</f>
        <v>Q4</v>
      </c>
      <c r="F38" s="1">
        <v>45958</v>
      </c>
      <c r="G38" s="1">
        <v>45962</v>
      </c>
      <c r="H38" t="s">
        <v>193</v>
      </c>
      <c r="I38" t="s">
        <v>194</v>
      </c>
      <c r="J38" t="s">
        <v>44</v>
      </c>
      <c r="K38" t="s">
        <v>22</v>
      </c>
      <c r="L38" t="s">
        <v>85</v>
      </c>
      <c r="M38" t="s">
        <v>86</v>
      </c>
      <c r="N38" t="s">
        <v>87</v>
      </c>
      <c r="O38" t="s">
        <v>57</v>
      </c>
      <c r="P38" t="s">
        <v>79</v>
      </c>
      <c r="Q38" t="s">
        <v>141</v>
      </c>
      <c r="R38">
        <v>13743.87</v>
      </c>
      <c r="S38">
        <v>5</v>
      </c>
      <c r="T38">
        <v>0.1</v>
      </c>
      <c r="U38" t="str">
        <f>IF(Retail_data[[#This Row],[Sales]]&gt;30000,"High",IF(Retail_data[[#This Row],[Sales]]&gt;10000,"Medium","Low"))</f>
        <v>Medium</v>
      </c>
      <c r="V38" s="3">
        <f>Retail_data[[#This Row],[Profit]]/Retail_data[[#This Row],[Sales]]</f>
        <v>7.908980512766782E-2</v>
      </c>
      <c r="W38">
        <v>1087</v>
      </c>
      <c r="X38" t="s">
        <v>48</v>
      </c>
    </row>
    <row r="39" spans="1:24" ht="13.8" x14ac:dyDescent="0.25">
      <c r="A39" t="s">
        <v>195</v>
      </c>
      <c r="B39">
        <f>YEAR(Retail_data[[#This Row],[Order Date]])</f>
        <v>2025</v>
      </c>
      <c r="C39" t="str">
        <f>TEXT(Retail_data[[#This Row],[Order Date]],"mmmm")</f>
        <v>October</v>
      </c>
      <c r="D39">
        <f>MONTH(Retail_data[[#This Row],[Order Date]])</f>
        <v>10</v>
      </c>
      <c r="E39" t="str">
        <f>"Q"&amp;ROUNDUP(MONTH(Retail_data[[#This Row],[Order Date]])/3,0)</f>
        <v>Q4</v>
      </c>
      <c r="F39" s="1">
        <v>45959</v>
      </c>
      <c r="G39" s="1">
        <v>45963</v>
      </c>
      <c r="H39" t="s">
        <v>196</v>
      </c>
      <c r="I39" t="s">
        <v>197</v>
      </c>
      <c r="J39" t="s">
        <v>33</v>
      </c>
      <c r="K39" t="s">
        <v>22</v>
      </c>
      <c r="L39" t="s">
        <v>45</v>
      </c>
      <c r="M39" t="s">
        <v>45</v>
      </c>
      <c r="N39" t="s">
        <v>25</v>
      </c>
      <c r="O39" t="s">
        <v>37</v>
      </c>
      <c r="P39" t="s">
        <v>52</v>
      </c>
      <c r="Q39" t="s">
        <v>198</v>
      </c>
      <c r="R39">
        <v>14008.57</v>
      </c>
      <c r="S39">
        <v>7</v>
      </c>
      <c r="T39">
        <v>0.1</v>
      </c>
      <c r="U39" t="str">
        <f>IF(Retail_data[[#This Row],[Sales]]&gt;30000,"High",IF(Retail_data[[#This Row],[Sales]]&gt;10000,"Medium","Low"))</f>
        <v>Medium</v>
      </c>
      <c r="V39" s="3">
        <f>Retail_data[[#This Row],[Profit]]/Retail_data[[#This Row],[Sales]]</f>
        <v>0.2270952709662728</v>
      </c>
      <c r="W39">
        <v>3181.28</v>
      </c>
      <c r="X39" t="s">
        <v>48</v>
      </c>
    </row>
    <row r="40" spans="1:24" ht="13.8" x14ac:dyDescent="0.25">
      <c r="A40" t="s">
        <v>199</v>
      </c>
      <c r="B40">
        <f>YEAR(Retail_data[[#This Row],[Order Date]])</f>
        <v>2025</v>
      </c>
      <c r="C40" t="str">
        <f>TEXT(Retail_data[[#This Row],[Order Date]],"mmmm")</f>
        <v>October</v>
      </c>
      <c r="D40">
        <f>MONTH(Retail_data[[#This Row],[Order Date]])</f>
        <v>10</v>
      </c>
      <c r="E40" t="str">
        <f>"Q"&amp;ROUNDUP(MONTH(Retail_data[[#This Row],[Order Date]])/3,0)</f>
        <v>Q4</v>
      </c>
      <c r="F40" s="1">
        <v>45960</v>
      </c>
      <c r="G40" s="1">
        <v>45964</v>
      </c>
      <c r="H40" t="s">
        <v>200</v>
      </c>
      <c r="I40" t="s">
        <v>201</v>
      </c>
      <c r="J40" t="s">
        <v>21</v>
      </c>
      <c r="K40" t="s">
        <v>22</v>
      </c>
      <c r="L40" t="s">
        <v>34</v>
      </c>
      <c r="M40" t="s">
        <v>35</v>
      </c>
      <c r="N40" t="s">
        <v>36</v>
      </c>
      <c r="O40" t="s">
        <v>37</v>
      </c>
      <c r="P40" t="s">
        <v>46</v>
      </c>
      <c r="Q40" t="s">
        <v>202</v>
      </c>
      <c r="R40">
        <v>10617.15</v>
      </c>
      <c r="S40">
        <v>5</v>
      </c>
      <c r="T40">
        <v>0.2</v>
      </c>
      <c r="U40" t="str">
        <f>IF(Retail_data[[#This Row],[Sales]]&gt;30000,"High",IF(Retail_data[[#This Row],[Sales]]&gt;10000,"Medium","Low"))</f>
        <v>Medium</v>
      </c>
      <c r="V40" s="3">
        <f>Retail_data[[#This Row],[Profit]]/Retail_data[[#This Row],[Sales]]</f>
        <v>6.2854909274146081E-2</v>
      </c>
      <c r="W40">
        <v>667.34</v>
      </c>
      <c r="X40" t="s">
        <v>48</v>
      </c>
    </row>
    <row r="41" spans="1:24" ht="13.8" x14ac:dyDescent="0.25">
      <c r="A41" t="s">
        <v>203</v>
      </c>
      <c r="B41">
        <f>YEAR(Retail_data[[#This Row],[Order Date]])</f>
        <v>2025</v>
      </c>
      <c r="C41" t="str">
        <f>TEXT(Retail_data[[#This Row],[Order Date]],"mmmm")</f>
        <v>October</v>
      </c>
      <c r="D41">
        <f>MONTH(Retail_data[[#This Row],[Order Date]])</f>
        <v>10</v>
      </c>
      <c r="E41" t="str">
        <f>"Q"&amp;ROUNDUP(MONTH(Retail_data[[#This Row],[Order Date]])/3,0)</f>
        <v>Q4</v>
      </c>
      <c r="F41" s="1">
        <v>45961</v>
      </c>
      <c r="G41" s="1">
        <v>45965</v>
      </c>
      <c r="H41" t="s">
        <v>204</v>
      </c>
      <c r="I41" t="s">
        <v>205</v>
      </c>
      <c r="J41" t="s">
        <v>33</v>
      </c>
      <c r="K41" t="s">
        <v>22</v>
      </c>
      <c r="L41" t="s">
        <v>85</v>
      </c>
      <c r="M41" t="s">
        <v>86</v>
      </c>
      <c r="N41" t="s">
        <v>87</v>
      </c>
      <c r="O41" t="s">
        <v>37</v>
      </c>
      <c r="P41" t="s">
        <v>52</v>
      </c>
      <c r="Q41" t="s">
        <v>206</v>
      </c>
      <c r="R41">
        <v>31514.91</v>
      </c>
      <c r="S41">
        <v>8</v>
      </c>
      <c r="T41">
        <v>0.2</v>
      </c>
      <c r="U41" t="str">
        <f>IF(Retail_data[[#This Row],[Sales]]&gt;30000,"High",IF(Retail_data[[#This Row],[Sales]]&gt;10000,"Medium","Low"))</f>
        <v>High</v>
      </c>
      <c r="V41" s="3">
        <f>Retail_data[[#This Row],[Profit]]/Retail_data[[#This Row],[Sales]]</f>
        <v>-2.8697527614706817E-2</v>
      </c>
      <c r="W41">
        <v>-904.4</v>
      </c>
      <c r="X41" t="s">
        <v>29</v>
      </c>
    </row>
    <row r="42" spans="1:24" ht="13.8" x14ac:dyDescent="0.25">
      <c r="A42" t="s">
        <v>207</v>
      </c>
      <c r="B42">
        <f>YEAR(Retail_data[[#This Row],[Order Date]])</f>
        <v>2025</v>
      </c>
      <c r="C42" t="str">
        <f>TEXT(Retail_data[[#This Row],[Order Date]],"mmmm")</f>
        <v>November</v>
      </c>
      <c r="D42">
        <f>MONTH(Retail_data[[#This Row],[Order Date]])</f>
        <v>11</v>
      </c>
      <c r="E42" t="str">
        <f>"Q"&amp;ROUNDUP(MONTH(Retail_data[[#This Row],[Order Date]])/3,0)</f>
        <v>Q4</v>
      </c>
      <c r="F42" s="1">
        <v>45962</v>
      </c>
      <c r="G42" s="1">
        <v>45966</v>
      </c>
      <c r="H42" t="s">
        <v>208</v>
      </c>
      <c r="I42" t="s">
        <v>209</v>
      </c>
      <c r="J42" t="s">
        <v>21</v>
      </c>
      <c r="K42" t="s">
        <v>22</v>
      </c>
      <c r="L42" t="s">
        <v>34</v>
      </c>
      <c r="M42" t="s">
        <v>35</v>
      </c>
      <c r="N42" t="s">
        <v>36</v>
      </c>
      <c r="O42" t="s">
        <v>57</v>
      </c>
      <c r="P42" t="s">
        <v>149</v>
      </c>
      <c r="Q42" t="s">
        <v>210</v>
      </c>
      <c r="R42">
        <v>31578.560000000001</v>
      </c>
      <c r="S42">
        <v>1</v>
      </c>
      <c r="T42">
        <v>0.1</v>
      </c>
      <c r="U42" t="str">
        <f>IF(Retail_data[[#This Row],[Sales]]&gt;30000,"High",IF(Retail_data[[#This Row],[Sales]]&gt;10000,"Medium","Low"))</f>
        <v>High</v>
      </c>
      <c r="V42" s="3">
        <f>Retail_data[[#This Row],[Profit]]/Retail_data[[#This Row],[Sales]]</f>
        <v>2.6955947326287203E-2</v>
      </c>
      <c r="W42">
        <v>851.23</v>
      </c>
      <c r="X42" t="s">
        <v>48</v>
      </c>
    </row>
    <row r="43" spans="1:24" ht="13.8" x14ac:dyDescent="0.25">
      <c r="A43" t="s">
        <v>211</v>
      </c>
      <c r="B43">
        <f>YEAR(Retail_data[[#This Row],[Order Date]])</f>
        <v>2025</v>
      </c>
      <c r="C43" t="str">
        <f>TEXT(Retail_data[[#This Row],[Order Date]],"mmmm")</f>
        <v>November</v>
      </c>
      <c r="D43">
        <f>MONTH(Retail_data[[#This Row],[Order Date]])</f>
        <v>11</v>
      </c>
      <c r="E43" t="str">
        <f>"Q"&amp;ROUNDUP(MONTH(Retail_data[[#This Row],[Order Date]])/3,0)</f>
        <v>Q4</v>
      </c>
      <c r="F43" s="1">
        <v>45963</v>
      </c>
      <c r="G43" s="1">
        <v>45967</v>
      </c>
      <c r="H43" t="s">
        <v>212</v>
      </c>
      <c r="I43" t="s">
        <v>213</v>
      </c>
      <c r="J43" t="s">
        <v>44</v>
      </c>
      <c r="K43" t="s">
        <v>22</v>
      </c>
      <c r="L43" t="s">
        <v>45</v>
      </c>
      <c r="M43" t="s">
        <v>45</v>
      </c>
      <c r="N43" t="s">
        <v>25</v>
      </c>
      <c r="O43" t="s">
        <v>26</v>
      </c>
      <c r="P43" t="s">
        <v>27</v>
      </c>
      <c r="Q43" t="s">
        <v>214</v>
      </c>
      <c r="R43">
        <v>10197.49</v>
      </c>
      <c r="S43">
        <v>2</v>
      </c>
      <c r="T43">
        <v>0.2</v>
      </c>
      <c r="U43" t="str">
        <f>IF(Retail_data[[#This Row],[Sales]]&gt;30000,"High",IF(Retail_data[[#This Row],[Sales]]&gt;10000,"Medium","Low"))</f>
        <v>Medium</v>
      </c>
      <c r="V43" s="3">
        <f>Retail_data[[#This Row],[Profit]]/Retail_data[[#This Row],[Sales]]</f>
        <v>3.0061319010854633E-2</v>
      </c>
      <c r="W43">
        <v>306.55</v>
      </c>
      <c r="X43" t="s">
        <v>40</v>
      </c>
    </row>
    <row r="44" spans="1:24" ht="13.8" x14ac:dyDescent="0.25">
      <c r="A44" t="s">
        <v>215</v>
      </c>
      <c r="B44">
        <f>YEAR(Retail_data[[#This Row],[Order Date]])</f>
        <v>2025</v>
      </c>
      <c r="C44" t="str">
        <f>TEXT(Retail_data[[#This Row],[Order Date]],"mmmm")</f>
        <v>November</v>
      </c>
      <c r="D44">
        <f>MONTH(Retail_data[[#This Row],[Order Date]])</f>
        <v>11</v>
      </c>
      <c r="E44" t="str">
        <f>"Q"&amp;ROUNDUP(MONTH(Retail_data[[#This Row],[Order Date]])/3,0)</f>
        <v>Q4</v>
      </c>
      <c r="F44" s="1">
        <v>45964</v>
      </c>
      <c r="G44" s="1">
        <v>45968</v>
      </c>
      <c r="H44" t="s">
        <v>216</v>
      </c>
      <c r="I44" t="s">
        <v>217</v>
      </c>
      <c r="J44" t="s">
        <v>21</v>
      </c>
      <c r="K44" t="s">
        <v>22</v>
      </c>
      <c r="L44" t="s">
        <v>45</v>
      </c>
      <c r="M44" t="s">
        <v>45</v>
      </c>
      <c r="N44" t="s">
        <v>25</v>
      </c>
      <c r="O44" t="s">
        <v>57</v>
      </c>
      <c r="P44" t="s">
        <v>79</v>
      </c>
      <c r="Q44" t="s">
        <v>80</v>
      </c>
      <c r="R44">
        <v>19893.599999999999</v>
      </c>
      <c r="S44">
        <v>8</v>
      </c>
      <c r="T44">
        <v>0</v>
      </c>
      <c r="U44" t="str">
        <f>IF(Retail_data[[#This Row],[Sales]]&gt;30000,"High",IF(Retail_data[[#This Row],[Sales]]&gt;10000,"Medium","Low"))</f>
        <v>Medium</v>
      </c>
      <c r="V44" s="3">
        <f>Retail_data[[#This Row],[Profit]]/Retail_data[[#This Row],[Sales]]</f>
        <v>0.15203834399002697</v>
      </c>
      <c r="W44">
        <v>3024.59</v>
      </c>
      <c r="X44" t="s">
        <v>29</v>
      </c>
    </row>
    <row r="45" spans="1:24" ht="13.8" x14ac:dyDescent="0.25">
      <c r="A45" t="s">
        <v>218</v>
      </c>
      <c r="B45">
        <f>YEAR(Retail_data[[#This Row],[Order Date]])</f>
        <v>2025</v>
      </c>
      <c r="C45" t="str">
        <f>TEXT(Retail_data[[#This Row],[Order Date]],"mmmm")</f>
        <v>November</v>
      </c>
      <c r="D45">
        <f>MONTH(Retail_data[[#This Row],[Order Date]])</f>
        <v>11</v>
      </c>
      <c r="E45" t="str">
        <f>"Q"&amp;ROUNDUP(MONTH(Retail_data[[#This Row],[Order Date]])/3,0)</f>
        <v>Q4</v>
      </c>
      <c r="F45" s="1">
        <v>45965</v>
      </c>
      <c r="G45" s="1">
        <v>45969</v>
      </c>
      <c r="H45" t="s">
        <v>219</v>
      </c>
      <c r="I45" t="s">
        <v>220</v>
      </c>
      <c r="J45" t="s">
        <v>21</v>
      </c>
      <c r="K45" t="s">
        <v>22</v>
      </c>
      <c r="L45" t="s">
        <v>34</v>
      </c>
      <c r="M45" t="s">
        <v>35</v>
      </c>
      <c r="N45" t="s">
        <v>36</v>
      </c>
      <c r="O45" t="s">
        <v>26</v>
      </c>
      <c r="P45" t="s">
        <v>70</v>
      </c>
      <c r="Q45" t="s">
        <v>133</v>
      </c>
      <c r="R45">
        <v>12792.37</v>
      </c>
      <c r="S45">
        <v>4</v>
      </c>
      <c r="T45">
        <v>0.3</v>
      </c>
      <c r="U45" t="str">
        <f>IF(Retail_data[[#This Row],[Sales]]&gt;30000,"High",IF(Retail_data[[#This Row],[Sales]]&gt;10000,"Medium","Low"))</f>
        <v>Medium</v>
      </c>
      <c r="V45" s="3">
        <f>Retail_data[[#This Row],[Profit]]/Retail_data[[#This Row],[Sales]]</f>
        <v>-5.2752539208919064E-2</v>
      </c>
      <c r="W45">
        <v>-674.83</v>
      </c>
      <c r="X45" t="s">
        <v>40</v>
      </c>
    </row>
    <row r="46" spans="1:24" ht="13.8" x14ac:dyDescent="0.25">
      <c r="A46" t="s">
        <v>221</v>
      </c>
      <c r="B46">
        <f>YEAR(Retail_data[[#This Row],[Order Date]])</f>
        <v>2025</v>
      </c>
      <c r="C46" t="str">
        <f>TEXT(Retail_data[[#This Row],[Order Date]],"mmmm")</f>
        <v>November</v>
      </c>
      <c r="D46">
        <f>MONTH(Retail_data[[#This Row],[Order Date]])</f>
        <v>11</v>
      </c>
      <c r="E46" t="str">
        <f>"Q"&amp;ROUNDUP(MONTH(Retail_data[[#This Row],[Order Date]])/3,0)</f>
        <v>Q4</v>
      </c>
      <c r="F46" s="1">
        <v>45966</v>
      </c>
      <c r="G46" s="1">
        <v>45970</v>
      </c>
      <c r="H46" t="s">
        <v>222</v>
      </c>
      <c r="I46" t="s">
        <v>223</v>
      </c>
      <c r="J46" t="s">
        <v>44</v>
      </c>
      <c r="K46" t="s">
        <v>22</v>
      </c>
      <c r="L46" t="s">
        <v>45</v>
      </c>
      <c r="M46" t="s">
        <v>45</v>
      </c>
      <c r="N46" t="s">
        <v>25</v>
      </c>
      <c r="O46" t="s">
        <v>26</v>
      </c>
      <c r="P46" t="s">
        <v>27</v>
      </c>
      <c r="Q46" t="s">
        <v>168</v>
      </c>
      <c r="R46">
        <v>13079.43</v>
      </c>
      <c r="S46">
        <v>6</v>
      </c>
      <c r="T46">
        <v>0.2</v>
      </c>
      <c r="U46" t="str">
        <f>IF(Retail_data[[#This Row],[Sales]]&gt;30000,"High",IF(Retail_data[[#This Row],[Sales]]&gt;10000,"Medium","Low"))</f>
        <v>Medium</v>
      </c>
      <c r="V46" s="3">
        <f>Retail_data[[#This Row],[Profit]]/Retail_data[[#This Row],[Sales]]</f>
        <v>0.19390523898977249</v>
      </c>
      <c r="W46">
        <v>2536.17</v>
      </c>
      <c r="X46" t="s">
        <v>48</v>
      </c>
    </row>
    <row r="47" spans="1:24" ht="13.8" x14ac:dyDescent="0.25">
      <c r="A47" t="s">
        <v>224</v>
      </c>
      <c r="B47">
        <f>YEAR(Retail_data[[#This Row],[Order Date]])</f>
        <v>2025</v>
      </c>
      <c r="C47" t="str">
        <f>TEXT(Retail_data[[#This Row],[Order Date]],"mmmm")</f>
        <v>November</v>
      </c>
      <c r="D47">
        <f>MONTH(Retail_data[[#This Row],[Order Date]])</f>
        <v>11</v>
      </c>
      <c r="E47" t="str">
        <f>"Q"&amp;ROUNDUP(MONTH(Retail_data[[#This Row],[Order Date]])/3,0)</f>
        <v>Q4</v>
      </c>
      <c r="F47" s="1">
        <v>45967</v>
      </c>
      <c r="G47" s="1">
        <v>45971</v>
      </c>
      <c r="H47" t="s">
        <v>225</v>
      </c>
      <c r="I47" t="s">
        <v>226</v>
      </c>
      <c r="J47" t="s">
        <v>33</v>
      </c>
      <c r="K47" t="s">
        <v>22</v>
      </c>
      <c r="L47" t="s">
        <v>23</v>
      </c>
      <c r="M47" t="s">
        <v>24</v>
      </c>
      <c r="N47" t="s">
        <v>25</v>
      </c>
      <c r="O47" t="s">
        <v>57</v>
      </c>
      <c r="P47" t="s">
        <v>149</v>
      </c>
      <c r="Q47" t="s">
        <v>227</v>
      </c>
      <c r="R47">
        <v>43602.27</v>
      </c>
      <c r="S47">
        <v>8</v>
      </c>
      <c r="T47">
        <v>0.1</v>
      </c>
      <c r="U47" t="str">
        <f>IF(Retail_data[[#This Row],[Sales]]&gt;30000,"High",IF(Retail_data[[#This Row],[Sales]]&gt;10000,"Medium","Low"))</f>
        <v>High</v>
      </c>
      <c r="V47" s="3">
        <f>Retail_data[[#This Row],[Profit]]/Retail_data[[#This Row],[Sales]]</f>
        <v>0.10922573526561806</v>
      </c>
      <c r="W47">
        <v>4762.49</v>
      </c>
      <c r="X47" t="s">
        <v>48</v>
      </c>
    </row>
    <row r="48" spans="1:24" ht="13.8" x14ac:dyDescent="0.25">
      <c r="A48" t="s">
        <v>228</v>
      </c>
      <c r="B48">
        <f>YEAR(Retail_data[[#This Row],[Order Date]])</f>
        <v>2025</v>
      </c>
      <c r="C48" t="str">
        <f>TEXT(Retail_data[[#This Row],[Order Date]],"mmmm")</f>
        <v>November</v>
      </c>
      <c r="D48">
        <f>MONTH(Retail_data[[#This Row],[Order Date]])</f>
        <v>11</v>
      </c>
      <c r="E48" t="str">
        <f>"Q"&amp;ROUNDUP(MONTH(Retail_data[[#This Row],[Order Date]])/3,0)</f>
        <v>Q4</v>
      </c>
      <c r="F48" s="1">
        <v>45968</v>
      </c>
      <c r="G48" s="1">
        <v>45972</v>
      </c>
      <c r="H48" t="s">
        <v>229</v>
      </c>
      <c r="I48" t="s">
        <v>230</v>
      </c>
      <c r="J48" t="s">
        <v>21</v>
      </c>
      <c r="K48" t="s">
        <v>22</v>
      </c>
      <c r="L48" t="s">
        <v>67</v>
      </c>
      <c r="M48" t="s">
        <v>68</v>
      </c>
      <c r="N48" t="s">
        <v>69</v>
      </c>
      <c r="O48" t="s">
        <v>26</v>
      </c>
      <c r="P48" t="s">
        <v>70</v>
      </c>
      <c r="Q48" t="s">
        <v>231</v>
      </c>
      <c r="R48">
        <v>47458.04</v>
      </c>
      <c r="S48">
        <v>5</v>
      </c>
      <c r="T48">
        <v>0</v>
      </c>
      <c r="U48" t="str">
        <f>IF(Retail_data[[#This Row],[Sales]]&gt;30000,"High",IF(Retail_data[[#This Row],[Sales]]&gt;10000,"Medium","Low"))</f>
        <v>High</v>
      </c>
      <c r="V48" s="3">
        <f>Retail_data[[#This Row],[Profit]]/Retail_data[[#This Row],[Sales]]</f>
        <v>0.29864254823840175</v>
      </c>
      <c r="W48">
        <v>14172.99</v>
      </c>
      <c r="X48" t="s">
        <v>40</v>
      </c>
    </row>
    <row r="49" spans="1:24" ht="13.8" x14ac:dyDescent="0.25">
      <c r="A49" t="s">
        <v>232</v>
      </c>
      <c r="B49">
        <f>YEAR(Retail_data[[#This Row],[Order Date]])</f>
        <v>2025</v>
      </c>
      <c r="C49" t="str">
        <f>TEXT(Retail_data[[#This Row],[Order Date]],"mmmm")</f>
        <v>November</v>
      </c>
      <c r="D49">
        <f>MONTH(Retail_data[[#This Row],[Order Date]])</f>
        <v>11</v>
      </c>
      <c r="E49" t="str">
        <f>"Q"&amp;ROUNDUP(MONTH(Retail_data[[#This Row],[Order Date]])/3,0)</f>
        <v>Q4</v>
      </c>
      <c r="F49" s="1">
        <v>45969</v>
      </c>
      <c r="G49" s="1">
        <v>45973</v>
      </c>
      <c r="H49" t="s">
        <v>233</v>
      </c>
      <c r="I49" t="s">
        <v>234</v>
      </c>
      <c r="J49" t="s">
        <v>44</v>
      </c>
      <c r="K49" t="s">
        <v>22</v>
      </c>
      <c r="L49" t="s">
        <v>85</v>
      </c>
      <c r="M49" t="s">
        <v>86</v>
      </c>
      <c r="N49" t="s">
        <v>87</v>
      </c>
      <c r="O49" t="s">
        <v>26</v>
      </c>
      <c r="P49" t="s">
        <v>92</v>
      </c>
      <c r="Q49" t="s">
        <v>235</v>
      </c>
      <c r="R49">
        <v>21886.58</v>
      </c>
      <c r="S49">
        <v>1</v>
      </c>
      <c r="T49">
        <v>0.1</v>
      </c>
      <c r="U49" t="str">
        <f>IF(Retail_data[[#This Row],[Sales]]&gt;30000,"High",IF(Retail_data[[#This Row],[Sales]]&gt;10000,"Medium","Low"))</f>
        <v>Medium</v>
      </c>
      <c r="V49" s="3">
        <f>Retail_data[[#This Row],[Profit]]/Retail_data[[#This Row],[Sales]]</f>
        <v>0.16987624379871136</v>
      </c>
      <c r="W49">
        <v>3718.01</v>
      </c>
      <c r="X49" t="s">
        <v>81</v>
      </c>
    </row>
    <row r="50" spans="1:24" ht="13.8" x14ac:dyDescent="0.25">
      <c r="A50" t="s">
        <v>236</v>
      </c>
      <c r="B50">
        <f>YEAR(Retail_data[[#This Row],[Order Date]])</f>
        <v>2025</v>
      </c>
      <c r="C50" t="str">
        <f>TEXT(Retail_data[[#This Row],[Order Date]],"mmmm")</f>
        <v>November</v>
      </c>
      <c r="D50">
        <f>MONTH(Retail_data[[#This Row],[Order Date]])</f>
        <v>11</v>
      </c>
      <c r="E50" t="str">
        <f>"Q"&amp;ROUNDUP(MONTH(Retail_data[[#This Row],[Order Date]])/3,0)</f>
        <v>Q4</v>
      </c>
      <c r="F50" s="1">
        <v>45970</v>
      </c>
      <c r="G50" s="1">
        <v>45974</v>
      </c>
      <c r="H50" t="s">
        <v>237</v>
      </c>
      <c r="I50" t="s">
        <v>238</v>
      </c>
      <c r="J50" t="s">
        <v>21</v>
      </c>
      <c r="K50" t="s">
        <v>22</v>
      </c>
      <c r="L50" t="s">
        <v>85</v>
      </c>
      <c r="M50" t="s">
        <v>86</v>
      </c>
      <c r="N50" t="s">
        <v>87</v>
      </c>
      <c r="O50" t="s">
        <v>26</v>
      </c>
      <c r="P50" t="s">
        <v>70</v>
      </c>
      <c r="Q50" t="s">
        <v>239</v>
      </c>
      <c r="R50">
        <v>46437.08</v>
      </c>
      <c r="S50">
        <v>5</v>
      </c>
      <c r="T50">
        <v>0.3</v>
      </c>
      <c r="U50" t="str">
        <f>IF(Retail_data[[#This Row],[Sales]]&gt;30000,"High",IF(Retail_data[[#This Row],[Sales]]&gt;10000,"Medium","Low"))</f>
        <v>High</v>
      </c>
      <c r="V50" s="3">
        <f>Retail_data[[#This Row],[Profit]]/Retail_data[[#This Row],[Sales]]</f>
        <v>8.616174832698352E-3</v>
      </c>
      <c r="W50">
        <v>400.11</v>
      </c>
      <c r="X50" t="s">
        <v>48</v>
      </c>
    </row>
    <row r="51" spans="1:24" ht="13.8" x14ac:dyDescent="0.25">
      <c r="A51" t="s">
        <v>240</v>
      </c>
      <c r="B51">
        <f>YEAR(Retail_data[[#This Row],[Order Date]])</f>
        <v>2025</v>
      </c>
      <c r="C51" t="str">
        <f>TEXT(Retail_data[[#This Row],[Order Date]],"mmmm")</f>
        <v>November</v>
      </c>
      <c r="D51">
        <f>MONTH(Retail_data[[#This Row],[Order Date]])</f>
        <v>11</v>
      </c>
      <c r="E51" t="str">
        <f>"Q"&amp;ROUNDUP(MONTH(Retail_data[[#This Row],[Order Date]])/3,0)</f>
        <v>Q4</v>
      </c>
      <c r="F51" s="1">
        <v>45971</v>
      </c>
      <c r="G51" s="1">
        <v>45975</v>
      </c>
      <c r="H51" t="s">
        <v>241</v>
      </c>
      <c r="I51" t="s">
        <v>242</v>
      </c>
      <c r="J51" t="s">
        <v>44</v>
      </c>
      <c r="K51" t="s">
        <v>22</v>
      </c>
      <c r="L51" t="s">
        <v>45</v>
      </c>
      <c r="M51" t="s">
        <v>45</v>
      </c>
      <c r="N51" t="s">
        <v>25</v>
      </c>
      <c r="O51" t="s">
        <v>57</v>
      </c>
      <c r="P51" t="s">
        <v>149</v>
      </c>
      <c r="Q51" t="s">
        <v>150</v>
      </c>
      <c r="R51">
        <v>44565.26</v>
      </c>
      <c r="S51">
        <v>4</v>
      </c>
      <c r="T51">
        <v>0</v>
      </c>
      <c r="U51" t="str">
        <f>IF(Retail_data[[#This Row],[Sales]]&gt;30000,"High",IF(Retail_data[[#This Row],[Sales]]&gt;10000,"Medium","Low"))</f>
        <v>High</v>
      </c>
      <c r="V51" s="3">
        <f>Retail_data[[#This Row],[Profit]]/Retail_data[[#This Row],[Sales]]</f>
        <v>6.3869704787989562E-2</v>
      </c>
      <c r="W51">
        <v>2846.37</v>
      </c>
      <c r="X51" t="s">
        <v>29</v>
      </c>
    </row>
    <row r="52" spans="1:24" ht="13.8" x14ac:dyDescent="0.25">
      <c r="A52" t="s">
        <v>243</v>
      </c>
      <c r="B52">
        <f>YEAR(Retail_data[[#This Row],[Order Date]])</f>
        <v>2025</v>
      </c>
      <c r="C52" t="str">
        <f>TEXT(Retail_data[[#This Row],[Order Date]],"mmmm")</f>
        <v>November</v>
      </c>
      <c r="D52">
        <f>MONTH(Retail_data[[#This Row],[Order Date]])</f>
        <v>11</v>
      </c>
      <c r="E52" t="str">
        <f>"Q"&amp;ROUNDUP(MONTH(Retail_data[[#This Row],[Order Date]])/3,0)</f>
        <v>Q4</v>
      </c>
      <c r="F52" s="1">
        <v>45972</v>
      </c>
      <c r="G52" s="1">
        <v>45976</v>
      </c>
      <c r="H52" t="s">
        <v>244</v>
      </c>
      <c r="I52" t="s">
        <v>245</v>
      </c>
      <c r="J52" t="s">
        <v>21</v>
      </c>
      <c r="K52" t="s">
        <v>22</v>
      </c>
      <c r="L52" t="s">
        <v>45</v>
      </c>
      <c r="M52" t="s">
        <v>45</v>
      </c>
      <c r="N52" t="s">
        <v>25</v>
      </c>
      <c r="O52" t="s">
        <v>26</v>
      </c>
      <c r="P52" t="s">
        <v>92</v>
      </c>
      <c r="Q52" t="s">
        <v>246</v>
      </c>
      <c r="R52">
        <v>33250.21</v>
      </c>
      <c r="S52">
        <v>2</v>
      </c>
      <c r="T52">
        <v>0.3</v>
      </c>
      <c r="U52" t="str">
        <f>IF(Retail_data[[#This Row],[Sales]]&gt;30000,"High",IF(Retail_data[[#This Row],[Sales]]&gt;10000,"Medium","Low"))</f>
        <v>High</v>
      </c>
      <c r="V52" s="3">
        <f>Retail_data[[#This Row],[Profit]]/Retail_data[[#This Row],[Sales]]</f>
        <v>1.3675703100822523E-2</v>
      </c>
      <c r="W52">
        <v>454.72</v>
      </c>
      <c r="X52" t="s">
        <v>81</v>
      </c>
    </row>
    <row r="53" spans="1:24" ht="13.8" x14ac:dyDescent="0.25">
      <c r="A53" t="s">
        <v>247</v>
      </c>
      <c r="B53">
        <f>YEAR(Retail_data[[#This Row],[Order Date]])</f>
        <v>2025</v>
      </c>
      <c r="C53" t="str">
        <f>TEXT(Retail_data[[#This Row],[Order Date]],"mmmm")</f>
        <v>November</v>
      </c>
      <c r="D53">
        <f>MONTH(Retail_data[[#This Row],[Order Date]])</f>
        <v>11</v>
      </c>
      <c r="E53" t="str">
        <f>"Q"&amp;ROUNDUP(MONTH(Retail_data[[#This Row],[Order Date]])/3,0)</f>
        <v>Q4</v>
      </c>
      <c r="F53" s="1">
        <v>45973</v>
      </c>
      <c r="G53" s="1">
        <v>45977</v>
      </c>
      <c r="H53" t="s">
        <v>248</v>
      </c>
      <c r="I53" t="s">
        <v>249</v>
      </c>
      <c r="J53" t="s">
        <v>21</v>
      </c>
      <c r="K53" t="s">
        <v>22</v>
      </c>
      <c r="L53" t="s">
        <v>85</v>
      </c>
      <c r="M53" t="s">
        <v>86</v>
      </c>
      <c r="N53" t="s">
        <v>87</v>
      </c>
      <c r="O53" t="s">
        <v>57</v>
      </c>
      <c r="P53" t="s">
        <v>58</v>
      </c>
      <c r="Q53" t="s">
        <v>250</v>
      </c>
      <c r="R53">
        <v>12937.28</v>
      </c>
      <c r="S53">
        <v>5</v>
      </c>
      <c r="T53">
        <v>0.1</v>
      </c>
      <c r="U53" t="str">
        <f>IF(Retail_data[[#This Row],[Sales]]&gt;30000,"High",IF(Retail_data[[#This Row],[Sales]]&gt;10000,"Medium","Low"))</f>
        <v>Medium</v>
      </c>
      <c r="V53" s="3">
        <f>Retail_data[[#This Row],[Profit]]/Retail_data[[#This Row],[Sales]]</f>
        <v>9.0424726062974581E-2</v>
      </c>
      <c r="W53">
        <v>1169.8499999999999</v>
      </c>
      <c r="X53" t="s">
        <v>48</v>
      </c>
    </row>
    <row r="54" spans="1:24" ht="13.8" x14ac:dyDescent="0.25">
      <c r="A54" t="s">
        <v>251</v>
      </c>
      <c r="B54">
        <f>YEAR(Retail_data[[#This Row],[Order Date]])</f>
        <v>2025</v>
      </c>
      <c r="C54" t="str">
        <f>TEXT(Retail_data[[#This Row],[Order Date]],"mmmm")</f>
        <v>November</v>
      </c>
      <c r="D54">
        <f>MONTH(Retail_data[[#This Row],[Order Date]])</f>
        <v>11</v>
      </c>
      <c r="E54" t="str">
        <f>"Q"&amp;ROUNDUP(MONTH(Retail_data[[#This Row],[Order Date]])/3,0)</f>
        <v>Q4</v>
      </c>
      <c r="F54" s="1">
        <v>45974</v>
      </c>
      <c r="G54" s="1">
        <v>45978</v>
      </c>
      <c r="H54" t="s">
        <v>252</v>
      </c>
      <c r="I54" t="s">
        <v>253</v>
      </c>
      <c r="J54" t="s">
        <v>33</v>
      </c>
      <c r="K54" t="s">
        <v>22</v>
      </c>
      <c r="L54" t="s">
        <v>85</v>
      </c>
      <c r="M54" t="s">
        <v>86</v>
      </c>
      <c r="N54" t="s">
        <v>87</v>
      </c>
      <c r="O54" t="s">
        <v>57</v>
      </c>
      <c r="P54" t="s">
        <v>79</v>
      </c>
      <c r="Q54" t="s">
        <v>254</v>
      </c>
      <c r="R54">
        <v>36522.550000000003</v>
      </c>
      <c r="S54">
        <v>3</v>
      </c>
      <c r="T54">
        <v>0</v>
      </c>
      <c r="U54" t="str">
        <f>IF(Retail_data[[#This Row],[Sales]]&gt;30000,"High",IF(Retail_data[[#This Row],[Sales]]&gt;10000,"Medium","Low"))</f>
        <v>High</v>
      </c>
      <c r="V54" s="3">
        <f>Retail_data[[#This Row],[Profit]]/Retail_data[[#This Row],[Sales]]</f>
        <v>0.11088081199149566</v>
      </c>
      <c r="W54">
        <v>4049.65</v>
      </c>
      <c r="X54" t="s">
        <v>40</v>
      </c>
    </row>
    <row r="55" spans="1:24" ht="13.8" x14ac:dyDescent="0.25">
      <c r="A55" t="s">
        <v>255</v>
      </c>
      <c r="B55">
        <f>YEAR(Retail_data[[#This Row],[Order Date]])</f>
        <v>2025</v>
      </c>
      <c r="C55" t="str">
        <f>TEXT(Retail_data[[#This Row],[Order Date]],"mmmm")</f>
        <v>November</v>
      </c>
      <c r="D55">
        <f>MONTH(Retail_data[[#This Row],[Order Date]])</f>
        <v>11</v>
      </c>
      <c r="E55" t="str">
        <f>"Q"&amp;ROUNDUP(MONTH(Retail_data[[#This Row],[Order Date]])/3,0)</f>
        <v>Q4</v>
      </c>
      <c r="F55" s="1">
        <v>45975</v>
      </c>
      <c r="G55" s="1">
        <v>45979</v>
      </c>
      <c r="H55" t="s">
        <v>256</v>
      </c>
      <c r="I55" t="s">
        <v>257</v>
      </c>
      <c r="J55" t="s">
        <v>21</v>
      </c>
      <c r="K55" t="s">
        <v>22</v>
      </c>
      <c r="L55" t="s">
        <v>34</v>
      </c>
      <c r="M55" t="s">
        <v>35</v>
      </c>
      <c r="N55" t="s">
        <v>36</v>
      </c>
      <c r="O55" t="s">
        <v>57</v>
      </c>
      <c r="P55" t="s">
        <v>79</v>
      </c>
      <c r="Q55" t="s">
        <v>258</v>
      </c>
      <c r="R55">
        <v>31060.39</v>
      </c>
      <c r="S55">
        <v>8</v>
      </c>
      <c r="T55">
        <v>0.1</v>
      </c>
      <c r="U55" t="str">
        <f>IF(Retail_data[[#This Row],[Sales]]&gt;30000,"High",IF(Retail_data[[#This Row],[Sales]]&gt;10000,"Medium","Low"))</f>
        <v>High</v>
      </c>
      <c r="V55" s="3">
        <f>Retail_data[[#This Row],[Profit]]/Retail_data[[#This Row],[Sales]]</f>
        <v>2.3129780405204185E-2</v>
      </c>
      <c r="W55">
        <v>718.42</v>
      </c>
      <c r="X55" t="s">
        <v>29</v>
      </c>
    </row>
    <row r="56" spans="1:24" ht="13.8" x14ac:dyDescent="0.25">
      <c r="A56" t="s">
        <v>259</v>
      </c>
      <c r="B56">
        <f>YEAR(Retail_data[[#This Row],[Order Date]])</f>
        <v>2025</v>
      </c>
      <c r="C56" t="str">
        <f>TEXT(Retail_data[[#This Row],[Order Date]],"mmmm")</f>
        <v>November</v>
      </c>
      <c r="D56">
        <f>MONTH(Retail_data[[#This Row],[Order Date]])</f>
        <v>11</v>
      </c>
      <c r="E56" t="str">
        <f>"Q"&amp;ROUNDUP(MONTH(Retail_data[[#This Row],[Order Date]])/3,0)</f>
        <v>Q4</v>
      </c>
      <c r="F56" s="1">
        <v>45976</v>
      </c>
      <c r="G56" s="1">
        <v>45980</v>
      </c>
      <c r="H56" t="s">
        <v>260</v>
      </c>
      <c r="I56" t="s">
        <v>261</v>
      </c>
      <c r="J56" t="s">
        <v>44</v>
      </c>
      <c r="K56" t="s">
        <v>22</v>
      </c>
      <c r="L56" t="s">
        <v>23</v>
      </c>
      <c r="M56" t="s">
        <v>24</v>
      </c>
      <c r="N56" t="s">
        <v>25</v>
      </c>
      <c r="O56" t="s">
        <v>57</v>
      </c>
      <c r="P56" t="s">
        <v>149</v>
      </c>
      <c r="Q56" t="s">
        <v>262</v>
      </c>
      <c r="R56">
        <v>37462.94</v>
      </c>
      <c r="S56">
        <v>1</v>
      </c>
      <c r="T56">
        <v>0</v>
      </c>
      <c r="U56" t="str">
        <f>IF(Retail_data[[#This Row],[Sales]]&gt;30000,"High",IF(Retail_data[[#This Row],[Sales]]&gt;10000,"Medium","Low"))</f>
        <v>High</v>
      </c>
      <c r="V56" s="3">
        <f>Retail_data[[#This Row],[Profit]]/Retail_data[[#This Row],[Sales]]</f>
        <v>0.29351433710221353</v>
      </c>
      <c r="W56">
        <v>10995.91</v>
      </c>
      <c r="X56" t="s">
        <v>40</v>
      </c>
    </row>
    <row r="57" spans="1:24" ht="13.8" x14ac:dyDescent="0.25">
      <c r="A57" t="s">
        <v>263</v>
      </c>
      <c r="B57">
        <f>YEAR(Retail_data[[#This Row],[Order Date]])</f>
        <v>2025</v>
      </c>
      <c r="C57" t="str">
        <f>TEXT(Retail_data[[#This Row],[Order Date]],"mmmm")</f>
        <v>November</v>
      </c>
      <c r="D57">
        <f>MONTH(Retail_data[[#This Row],[Order Date]])</f>
        <v>11</v>
      </c>
      <c r="E57" t="str">
        <f>"Q"&amp;ROUNDUP(MONTH(Retail_data[[#This Row],[Order Date]])/3,0)</f>
        <v>Q4</v>
      </c>
      <c r="F57" s="1">
        <v>45977</v>
      </c>
      <c r="G57" s="1">
        <v>45981</v>
      </c>
      <c r="H57" t="s">
        <v>264</v>
      </c>
      <c r="I57" t="s">
        <v>265</v>
      </c>
      <c r="J57" t="s">
        <v>21</v>
      </c>
      <c r="K57" t="s">
        <v>22</v>
      </c>
      <c r="L57" t="s">
        <v>67</v>
      </c>
      <c r="M57" t="s">
        <v>68</v>
      </c>
      <c r="N57" t="s">
        <v>69</v>
      </c>
      <c r="O57" t="s">
        <v>26</v>
      </c>
      <c r="P57" t="s">
        <v>27</v>
      </c>
      <c r="Q57" t="s">
        <v>266</v>
      </c>
      <c r="R57">
        <v>15020.31</v>
      </c>
      <c r="S57">
        <v>8</v>
      </c>
      <c r="T57">
        <v>0.2</v>
      </c>
      <c r="U57" t="str">
        <f>IF(Retail_data[[#This Row],[Sales]]&gt;30000,"High",IF(Retail_data[[#This Row],[Sales]]&gt;10000,"Medium","Low"))</f>
        <v>Medium</v>
      </c>
      <c r="V57" s="3">
        <f>Retail_data[[#This Row],[Profit]]/Retail_data[[#This Row],[Sales]]</f>
        <v>-7.9885168814758153E-3</v>
      </c>
      <c r="W57">
        <v>-119.99</v>
      </c>
      <c r="X57" t="s">
        <v>29</v>
      </c>
    </row>
    <row r="58" spans="1:24" ht="13.8" x14ac:dyDescent="0.25">
      <c r="A58" t="s">
        <v>267</v>
      </c>
      <c r="B58">
        <f>YEAR(Retail_data[[#This Row],[Order Date]])</f>
        <v>2025</v>
      </c>
      <c r="C58" t="str">
        <f>TEXT(Retail_data[[#This Row],[Order Date]],"mmmm")</f>
        <v>November</v>
      </c>
      <c r="D58">
        <f>MONTH(Retail_data[[#This Row],[Order Date]])</f>
        <v>11</v>
      </c>
      <c r="E58" t="str">
        <f>"Q"&amp;ROUNDUP(MONTH(Retail_data[[#This Row],[Order Date]])/3,0)</f>
        <v>Q4</v>
      </c>
      <c r="F58" s="1">
        <v>45978</v>
      </c>
      <c r="G58" s="1">
        <v>45982</v>
      </c>
      <c r="H58" t="s">
        <v>268</v>
      </c>
      <c r="I58" t="s">
        <v>269</v>
      </c>
      <c r="J58" t="s">
        <v>21</v>
      </c>
      <c r="K58" t="s">
        <v>22</v>
      </c>
      <c r="L58" t="s">
        <v>85</v>
      </c>
      <c r="M58" t="s">
        <v>86</v>
      </c>
      <c r="N58" t="s">
        <v>87</v>
      </c>
      <c r="O58" t="s">
        <v>37</v>
      </c>
      <c r="P58" t="s">
        <v>38</v>
      </c>
      <c r="Q58" t="s">
        <v>270</v>
      </c>
      <c r="R58">
        <v>43902.83</v>
      </c>
      <c r="S58">
        <v>8</v>
      </c>
      <c r="T58">
        <v>0.1</v>
      </c>
      <c r="U58" t="str">
        <f>IF(Retail_data[[#This Row],[Sales]]&gt;30000,"High",IF(Retail_data[[#This Row],[Sales]]&gt;10000,"Medium","Low"))</f>
        <v>High</v>
      </c>
      <c r="V58" s="3">
        <f>Retail_data[[#This Row],[Profit]]/Retail_data[[#This Row],[Sales]]</f>
        <v>1.4344177812683146E-2</v>
      </c>
      <c r="W58">
        <v>629.75</v>
      </c>
      <c r="X58" t="s">
        <v>81</v>
      </c>
    </row>
    <row r="59" spans="1:24" ht="13.8" x14ac:dyDescent="0.25">
      <c r="A59" t="s">
        <v>271</v>
      </c>
      <c r="B59">
        <f>YEAR(Retail_data[[#This Row],[Order Date]])</f>
        <v>2025</v>
      </c>
      <c r="C59" t="str">
        <f>TEXT(Retail_data[[#This Row],[Order Date]],"mmmm")</f>
        <v>November</v>
      </c>
      <c r="D59">
        <f>MONTH(Retail_data[[#This Row],[Order Date]])</f>
        <v>11</v>
      </c>
      <c r="E59" t="str">
        <f>"Q"&amp;ROUNDUP(MONTH(Retail_data[[#This Row],[Order Date]])/3,0)</f>
        <v>Q4</v>
      </c>
      <c r="F59" s="1">
        <v>45979</v>
      </c>
      <c r="G59" s="1">
        <v>45983</v>
      </c>
      <c r="H59" t="s">
        <v>272</v>
      </c>
      <c r="I59" t="s">
        <v>273</v>
      </c>
      <c r="J59" t="s">
        <v>33</v>
      </c>
      <c r="K59" t="s">
        <v>22</v>
      </c>
      <c r="L59" t="s">
        <v>34</v>
      </c>
      <c r="M59" t="s">
        <v>35</v>
      </c>
      <c r="N59" t="s">
        <v>36</v>
      </c>
      <c r="O59" t="s">
        <v>26</v>
      </c>
      <c r="P59" t="s">
        <v>27</v>
      </c>
      <c r="Q59" t="s">
        <v>274</v>
      </c>
      <c r="R59">
        <v>17498.07</v>
      </c>
      <c r="S59">
        <v>3</v>
      </c>
      <c r="T59">
        <v>0.3</v>
      </c>
      <c r="U59" t="str">
        <f>IF(Retail_data[[#This Row],[Sales]]&gt;30000,"High",IF(Retail_data[[#This Row],[Sales]]&gt;10000,"Medium","Low"))</f>
        <v>Medium</v>
      </c>
      <c r="V59" s="3">
        <f>Retail_data[[#This Row],[Profit]]/Retail_data[[#This Row],[Sales]]</f>
        <v>6.4752855600646239E-2</v>
      </c>
      <c r="W59">
        <v>1133.05</v>
      </c>
      <c r="X59" t="s">
        <v>81</v>
      </c>
    </row>
    <row r="60" spans="1:24" ht="13.8" x14ac:dyDescent="0.25">
      <c r="A60" t="s">
        <v>275</v>
      </c>
      <c r="B60">
        <f>YEAR(Retail_data[[#This Row],[Order Date]])</f>
        <v>2025</v>
      </c>
      <c r="C60" t="str">
        <f>TEXT(Retail_data[[#This Row],[Order Date]],"mmmm")</f>
        <v>November</v>
      </c>
      <c r="D60">
        <f>MONTH(Retail_data[[#This Row],[Order Date]])</f>
        <v>11</v>
      </c>
      <c r="E60" t="str">
        <f>"Q"&amp;ROUNDUP(MONTH(Retail_data[[#This Row],[Order Date]])/3,0)</f>
        <v>Q4</v>
      </c>
      <c r="F60" s="1">
        <v>45980</v>
      </c>
      <c r="G60" s="1">
        <v>45984</v>
      </c>
      <c r="H60" t="s">
        <v>276</v>
      </c>
      <c r="I60" t="s">
        <v>277</v>
      </c>
      <c r="J60" t="s">
        <v>33</v>
      </c>
      <c r="K60" t="s">
        <v>22</v>
      </c>
      <c r="L60" t="s">
        <v>45</v>
      </c>
      <c r="M60" t="s">
        <v>45</v>
      </c>
      <c r="N60" t="s">
        <v>25</v>
      </c>
      <c r="O60" t="s">
        <v>57</v>
      </c>
      <c r="P60" t="s">
        <v>58</v>
      </c>
      <c r="Q60" t="s">
        <v>278</v>
      </c>
      <c r="R60">
        <v>29449.119999999999</v>
      </c>
      <c r="S60">
        <v>1</v>
      </c>
      <c r="T60">
        <v>0</v>
      </c>
      <c r="U60" t="str">
        <f>IF(Retail_data[[#This Row],[Sales]]&gt;30000,"High",IF(Retail_data[[#This Row],[Sales]]&gt;10000,"Medium","Low"))</f>
        <v>Medium</v>
      </c>
      <c r="V60" s="3">
        <f>Retail_data[[#This Row],[Profit]]/Retail_data[[#This Row],[Sales]]</f>
        <v>6.6433564058960004E-2</v>
      </c>
      <c r="W60">
        <v>1956.41</v>
      </c>
      <c r="X60" t="s">
        <v>29</v>
      </c>
    </row>
    <row r="61" spans="1:24" ht="13.8" x14ac:dyDescent="0.25">
      <c r="A61" t="s">
        <v>279</v>
      </c>
      <c r="B61">
        <f>YEAR(Retail_data[[#This Row],[Order Date]])</f>
        <v>2025</v>
      </c>
      <c r="C61" t="str">
        <f>TEXT(Retail_data[[#This Row],[Order Date]],"mmmm")</f>
        <v>November</v>
      </c>
      <c r="D61">
        <f>MONTH(Retail_data[[#This Row],[Order Date]])</f>
        <v>11</v>
      </c>
      <c r="E61" t="str">
        <f>"Q"&amp;ROUNDUP(MONTH(Retail_data[[#This Row],[Order Date]])/3,0)</f>
        <v>Q4</v>
      </c>
      <c r="F61" s="1">
        <v>45981</v>
      </c>
      <c r="G61" s="1">
        <v>45985</v>
      </c>
      <c r="H61" t="s">
        <v>280</v>
      </c>
      <c r="I61" t="s">
        <v>281</v>
      </c>
      <c r="J61" t="s">
        <v>33</v>
      </c>
      <c r="K61" t="s">
        <v>22</v>
      </c>
      <c r="L61" t="s">
        <v>34</v>
      </c>
      <c r="M61" t="s">
        <v>35</v>
      </c>
      <c r="N61" t="s">
        <v>36</v>
      </c>
      <c r="O61" t="s">
        <v>26</v>
      </c>
      <c r="P61" t="s">
        <v>27</v>
      </c>
      <c r="Q61" t="s">
        <v>274</v>
      </c>
      <c r="R61">
        <v>23256.93</v>
      </c>
      <c r="S61">
        <v>7</v>
      </c>
      <c r="T61">
        <v>0.3</v>
      </c>
      <c r="U61" t="str">
        <f>IF(Retail_data[[#This Row],[Sales]]&gt;30000,"High",IF(Retail_data[[#This Row],[Sales]]&gt;10000,"Medium","Low"))</f>
        <v>Medium</v>
      </c>
      <c r="V61" s="3">
        <f>Retail_data[[#This Row],[Profit]]/Retail_data[[#This Row],[Sales]]</f>
        <v>7.9240037270611394E-2</v>
      </c>
      <c r="W61">
        <v>1842.88</v>
      </c>
      <c r="X61" t="s">
        <v>48</v>
      </c>
    </row>
    <row r="62" spans="1:24" ht="13.8" x14ac:dyDescent="0.25">
      <c r="A62" t="s">
        <v>282</v>
      </c>
      <c r="B62">
        <f>YEAR(Retail_data[[#This Row],[Order Date]])</f>
        <v>2025</v>
      </c>
      <c r="C62" t="str">
        <f>TEXT(Retail_data[[#This Row],[Order Date]],"mmmm")</f>
        <v>November</v>
      </c>
      <c r="D62">
        <f>MONTH(Retail_data[[#This Row],[Order Date]])</f>
        <v>11</v>
      </c>
      <c r="E62" t="str">
        <f>"Q"&amp;ROUNDUP(MONTH(Retail_data[[#This Row],[Order Date]])/3,0)</f>
        <v>Q4</v>
      </c>
      <c r="F62" s="1">
        <v>45982</v>
      </c>
      <c r="G62" s="1">
        <v>45986</v>
      </c>
      <c r="H62" t="s">
        <v>283</v>
      </c>
      <c r="I62" t="s">
        <v>284</v>
      </c>
      <c r="J62" t="s">
        <v>33</v>
      </c>
      <c r="K62" t="s">
        <v>22</v>
      </c>
      <c r="L62" t="s">
        <v>23</v>
      </c>
      <c r="M62" t="s">
        <v>24</v>
      </c>
      <c r="N62" t="s">
        <v>25</v>
      </c>
      <c r="O62" t="s">
        <v>26</v>
      </c>
      <c r="P62" t="s">
        <v>27</v>
      </c>
      <c r="Q62" t="s">
        <v>285</v>
      </c>
      <c r="R62">
        <v>19481.23</v>
      </c>
      <c r="S62">
        <v>8</v>
      </c>
      <c r="T62">
        <v>0.1</v>
      </c>
      <c r="U62" t="str">
        <f>IF(Retail_data[[#This Row],[Sales]]&gt;30000,"High",IF(Retail_data[[#This Row],[Sales]]&gt;10000,"Medium","Low"))</f>
        <v>Medium</v>
      </c>
      <c r="V62" s="3">
        <f>Retail_data[[#This Row],[Profit]]/Retail_data[[#This Row],[Sales]]</f>
        <v>0.13827668992152961</v>
      </c>
      <c r="W62">
        <v>2693.8</v>
      </c>
      <c r="X62" t="s">
        <v>29</v>
      </c>
    </row>
    <row r="63" spans="1:24" ht="13.8" x14ac:dyDescent="0.25">
      <c r="A63" t="s">
        <v>286</v>
      </c>
      <c r="B63">
        <f>YEAR(Retail_data[[#This Row],[Order Date]])</f>
        <v>2025</v>
      </c>
      <c r="C63" t="str">
        <f>TEXT(Retail_data[[#This Row],[Order Date]],"mmmm")</f>
        <v>November</v>
      </c>
      <c r="D63">
        <f>MONTH(Retail_data[[#This Row],[Order Date]])</f>
        <v>11</v>
      </c>
      <c r="E63" t="str">
        <f>"Q"&amp;ROUNDUP(MONTH(Retail_data[[#This Row],[Order Date]])/3,0)</f>
        <v>Q4</v>
      </c>
      <c r="F63" s="1">
        <v>45983</v>
      </c>
      <c r="G63" s="1">
        <v>45987</v>
      </c>
      <c r="H63" t="s">
        <v>287</v>
      </c>
      <c r="I63" t="s">
        <v>288</v>
      </c>
      <c r="J63" t="s">
        <v>44</v>
      </c>
      <c r="K63" t="s">
        <v>22</v>
      </c>
      <c r="L63" t="s">
        <v>85</v>
      </c>
      <c r="M63" t="s">
        <v>86</v>
      </c>
      <c r="N63" t="s">
        <v>87</v>
      </c>
      <c r="O63" t="s">
        <v>57</v>
      </c>
      <c r="P63" t="s">
        <v>79</v>
      </c>
      <c r="Q63" t="s">
        <v>80</v>
      </c>
      <c r="R63">
        <v>28423.96</v>
      </c>
      <c r="S63">
        <v>3</v>
      </c>
      <c r="T63">
        <v>0.1</v>
      </c>
      <c r="U63" t="str">
        <f>IF(Retail_data[[#This Row],[Sales]]&gt;30000,"High",IF(Retail_data[[#This Row],[Sales]]&gt;10000,"Medium","Low"))</f>
        <v>Medium</v>
      </c>
      <c r="V63" s="3">
        <f>Retail_data[[#This Row],[Profit]]/Retail_data[[#This Row],[Sales]]</f>
        <v>5.7015982290996747E-2</v>
      </c>
      <c r="W63">
        <v>1620.62</v>
      </c>
      <c r="X63" t="s">
        <v>40</v>
      </c>
    </row>
    <row r="64" spans="1:24" ht="13.8" x14ac:dyDescent="0.25">
      <c r="A64" t="s">
        <v>289</v>
      </c>
      <c r="B64">
        <f>YEAR(Retail_data[[#This Row],[Order Date]])</f>
        <v>2025</v>
      </c>
      <c r="C64" t="str">
        <f>TEXT(Retail_data[[#This Row],[Order Date]],"mmmm")</f>
        <v>November</v>
      </c>
      <c r="D64">
        <f>MONTH(Retail_data[[#This Row],[Order Date]])</f>
        <v>11</v>
      </c>
      <c r="E64" t="str">
        <f>"Q"&amp;ROUNDUP(MONTH(Retail_data[[#This Row],[Order Date]])/3,0)</f>
        <v>Q4</v>
      </c>
      <c r="F64" s="1">
        <v>45984</v>
      </c>
      <c r="G64" s="1">
        <v>45988</v>
      </c>
      <c r="H64" t="s">
        <v>290</v>
      </c>
      <c r="I64" t="s">
        <v>291</v>
      </c>
      <c r="J64" t="s">
        <v>44</v>
      </c>
      <c r="K64" t="s">
        <v>22</v>
      </c>
      <c r="L64" t="s">
        <v>23</v>
      </c>
      <c r="M64" t="s">
        <v>24</v>
      </c>
      <c r="N64" t="s">
        <v>25</v>
      </c>
      <c r="O64" t="s">
        <v>37</v>
      </c>
      <c r="P64" t="s">
        <v>52</v>
      </c>
      <c r="Q64" t="s">
        <v>292</v>
      </c>
      <c r="R64">
        <v>10117.290000000001</v>
      </c>
      <c r="S64">
        <v>3</v>
      </c>
      <c r="T64">
        <v>0.2</v>
      </c>
      <c r="U64" t="str">
        <f>IF(Retail_data[[#This Row],[Sales]]&gt;30000,"High",IF(Retail_data[[#This Row],[Sales]]&gt;10000,"Medium","Low"))</f>
        <v>Medium</v>
      </c>
      <c r="V64" s="3">
        <f>Retail_data[[#This Row],[Profit]]/Retail_data[[#This Row],[Sales]]</f>
        <v>0.18688601394246876</v>
      </c>
      <c r="W64">
        <v>1890.78</v>
      </c>
      <c r="X64" t="s">
        <v>48</v>
      </c>
    </row>
    <row r="65" spans="1:24" ht="13.8" x14ac:dyDescent="0.25">
      <c r="A65" t="s">
        <v>293</v>
      </c>
      <c r="B65">
        <f>YEAR(Retail_data[[#This Row],[Order Date]])</f>
        <v>2025</v>
      </c>
      <c r="C65" t="str">
        <f>TEXT(Retail_data[[#This Row],[Order Date]],"mmmm")</f>
        <v>November</v>
      </c>
      <c r="D65">
        <f>MONTH(Retail_data[[#This Row],[Order Date]])</f>
        <v>11</v>
      </c>
      <c r="E65" t="str">
        <f>"Q"&amp;ROUNDUP(MONTH(Retail_data[[#This Row],[Order Date]])/3,0)</f>
        <v>Q4</v>
      </c>
      <c r="F65" s="1">
        <v>45985</v>
      </c>
      <c r="G65" s="1">
        <v>45989</v>
      </c>
      <c r="H65" t="s">
        <v>294</v>
      </c>
      <c r="I65" t="s">
        <v>295</v>
      </c>
      <c r="J65" t="s">
        <v>21</v>
      </c>
      <c r="K65" t="s">
        <v>22</v>
      </c>
      <c r="L65" t="s">
        <v>34</v>
      </c>
      <c r="M65" t="s">
        <v>35</v>
      </c>
      <c r="N65" t="s">
        <v>36</v>
      </c>
      <c r="O65" t="s">
        <v>26</v>
      </c>
      <c r="P65" t="s">
        <v>92</v>
      </c>
      <c r="Q65" t="s">
        <v>296</v>
      </c>
      <c r="R65">
        <v>8387.43</v>
      </c>
      <c r="S65">
        <v>5</v>
      </c>
      <c r="T65">
        <v>0</v>
      </c>
      <c r="U65" t="str">
        <f>IF(Retail_data[[#This Row],[Sales]]&gt;30000,"High",IF(Retail_data[[#This Row],[Sales]]&gt;10000,"Medium","Low"))</f>
        <v>Low</v>
      </c>
      <c r="V65" s="3">
        <f>Retail_data[[#This Row],[Profit]]/Retail_data[[#This Row],[Sales]]</f>
        <v>6.6970454596938511E-2</v>
      </c>
      <c r="W65">
        <v>561.71</v>
      </c>
      <c r="X65" t="s">
        <v>29</v>
      </c>
    </row>
    <row r="66" spans="1:24" ht="13.8" x14ac:dyDescent="0.25">
      <c r="A66" t="s">
        <v>297</v>
      </c>
      <c r="B66">
        <f>YEAR(Retail_data[[#This Row],[Order Date]])</f>
        <v>2025</v>
      </c>
      <c r="C66" t="str">
        <f>TEXT(Retail_data[[#This Row],[Order Date]],"mmmm")</f>
        <v>November</v>
      </c>
      <c r="D66">
        <f>MONTH(Retail_data[[#This Row],[Order Date]])</f>
        <v>11</v>
      </c>
      <c r="E66" t="str">
        <f>"Q"&amp;ROUNDUP(MONTH(Retail_data[[#This Row],[Order Date]])/3,0)</f>
        <v>Q4</v>
      </c>
      <c r="F66" s="1">
        <v>45986</v>
      </c>
      <c r="G66" s="1">
        <v>45990</v>
      </c>
      <c r="H66" t="s">
        <v>298</v>
      </c>
      <c r="I66" t="s">
        <v>299</v>
      </c>
      <c r="J66" t="s">
        <v>33</v>
      </c>
      <c r="K66" t="s">
        <v>22</v>
      </c>
      <c r="L66" t="s">
        <v>45</v>
      </c>
      <c r="M66" t="s">
        <v>45</v>
      </c>
      <c r="N66" t="s">
        <v>25</v>
      </c>
      <c r="O66" t="s">
        <v>57</v>
      </c>
      <c r="P66" t="s">
        <v>58</v>
      </c>
      <c r="Q66" t="s">
        <v>125</v>
      </c>
      <c r="R66">
        <v>25958.26</v>
      </c>
      <c r="S66">
        <v>6</v>
      </c>
      <c r="T66">
        <v>0.2</v>
      </c>
      <c r="U66" t="str">
        <f>IF(Retail_data[[#This Row],[Sales]]&gt;30000,"High",IF(Retail_data[[#This Row],[Sales]]&gt;10000,"Medium","Low"))</f>
        <v>Medium</v>
      </c>
      <c r="V66" s="3">
        <f>Retail_data[[#This Row],[Profit]]/Retail_data[[#This Row],[Sales]]</f>
        <v>0.17314334627975836</v>
      </c>
      <c r="W66">
        <v>4494.5</v>
      </c>
      <c r="X66" t="s">
        <v>48</v>
      </c>
    </row>
    <row r="67" spans="1:24" ht="13.8" x14ac:dyDescent="0.25">
      <c r="A67" t="s">
        <v>300</v>
      </c>
      <c r="B67">
        <f>YEAR(Retail_data[[#This Row],[Order Date]])</f>
        <v>2025</v>
      </c>
      <c r="C67" t="str">
        <f>TEXT(Retail_data[[#This Row],[Order Date]],"mmmm")</f>
        <v>November</v>
      </c>
      <c r="D67">
        <f>MONTH(Retail_data[[#This Row],[Order Date]])</f>
        <v>11</v>
      </c>
      <c r="E67" t="str">
        <f>"Q"&amp;ROUNDUP(MONTH(Retail_data[[#This Row],[Order Date]])/3,0)</f>
        <v>Q4</v>
      </c>
      <c r="F67" s="1">
        <v>45987</v>
      </c>
      <c r="G67" s="1">
        <v>45991</v>
      </c>
      <c r="H67" t="s">
        <v>301</v>
      </c>
      <c r="I67" t="s">
        <v>302</v>
      </c>
      <c r="J67" t="s">
        <v>21</v>
      </c>
      <c r="K67" t="s">
        <v>22</v>
      </c>
      <c r="L67" t="s">
        <v>85</v>
      </c>
      <c r="M67" t="s">
        <v>86</v>
      </c>
      <c r="N67" t="s">
        <v>87</v>
      </c>
      <c r="O67" t="s">
        <v>57</v>
      </c>
      <c r="P67" t="s">
        <v>58</v>
      </c>
      <c r="Q67" t="s">
        <v>125</v>
      </c>
      <c r="R67">
        <v>41040.67</v>
      </c>
      <c r="S67">
        <v>2</v>
      </c>
      <c r="T67">
        <v>0.2</v>
      </c>
      <c r="U67" t="str">
        <f>IF(Retail_data[[#This Row],[Sales]]&gt;30000,"High",IF(Retail_data[[#This Row],[Sales]]&gt;10000,"Medium","Low"))</f>
        <v>High</v>
      </c>
      <c r="V67" s="3">
        <f>Retail_data[[#This Row],[Profit]]/Retail_data[[#This Row],[Sales]]</f>
        <v>0.12943940730012449</v>
      </c>
      <c r="W67">
        <v>5312.28</v>
      </c>
      <c r="X67" t="s">
        <v>29</v>
      </c>
    </row>
    <row r="68" spans="1:24" ht="13.8" x14ac:dyDescent="0.25">
      <c r="A68" t="s">
        <v>303</v>
      </c>
      <c r="B68">
        <f>YEAR(Retail_data[[#This Row],[Order Date]])</f>
        <v>2025</v>
      </c>
      <c r="C68" t="str">
        <f>TEXT(Retail_data[[#This Row],[Order Date]],"mmmm")</f>
        <v>November</v>
      </c>
      <c r="D68">
        <f>MONTH(Retail_data[[#This Row],[Order Date]])</f>
        <v>11</v>
      </c>
      <c r="E68" t="str">
        <f>"Q"&amp;ROUNDUP(MONTH(Retail_data[[#This Row],[Order Date]])/3,0)</f>
        <v>Q4</v>
      </c>
      <c r="F68" s="1">
        <v>45988</v>
      </c>
      <c r="G68" s="1">
        <v>45992</v>
      </c>
      <c r="H68" t="s">
        <v>304</v>
      </c>
      <c r="I68" t="s">
        <v>305</v>
      </c>
      <c r="J68" t="s">
        <v>33</v>
      </c>
      <c r="K68" t="s">
        <v>22</v>
      </c>
      <c r="L68" t="s">
        <v>67</v>
      </c>
      <c r="M68" t="s">
        <v>68</v>
      </c>
      <c r="N68" t="s">
        <v>69</v>
      </c>
      <c r="O68" t="s">
        <v>57</v>
      </c>
      <c r="P68" t="s">
        <v>149</v>
      </c>
      <c r="Q68" t="s">
        <v>227</v>
      </c>
      <c r="R68">
        <v>33239.5</v>
      </c>
      <c r="S68">
        <v>2</v>
      </c>
      <c r="T68">
        <v>0.1</v>
      </c>
      <c r="U68" t="str">
        <f>IF(Retail_data[[#This Row],[Sales]]&gt;30000,"High",IF(Retail_data[[#This Row],[Sales]]&gt;10000,"Medium","Low"))</f>
        <v>High</v>
      </c>
      <c r="V68" s="3">
        <f>Retail_data[[#This Row],[Profit]]/Retail_data[[#This Row],[Sales]]</f>
        <v>0.23593977045382752</v>
      </c>
      <c r="W68">
        <v>7842.52</v>
      </c>
      <c r="X68" t="s">
        <v>81</v>
      </c>
    </row>
    <row r="69" spans="1:24" ht="13.8" x14ac:dyDescent="0.25">
      <c r="A69" t="s">
        <v>306</v>
      </c>
      <c r="B69">
        <f>YEAR(Retail_data[[#This Row],[Order Date]])</f>
        <v>2025</v>
      </c>
      <c r="C69" t="str">
        <f>TEXT(Retail_data[[#This Row],[Order Date]],"mmmm")</f>
        <v>November</v>
      </c>
      <c r="D69">
        <f>MONTH(Retail_data[[#This Row],[Order Date]])</f>
        <v>11</v>
      </c>
      <c r="E69" t="str">
        <f>"Q"&amp;ROUNDUP(MONTH(Retail_data[[#This Row],[Order Date]])/3,0)</f>
        <v>Q4</v>
      </c>
      <c r="F69" s="1">
        <v>45989</v>
      </c>
      <c r="G69" s="1">
        <v>45993</v>
      </c>
      <c r="H69" t="s">
        <v>307</v>
      </c>
      <c r="I69" t="s">
        <v>308</v>
      </c>
      <c r="J69" t="s">
        <v>44</v>
      </c>
      <c r="K69" t="s">
        <v>22</v>
      </c>
      <c r="L69" t="s">
        <v>23</v>
      </c>
      <c r="M69" t="s">
        <v>24</v>
      </c>
      <c r="N69" t="s">
        <v>25</v>
      </c>
      <c r="O69" t="s">
        <v>57</v>
      </c>
      <c r="P69" t="s">
        <v>58</v>
      </c>
      <c r="Q69" t="s">
        <v>309</v>
      </c>
      <c r="R69">
        <v>37591.11</v>
      </c>
      <c r="S69">
        <v>7</v>
      </c>
      <c r="T69">
        <v>0.2</v>
      </c>
      <c r="U69" t="str">
        <f>IF(Retail_data[[#This Row],[Sales]]&gt;30000,"High",IF(Retail_data[[#This Row],[Sales]]&gt;10000,"Medium","Low"))</f>
        <v>High</v>
      </c>
      <c r="V69" s="3">
        <f>Retail_data[[#This Row],[Profit]]/Retail_data[[#This Row],[Sales]]</f>
        <v>0.18095342223201177</v>
      </c>
      <c r="W69">
        <v>6802.24</v>
      </c>
      <c r="X69" t="s">
        <v>48</v>
      </c>
    </row>
    <row r="70" spans="1:24" ht="13.8" x14ac:dyDescent="0.25">
      <c r="A70" t="s">
        <v>310</v>
      </c>
      <c r="B70">
        <f>YEAR(Retail_data[[#This Row],[Order Date]])</f>
        <v>2025</v>
      </c>
      <c r="C70" t="str">
        <f>TEXT(Retail_data[[#This Row],[Order Date]],"mmmm")</f>
        <v>November</v>
      </c>
      <c r="D70">
        <f>MONTH(Retail_data[[#This Row],[Order Date]])</f>
        <v>11</v>
      </c>
      <c r="E70" t="str">
        <f>"Q"&amp;ROUNDUP(MONTH(Retail_data[[#This Row],[Order Date]])/3,0)</f>
        <v>Q4</v>
      </c>
      <c r="F70" s="1">
        <v>45990</v>
      </c>
      <c r="G70" s="1">
        <v>45994</v>
      </c>
      <c r="H70" t="s">
        <v>311</v>
      </c>
      <c r="I70" t="s">
        <v>312</v>
      </c>
      <c r="J70" t="s">
        <v>33</v>
      </c>
      <c r="K70" t="s">
        <v>22</v>
      </c>
      <c r="L70" t="s">
        <v>23</v>
      </c>
      <c r="M70" t="s">
        <v>24</v>
      </c>
      <c r="N70" t="s">
        <v>25</v>
      </c>
      <c r="O70" t="s">
        <v>26</v>
      </c>
      <c r="P70" t="s">
        <v>70</v>
      </c>
      <c r="Q70" t="s">
        <v>180</v>
      </c>
      <c r="R70">
        <v>31988.07</v>
      </c>
      <c r="S70">
        <v>4</v>
      </c>
      <c r="T70">
        <v>0.1</v>
      </c>
      <c r="U70" t="str">
        <f>IF(Retail_data[[#This Row],[Sales]]&gt;30000,"High",IF(Retail_data[[#This Row],[Sales]]&gt;10000,"Medium","Low"))</f>
        <v>High</v>
      </c>
      <c r="V70" s="3">
        <f>Retail_data[[#This Row],[Profit]]/Retail_data[[#This Row],[Sales]]</f>
        <v>0.15887548076517277</v>
      </c>
      <c r="W70">
        <v>5082.12</v>
      </c>
      <c r="X70" t="s">
        <v>29</v>
      </c>
    </row>
    <row r="71" spans="1:24" ht="13.8" x14ac:dyDescent="0.25">
      <c r="A71" t="s">
        <v>313</v>
      </c>
      <c r="B71">
        <f>YEAR(Retail_data[[#This Row],[Order Date]])</f>
        <v>2025</v>
      </c>
      <c r="C71" t="str">
        <f>TEXT(Retail_data[[#This Row],[Order Date]],"mmmm")</f>
        <v>November</v>
      </c>
      <c r="D71">
        <f>MONTH(Retail_data[[#This Row],[Order Date]])</f>
        <v>11</v>
      </c>
      <c r="E71" t="str">
        <f>"Q"&amp;ROUNDUP(MONTH(Retail_data[[#This Row],[Order Date]])/3,0)</f>
        <v>Q4</v>
      </c>
      <c r="F71" s="1">
        <v>45991</v>
      </c>
      <c r="G71" s="1">
        <v>45995</v>
      </c>
      <c r="H71" t="s">
        <v>314</v>
      </c>
      <c r="I71" t="s">
        <v>315</v>
      </c>
      <c r="J71" t="s">
        <v>33</v>
      </c>
      <c r="K71" t="s">
        <v>22</v>
      </c>
      <c r="L71" t="s">
        <v>85</v>
      </c>
      <c r="M71" t="s">
        <v>86</v>
      </c>
      <c r="N71" t="s">
        <v>87</v>
      </c>
      <c r="O71" t="s">
        <v>26</v>
      </c>
      <c r="P71" t="s">
        <v>70</v>
      </c>
      <c r="Q71" t="s">
        <v>316</v>
      </c>
      <c r="R71">
        <v>14584.43</v>
      </c>
      <c r="S71">
        <v>1</v>
      </c>
      <c r="T71">
        <v>0.1</v>
      </c>
      <c r="U71" t="str">
        <f>IF(Retail_data[[#This Row],[Sales]]&gt;30000,"High",IF(Retail_data[[#This Row],[Sales]]&gt;10000,"Medium","Low"))</f>
        <v>Medium</v>
      </c>
      <c r="V71" s="3">
        <f>Retail_data[[#This Row],[Profit]]/Retail_data[[#This Row],[Sales]]</f>
        <v>0.10210889283982988</v>
      </c>
      <c r="W71">
        <v>1489.2</v>
      </c>
      <c r="X71" t="s">
        <v>29</v>
      </c>
    </row>
    <row r="72" spans="1:24" ht="13.8" x14ac:dyDescent="0.25">
      <c r="A72" t="s">
        <v>317</v>
      </c>
      <c r="B72">
        <f>YEAR(Retail_data[[#This Row],[Order Date]])</f>
        <v>2025</v>
      </c>
      <c r="C72" t="str">
        <f>TEXT(Retail_data[[#This Row],[Order Date]],"mmmm")</f>
        <v>December</v>
      </c>
      <c r="D72">
        <f>MONTH(Retail_data[[#This Row],[Order Date]])</f>
        <v>12</v>
      </c>
      <c r="E72" t="str">
        <f>"Q"&amp;ROUNDUP(MONTH(Retail_data[[#This Row],[Order Date]])/3,0)</f>
        <v>Q4</v>
      </c>
      <c r="F72" s="1">
        <v>45992</v>
      </c>
      <c r="G72" s="1">
        <v>45996</v>
      </c>
      <c r="H72" t="s">
        <v>318</v>
      </c>
      <c r="I72" t="s">
        <v>319</v>
      </c>
      <c r="J72" t="s">
        <v>44</v>
      </c>
      <c r="K72" t="s">
        <v>22</v>
      </c>
      <c r="L72" t="s">
        <v>67</v>
      </c>
      <c r="M72" t="s">
        <v>68</v>
      </c>
      <c r="N72" t="s">
        <v>69</v>
      </c>
      <c r="O72" t="s">
        <v>37</v>
      </c>
      <c r="P72" t="s">
        <v>46</v>
      </c>
      <c r="Q72" t="s">
        <v>320</v>
      </c>
      <c r="R72">
        <v>29434.42</v>
      </c>
      <c r="S72">
        <v>7</v>
      </c>
      <c r="T72">
        <v>0.2</v>
      </c>
      <c r="U72" t="str">
        <f>IF(Retail_data[[#This Row],[Sales]]&gt;30000,"High",IF(Retail_data[[#This Row],[Sales]]&gt;10000,"Medium","Low"))</f>
        <v>Medium</v>
      </c>
      <c r="V72" s="3">
        <f>Retail_data[[#This Row],[Profit]]/Retail_data[[#This Row],[Sales]]</f>
        <v>0.10371531017088159</v>
      </c>
      <c r="W72">
        <v>3052.8</v>
      </c>
      <c r="X72" t="s">
        <v>40</v>
      </c>
    </row>
    <row r="73" spans="1:24" ht="13.8" x14ac:dyDescent="0.25">
      <c r="A73" t="s">
        <v>321</v>
      </c>
      <c r="B73">
        <f>YEAR(Retail_data[[#This Row],[Order Date]])</f>
        <v>2025</v>
      </c>
      <c r="C73" t="str">
        <f>TEXT(Retail_data[[#This Row],[Order Date]],"mmmm")</f>
        <v>December</v>
      </c>
      <c r="D73">
        <f>MONTH(Retail_data[[#This Row],[Order Date]])</f>
        <v>12</v>
      </c>
      <c r="E73" t="str">
        <f>"Q"&amp;ROUNDUP(MONTH(Retail_data[[#This Row],[Order Date]])/3,0)</f>
        <v>Q4</v>
      </c>
      <c r="F73" s="1">
        <v>45993</v>
      </c>
      <c r="G73" s="1">
        <v>45997</v>
      </c>
      <c r="H73" t="s">
        <v>322</v>
      </c>
      <c r="I73" t="s">
        <v>323</v>
      </c>
      <c r="J73" t="s">
        <v>21</v>
      </c>
      <c r="K73" t="s">
        <v>22</v>
      </c>
      <c r="L73" t="s">
        <v>67</v>
      </c>
      <c r="M73" t="s">
        <v>68</v>
      </c>
      <c r="N73" t="s">
        <v>69</v>
      </c>
      <c r="O73" t="s">
        <v>26</v>
      </c>
      <c r="P73" t="s">
        <v>70</v>
      </c>
      <c r="Q73" t="s">
        <v>324</v>
      </c>
      <c r="R73">
        <v>47252.36</v>
      </c>
      <c r="S73">
        <v>8</v>
      </c>
      <c r="T73">
        <v>0.3</v>
      </c>
      <c r="U73" t="str">
        <f>IF(Retail_data[[#This Row],[Sales]]&gt;30000,"High",IF(Retail_data[[#This Row],[Sales]]&gt;10000,"Medium","Low"))</f>
        <v>High</v>
      </c>
      <c r="V73" s="3">
        <f>Retail_data[[#This Row],[Profit]]/Retail_data[[#This Row],[Sales]]</f>
        <v>0.12092560032980364</v>
      </c>
      <c r="W73">
        <v>5714.02</v>
      </c>
      <c r="X73" t="s">
        <v>48</v>
      </c>
    </row>
    <row r="74" spans="1:24" ht="13.8" x14ac:dyDescent="0.25">
      <c r="A74" t="s">
        <v>325</v>
      </c>
      <c r="B74">
        <f>YEAR(Retail_data[[#This Row],[Order Date]])</f>
        <v>2025</v>
      </c>
      <c r="C74" t="str">
        <f>TEXT(Retail_data[[#This Row],[Order Date]],"mmmm")</f>
        <v>December</v>
      </c>
      <c r="D74">
        <f>MONTH(Retail_data[[#This Row],[Order Date]])</f>
        <v>12</v>
      </c>
      <c r="E74" t="str">
        <f>"Q"&amp;ROUNDUP(MONTH(Retail_data[[#This Row],[Order Date]])/3,0)</f>
        <v>Q4</v>
      </c>
      <c r="F74" s="1">
        <v>45994</v>
      </c>
      <c r="G74" s="1">
        <v>45998</v>
      </c>
      <c r="H74" t="s">
        <v>326</v>
      </c>
      <c r="I74" t="s">
        <v>327</v>
      </c>
      <c r="J74" t="s">
        <v>21</v>
      </c>
      <c r="K74" t="s">
        <v>22</v>
      </c>
      <c r="L74" t="s">
        <v>34</v>
      </c>
      <c r="M74" t="s">
        <v>35</v>
      </c>
      <c r="N74" t="s">
        <v>36</v>
      </c>
      <c r="O74" t="s">
        <v>37</v>
      </c>
      <c r="P74" t="s">
        <v>52</v>
      </c>
      <c r="Q74" t="s">
        <v>328</v>
      </c>
      <c r="R74">
        <v>19712.580000000002</v>
      </c>
      <c r="S74">
        <v>7</v>
      </c>
      <c r="T74">
        <v>0</v>
      </c>
      <c r="U74" t="str">
        <f>IF(Retail_data[[#This Row],[Sales]]&gt;30000,"High",IF(Retail_data[[#This Row],[Sales]]&gt;10000,"Medium","Low"))</f>
        <v>Medium</v>
      </c>
      <c r="V74" s="3">
        <f>Retail_data[[#This Row],[Profit]]/Retail_data[[#This Row],[Sales]]</f>
        <v>0.19632589950173948</v>
      </c>
      <c r="W74">
        <v>3870.09</v>
      </c>
      <c r="X74" t="s">
        <v>29</v>
      </c>
    </row>
    <row r="75" spans="1:24" ht="13.8" x14ac:dyDescent="0.25">
      <c r="A75" t="s">
        <v>329</v>
      </c>
      <c r="B75">
        <f>YEAR(Retail_data[[#This Row],[Order Date]])</f>
        <v>2025</v>
      </c>
      <c r="C75" t="str">
        <f>TEXT(Retail_data[[#This Row],[Order Date]],"mmmm")</f>
        <v>December</v>
      </c>
      <c r="D75">
        <f>MONTH(Retail_data[[#This Row],[Order Date]])</f>
        <v>12</v>
      </c>
      <c r="E75" t="str">
        <f>"Q"&amp;ROUNDUP(MONTH(Retail_data[[#This Row],[Order Date]])/3,0)</f>
        <v>Q4</v>
      </c>
      <c r="F75" s="1">
        <v>45995</v>
      </c>
      <c r="G75" s="1">
        <v>45999</v>
      </c>
      <c r="H75" t="s">
        <v>330</v>
      </c>
      <c r="I75" t="s">
        <v>331</v>
      </c>
      <c r="J75" t="s">
        <v>44</v>
      </c>
      <c r="K75" t="s">
        <v>22</v>
      </c>
      <c r="L75" t="s">
        <v>45</v>
      </c>
      <c r="M75" t="s">
        <v>45</v>
      </c>
      <c r="N75" t="s">
        <v>25</v>
      </c>
      <c r="O75" t="s">
        <v>57</v>
      </c>
      <c r="P75" t="s">
        <v>79</v>
      </c>
      <c r="Q75" t="s">
        <v>258</v>
      </c>
      <c r="R75">
        <v>599</v>
      </c>
      <c r="S75">
        <v>6</v>
      </c>
      <c r="T75">
        <v>0.3</v>
      </c>
      <c r="U75" t="str">
        <f>IF(Retail_data[[#This Row],[Sales]]&gt;30000,"High",IF(Retail_data[[#This Row],[Sales]]&gt;10000,"Medium","Low"))</f>
        <v>Low</v>
      </c>
      <c r="V75" s="3">
        <f>Retail_data[[#This Row],[Profit]]/Retail_data[[#This Row],[Sales]]</f>
        <v>-3.2370617696160266E-2</v>
      </c>
      <c r="W75">
        <v>-19.39</v>
      </c>
      <c r="X75" t="s">
        <v>29</v>
      </c>
    </row>
    <row r="76" spans="1:24" ht="13.8" x14ac:dyDescent="0.25">
      <c r="A76" t="s">
        <v>332</v>
      </c>
      <c r="B76">
        <f>YEAR(Retail_data[[#This Row],[Order Date]])</f>
        <v>2025</v>
      </c>
      <c r="C76" t="str">
        <f>TEXT(Retail_data[[#This Row],[Order Date]],"mmmm")</f>
        <v>December</v>
      </c>
      <c r="D76">
        <f>MONTH(Retail_data[[#This Row],[Order Date]])</f>
        <v>12</v>
      </c>
      <c r="E76" t="str">
        <f>"Q"&amp;ROUNDUP(MONTH(Retail_data[[#This Row],[Order Date]])/3,0)</f>
        <v>Q4</v>
      </c>
      <c r="F76" s="1">
        <v>45996</v>
      </c>
      <c r="G76" s="1">
        <v>46000</v>
      </c>
      <c r="H76" t="s">
        <v>333</v>
      </c>
      <c r="I76" t="s">
        <v>334</v>
      </c>
      <c r="J76" t="s">
        <v>21</v>
      </c>
      <c r="K76" t="s">
        <v>22</v>
      </c>
      <c r="L76" t="s">
        <v>34</v>
      </c>
      <c r="M76" t="s">
        <v>35</v>
      </c>
      <c r="N76" t="s">
        <v>36</v>
      </c>
      <c r="O76" t="s">
        <v>37</v>
      </c>
      <c r="P76" t="s">
        <v>52</v>
      </c>
      <c r="Q76" t="s">
        <v>335</v>
      </c>
      <c r="R76">
        <v>14340.04</v>
      </c>
      <c r="S76">
        <v>5</v>
      </c>
      <c r="T76">
        <v>0.1</v>
      </c>
      <c r="U76" t="str">
        <f>IF(Retail_data[[#This Row],[Sales]]&gt;30000,"High",IF(Retail_data[[#This Row],[Sales]]&gt;10000,"Medium","Low"))</f>
        <v>Medium</v>
      </c>
      <c r="V76" s="3">
        <f>Retail_data[[#This Row],[Profit]]/Retail_data[[#This Row],[Sales]]</f>
        <v>0.16371084041606576</v>
      </c>
      <c r="W76">
        <v>2347.62</v>
      </c>
      <c r="X76" t="s">
        <v>81</v>
      </c>
    </row>
    <row r="77" spans="1:24" ht="13.8" x14ac:dyDescent="0.25">
      <c r="A77" t="s">
        <v>336</v>
      </c>
      <c r="B77">
        <f>YEAR(Retail_data[[#This Row],[Order Date]])</f>
        <v>2025</v>
      </c>
      <c r="C77" t="str">
        <f>TEXT(Retail_data[[#This Row],[Order Date]],"mmmm")</f>
        <v>December</v>
      </c>
      <c r="D77">
        <f>MONTH(Retail_data[[#This Row],[Order Date]])</f>
        <v>12</v>
      </c>
      <c r="E77" t="str">
        <f>"Q"&amp;ROUNDUP(MONTH(Retail_data[[#This Row],[Order Date]])/3,0)</f>
        <v>Q4</v>
      </c>
      <c r="F77" s="1">
        <v>45997</v>
      </c>
      <c r="G77" s="1">
        <v>46001</v>
      </c>
      <c r="H77" t="s">
        <v>337</v>
      </c>
      <c r="I77" t="s">
        <v>338</v>
      </c>
      <c r="J77" t="s">
        <v>21</v>
      </c>
      <c r="K77" t="s">
        <v>22</v>
      </c>
      <c r="L77" t="s">
        <v>85</v>
      </c>
      <c r="M77" t="s">
        <v>86</v>
      </c>
      <c r="N77" t="s">
        <v>87</v>
      </c>
      <c r="O77" t="s">
        <v>37</v>
      </c>
      <c r="P77" t="s">
        <v>38</v>
      </c>
      <c r="Q77" t="s">
        <v>339</v>
      </c>
      <c r="R77">
        <v>14384.05</v>
      </c>
      <c r="S77">
        <v>7</v>
      </c>
      <c r="T77">
        <v>0.3</v>
      </c>
      <c r="U77" t="str">
        <f>IF(Retail_data[[#This Row],[Sales]]&gt;30000,"High",IF(Retail_data[[#This Row],[Sales]]&gt;10000,"Medium","Low"))</f>
        <v>Medium</v>
      </c>
      <c r="V77" s="3">
        <f>Retail_data[[#This Row],[Profit]]/Retail_data[[#This Row],[Sales]]</f>
        <v>3.4351243217313622E-2</v>
      </c>
      <c r="W77">
        <v>494.11</v>
      </c>
      <c r="X77" t="s">
        <v>48</v>
      </c>
    </row>
    <row r="78" spans="1:24" ht="13.8" x14ac:dyDescent="0.25">
      <c r="A78" t="s">
        <v>340</v>
      </c>
      <c r="B78">
        <f>YEAR(Retail_data[[#This Row],[Order Date]])</f>
        <v>2025</v>
      </c>
      <c r="C78" t="str">
        <f>TEXT(Retail_data[[#This Row],[Order Date]],"mmmm")</f>
        <v>December</v>
      </c>
      <c r="D78">
        <f>MONTH(Retail_data[[#This Row],[Order Date]])</f>
        <v>12</v>
      </c>
      <c r="E78" t="str">
        <f>"Q"&amp;ROUNDUP(MONTH(Retail_data[[#This Row],[Order Date]])/3,0)</f>
        <v>Q4</v>
      </c>
      <c r="F78" s="1">
        <v>45998</v>
      </c>
      <c r="G78" s="1">
        <v>46002</v>
      </c>
      <c r="H78" t="s">
        <v>341</v>
      </c>
      <c r="I78" t="s">
        <v>342</v>
      </c>
      <c r="J78" t="s">
        <v>21</v>
      </c>
      <c r="K78" t="s">
        <v>22</v>
      </c>
      <c r="L78" t="s">
        <v>45</v>
      </c>
      <c r="M78" t="s">
        <v>45</v>
      </c>
      <c r="N78" t="s">
        <v>25</v>
      </c>
      <c r="O78" t="s">
        <v>26</v>
      </c>
      <c r="P78" t="s">
        <v>92</v>
      </c>
      <c r="Q78" t="s">
        <v>343</v>
      </c>
      <c r="R78">
        <v>16318.57</v>
      </c>
      <c r="S78">
        <v>8</v>
      </c>
      <c r="T78">
        <v>0</v>
      </c>
      <c r="U78" t="str">
        <f>IF(Retail_data[[#This Row],[Sales]]&gt;30000,"High",IF(Retail_data[[#This Row],[Sales]]&gt;10000,"Medium","Low"))</f>
        <v>Medium</v>
      </c>
      <c r="V78" s="3">
        <f>Retail_data[[#This Row],[Profit]]/Retail_data[[#This Row],[Sales]]</f>
        <v>0.21381652926696396</v>
      </c>
      <c r="W78">
        <v>3489.18</v>
      </c>
      <c r="X78" t="s">
        <v>29</v>
      </c>
    </row>
    <row r="79" spans="1:24" ht="13.8" x14ac:dyDescent="0.25">
      <c r="A79" t="s">
        <v>344</v>
      </c>
      <c r="B79">
        <f>YEAR(Retail_data[[#This Row],[Order Date]])</f>
        <v>2025</v>
      </c>
      <c r="C79" t="str">
        <f>TEXT(Retail_data[[#This Row],[Order Date]],"mmmm")</f>
        <v>December</v>
      </c>
      <c r="D79">
        <f>MONTH(Retail_data[[#This Row],[Order Date]])</f>
        <v>12</v>
      </c>
      <c r="E79" t="str">
        <f>"Q"&amp;ROUNDUP(MONTH(Retail_data[[#This Row],[Order Date]])/3,0)</f>
        <v>Q4</v>
      </c>
      <c r="F79" s="1">
        <v>45999</v>
      </c>
      <c r="G79" s="1">
        <v>46003</v>
      </c>
      <c r="H79" t="s">
        <v>345</v>
      </c>
      <c r="I79" t="s">
        <v>346</v>
      </c>
      <c r="J79" t="s">
        <v>44</v>
      </c>
      <c r="K79" t="s">
        <v>22</v>
      </c>
      <c r="L79" t="s">
        <v>34</v>
      </c>
      <c r="M79" t="s">
        <v>35</v>
      </c>
      <c r="N79" t="s">
        <v>36</v>
      </c>
      <c r="O79" t="s">
        <v>26</v>
      </c>
      <c r="P79" t="s">
        <v>27</v>
      </c>
      <c r="Q79" t="s">
        <v>347</v>
      </c>
      <c r="R79">
        <v>41818.29</v>
      </c>
      <c r="S79">
        <v>1</v>
      </c>
      <c r="T79">
        <v>0</v>
      </c>
      <c r="U79" t="str">
        <f>IF(Retail_data[[#This Row],[Sales]]&gt;30000,"High",IF(Retail_data[[#This Row],[Sales]]&gt;10000,"Medium","Low"))</f>
        <v>High</v>
      </c>
      <c r="V79" s="3">
        <f>Retail_data[[#This Row],[Profit]]/Retail_data[[#This Row],[Sales]]</f>
        <v>0.15675772490936382</v>
      </c>
      <c r="W79">
        <v>6555.34</v>
      </c>
      <c r="X79" t="s">
        <v>48</v>
      </c>
    </row>
    <row r="80" spans="1:24" ht="13.8" x14ac:dyDescent="0.25">
      <c r="A80" t="s">
        <v>348</v>
      </c>
      <c r="B80">
        <f>YEAR(Retail_data[[#This Row],[Order Date]])</f>
        <v>2025</v>
      </c>
      <c r="C80" t="str">
        <f>TEXT(Retail_data[[#This Row],[Order Date]],"mmmm")</f>
        <v>December</v>
      </c>
      <c r="D80">
        <f>MONTH(Retail_data[[#This Row],[Order Date]])</f>
        <v>12</v>
      </c>
      <c r="E80" t="str">
        <f>"Q"&amp;ROUNDUP(MONTH(Retail_data[[#This Row],[Order Date]])/3,0)</f>
        <v>Q4</v>
      </c>
      <c r="F80" s="1">
        <v>46000</v>
      </c>
      <c r="G80" s="1">
        <v>46004</v>
      </c>
      <c r="H80" t="s">
        <v>349</v>
      </c>
      <c r="I80" t="s">
        <v>350</v>
      </c>
      <c r="J80" t="s">
        <v>21</v>
      </c>
      <c r="K80" t="s">
        <v>22</v>
      </c>
      <c r="L80" t="s">
        <v>34</v>
      </c>
      <c r="M80" t="s">
        <v>35</v>
      </c>
      <c r="N80" t="s">
        <v>36</v>
      </c>
      <c r="O80" t="s">
        <v>57</v>
      </c>
      <c r="P80" t="s">
        <v>79</v>
      </c>
      <c r="Q80" t="s">
        <v>351</v>
      </c>
      <c r="R80">
        <v>31656.09</v>
      </c>
      <c r="S80">
        <v>7</v>
      </c>
      <c r="T80">
        <v>0.3</v>
      </c>
      <c r="U80" t="str">
        <f>IF(Retail_data[[#This Row],[Sales]]&gt;30000,"High",IF(Retail_data[[#This Row],[Sales]]&gt;10000,"Medium","Low"))</f>
        <v>High</v>
      </c>
      <c r="V80" s="3">
        <f>Retail_data[[#This Row],[Profit]]/Retail_data[[#This Row],[Sales]]</f>
        <v>9.710516996887486E-2</v>
      </c>
      <c r="W80">
        <v>3073.97</v>
      </c>
      <c r="X80" t="s">
        <v>81</v>
      </c>
    </row>
    <row r="81" spans="1:24" ht="13.8" x14ac:dyDescent="0.25">
      <c r="A81" t="s">
        <v>352</v>
      </c>
      <c r="B81">
        <f>YEAR(Retail_data[[#This Row],[Order Date]])</f>
        <v>2025</v>
      </c>
      <c r="C81" t="str">
        <f>TEXT(Retail_data[[#This Row],[Order Date]],"mmmm")</f>
        <v>December</v>
      </c>
      <c r="D81">
        <f>MONTH(Retail_data[[#This Row],[Order Date]])</f>
        <v>12</v>
      </c>
      <c r="E81" t="str">
        <f>"Q"&amp;ROUNDUP(MONTH(Retail_data[[#This Row],[Order Date]])/3,0)</f>
        <v>Q4</v>
      </c>
      <c r="F81" s="1">
        <v>46001</v>
      </c>
      <c r="G81" s="1">
        <v>46005</v>
      </c>
      <c r="H81" t="s">
        <v>353</v>
      </c>
      <c r="I81" t="s">
        <v>354</v>
      </c>
      <c r="J81" t="s">
        <v>33</v>
      </c>
      <c r="K81" t="s">
        <v>22</v>
      </c>
      <c r="L81" t="s">
        <v>85</v>
      </c>
      <c r="M81" t="s">
        <v>86</v>
      </c>
      <c r="N81" t="s">
        <v>87</v>
      </c>
      <c r="O81" t="s">
        <v>57</v>
      </c>
      <c r="P81" t="s">
        <v>79</v>
      </c>
      <c r="Q81" t="s">
        <v>88</v>
      </c>
      <c r="R81">
        <v>4908.38</v>
      </c>
      <c r="S81">
        <v>5</v>
      </c>
      <c r="T81">
        <v>0.3</v>
      </c>
      <c r="U81" t="str">
        <f>IF(Retail_data[[#This Row],[Sales]]&gt;30000,"High",IF(Retail_data[[#This Row],[Sales]]&gt;10000,"Medium","Low"))</f>
        <v>Low</v>
      </c>
      <c r="V81" s="3">
        <f>Retail_data[[#This Row],[Profit]]/Retail_data[[#This Row],[Sales]]</f>
        <v>-5.8226950643593201E-3</v>
      </c>
      <c r="W81">
        <v>-28.58</v>
      </c>
      <c r="X81" t="s">
        <v>81</v>
      </c>
    </row>
    <row r="82" spans="1:24" ht="13.8" x14ac:dyDescent="0.25">
      <c r="A82" t="s">
        <v>355</v>
      </c>
      <c r="B82">
        <f>YEAR(Retail_data[[#This Row],[Order Date]])</f>
        <v>2025</v>
      </c>
      <c r="C82" t="str">
        <f>TEXT(Retail_data[[#This Row],[Order Date]],"mmmm")</f>
        <v>December</v>
      </c>
      <c r="D82">
        <f>MONTH(Retail_data[[#This Row],[Order Date]])</f>
        <v>12</v>
      </c>
      <c r="E82" t="str">
        <f>"Q"&amp;ROUNDUP(MONTH(Retail_data[[#This Row],[Order Date]])/3,0)</f>
        <v>Q4</v>
      </c>
      <c r="F82" s="1">
        <v>46002</v>
      </c>
      <c r="G82" s="1">
        <v>46006</v>
      </c>
      <c r="H82" t="s">
        <v>356</v>
      </c>
      <c r="I82" t="s">
        <v>357</v>
      </c>
      <c r="J82" t="s">
        <v>33</v>
      </c>
      <c r="K82" t="s">
        <v>22</v>
      </c>
      <c r="L82" t="s">
        <v>23</v>
      </c>
      <c r="M82" t="s">
        <v>24</v>
      </c>
      <c r="N82" t="s">
        <v>25</v>
      </c>
      <c r="O82" t="s">
        <v>37</v>
      </c>
      <c r="P82" t="s">
        <v>52</v>
      </c>
      <c r="Q82" t="s">
        <v>358</v>
      </c>
      <c r="R82">
        <v>31381.35</v>
      </c>
      <c r="S82">
        <v>2</v>
      </c>
      <c r="T82">
        <v>0.1</v>
      </c>
      <c r="U82" t="str">
        <f>IF(Retail_data[[#This Row],[Sales]]&gt;30000,"High",IF(Retail_data[[#This Row],[Sales]]&gt;10000,"Medium","Low"))</f>
        <v>High</v>
      </c>
      <c r="V82" s="3">
        <f>Retail_data[[#This Row],[Profit]]/Retail_data[[#This Row],[Sales]]</f>
        <v>0.16304269892786641</v>
      </c>
      <c r="W82">
        <v>5116.5</v>
      </c>
      <c r="X82" t="s">
        <v>48</v>
      </c>
    </row>
    <row r="83" spans="1:24" ht="13.8" x14ac:dyDescent="0.25">
      <c r="A83" t="s">
        <v>359</v>
      </c>
      <c r="B83">
        <f>YEAR(Retail_data[[#This Row],[Order Date]])</f>
        <v>2025</v>
      </c>
      <c r="C83" t="str">
        <f>TEXT(Retail_data[[#This Row],[Order Date]],"mmmm")</f>
        <v>December</v>
      </c>
      <c r="D83">
        <f>MONTH(Retail_data[[#This Row],[Order Date]])</f>
        <v>12</v>
      </c>
      <c r="E83" t="str">
        <f>"Q"&amp;ROUNDUP(MONTH(Retail_data[[#This Row],[Order Date]])/3,0)</f>
        <v>Q4</v>
      </c>
      <c r="F83" s="1">
        <v>46003</v>
      </c>
      <c r="G83" s="1">
        <v>46007</v>
      </c>
      <c r="H83" t="s">
        <v>360</v>
      </c>
      <c r="I83" t="s">
        <v>361</v>
      </c>
      <c r="J83" t="s">
        <v>21</v>
      </c>
      <c r="K83" t="s">
        <v>22</v>
      </c>
      <c r="L83" t="s">
        <v>85</v>
      </c>
      <c r="M83" t="s">
        <v>86</v>
      </c>
      <c r="N83" t="s">
        <v>87</v>
      </c>
      <c r="O83" t="s">
        <v>57</v>
      </c>
      <c r="P83" t="s">
        <v>149</v>
      </c>
      <c r="Q83" t="s">
        <v>362</v>
      </c>
      <c r="R83">
        <v>7118.61</v>
      </c>
      <c r="S83">
        <v>5</v>
      </c>
      <c r="T83">
        <v>0</v>
      </c>
      <c r="U83" t="str">
        <f>IF(Retail_data[[#This Row],[Sales]]&gt;30000,"High",IF(Retail_data[[#This Row],[Sales]]&gt;10000,"Medium","Low"))</f>
        <v>Low</v>
      </c>
      <c r="V83" s="3">
        <f>Retail_data[[#This Row],[Profit]]/Retail_data[[#This Row],[Sales]]</f>
        <v>0.21245861200430985</v>
      </c>
      <c r="W83">
        <v>1512.41</v>
      </c>
      <c r="X83" t="s">
        <v>81</v>
      </c>
    </row>
    <row r="84" spans="1:24" ht="13.8" x14ac:dyDescent="0.25">
      <c r="A84" t="s">
        <v>363</v>
      </c>
      <c r="B84">
        <f>YEAR(Retail_data[[#This Row],[Order Date]])</f>
        <v>2025</v>
      </c>
      <c r="C84" t="str">
        <f>TEXT(Retail_data[[#This Row],[Order Date]],"mmmm")</f>
        <v>December</v>
      </c>
      <c r="D84">
        <f>MONTH(Retail_data[[#This Row],[Order Date]])</f>
        <v>12</v>
      </c>
      <c r="E84" t="str">
        <f>"Q"&amp;ROUNDUP(MONTH(Retail_data[[#This Row],[Order Date]])/3,0)</f>
        <v>Q4</v>
      </c>
      <c r="F84" s="1">
        <v>46004</v>
      </c>
      <c r="G84" s="1">
        <v>46008</v>
      </c>
      <c r="H84" t="s">
        <v>364</v>
      </c>
      <c r="I84" t="s">
        <v>365</v>
      </c>
      <c r="J84" t="s">
        <v>33</v>
      </c>
      <c r="K84" t="s">
        <v>22</v>
      </c>
      <c r="L84" t="s">
        <v>23</v>
      </c>
      <c r="M84" t="s">
        <v>24</v>
      </c>
      <c r="N84" t="s">
        <v>25</v>
      </c>
      <c r="O84" t="s">
        <v>57</v>
      </c>
      <c r="P84" t="s">
        <v>149</v>
      </c>
      <c r="Q84" t="s">
        <v>366</v>
      </c>
      <c r="R84">
        <v>4998.6099999999997</v>
      </c>
      <c r="S84">
        <v>8</v>
      </c>
      <c r="T84">
        <v>0.1</v>
      </c>
      <c r="U84" t="str">
        <f>IF(Retail_data[[#This Row],[Sales]]&gt;30000,"High",IF(Retail_data[[#This Row],[Sales]]&gt;10000,"Medium","Low"))</f>
        <v>Low</v>
      </c>
      <c r="V84" s="3">
        <f>Retail_data[[#This Row],[Profit]]/Retail_data[[#This Row],[Sales]]</f>
        <v>5.7083869315669757E-2</v>
      </c>
      <c r="W84">
        <v>285.33999999999997</v>
      </c>
      <c r="X84" t="s">
        <v>40</v>
      </c>
    </row>
    <row r="85" spans="1:24" ht="13.8" x14ac:dyDescent="0.25">
      <c r="A85" t="s">
        <v>367</v>
      </c>
      <c r="B85">
        <f>YEAR(Retail_data[[#This Row],[Order Date]])</f>
        <v>2025</v>
      </c>
      <c r="C85" t="str">
        <f>TEXT(Retail_data[[#This Row],[Order Date]],"mmmm")</f>
        <v>December</v>
      </c>
      <c r="D85">
        <f>MONTH(Retail_data[[#This Row],[Order Date]])</f>
        <v>12</v>
      </c>
      <c r="E85" t="str">
        <f>"Q"&amp;ROUNDUP(MONTH(Retail_data[[#This Row],[Order Date]])/3,0)</f>
        <v>Q4</v>
      </c>
      <c r="F85" s="1">
        <v>46005</v>
      </c>
      <c r="G85" s="1">
        <v>46009</v>
      </c>
      <c r="H85" t="s">
        <v>368</v>
      </c>
      <c r="I85" t="s">
        <v>369</v>
      </c>
      <c r="J85" t="s">
        <v>33</v>
      </c>
      <c r="K85" t="s">
        <v>22</v>
      </c>
      <c r="L85" t="s">
        <v>23</v>
      </c>
      <c r="M85" t="s">
        <v>24</v>
      </c>
      <c r="N85" t="s">
        <v>25</v>
      </c>
      <c r="O85" t="s">
        <v>57</v>
      </c>
      <c r="P85" t="s">
        <v>79</v>
      </c>
      <c r="Q85" t="s">
        <v>370</v>
      </c>
      <c r="R85">
        <v>32656.71</v>
      </c>
      <c r="S85">
        <v>1</v>
      </c>
      <c r="T85">
        <v>0.3</v>
      </c>
      <c r="U85" t="str">
        <f>IF(Retail_data[[#This Row],[Sales]]&gt;30000,"High",IF(Retail_data[[#This Row],[Sales]]&gt;10000,"Medium","Low"))</f>
        <v>High</v>
      </c>
      <c r="V85" s="3">
        <f>Retail_data[[#This Row],[Profit]]/Retail_data[[#This Row],[Sales]]</f>
        <v>0.14593325537079516</v>
      </c>
      <c r="W85">
        <v>4765.7</v>
      </c>
      <c r="X85" t="s">
        <v>29</v>
      </c>
    </row>
    <row r="86" spans="1:24" ht="13.8" x14ac:dyDescent="0.25">
      <c r="A86" t="s">
        <v>371</v>
      </c>
      <c r="B86">
        <f>YEAR(Retail_data[[#This Row],[Order Date]])</f>
        <v>2025</v>
      </c>
      <c r="C86" t="str">
        <f>TEXT(Retail_data[[#This Row],[Order Date]],"mmmm")</f>
        <v>December</v>
      </c>
      <c r="D86">
        <f>MONTH(Retail_data[[#This Row],[Order Date]])</f>
        <v>12</v>
      </c>
      <c r="E86" t="str">
        <f>"Q"&amp;ROUNDUP(MONTH(Retail_data[[#This Row],[Order Date]])/3,0)</f>
        <v>Q4</v>
      </c>
      <c r="F86" s="1">
        <v>46006</v>
      </c>
      <c r="G86" s="1">
        <v>46010</v>
      </c>
      <c r="H86" t="s">
        <v>372</v>
      </c>
      <c r="I86" t="s">
        <v>373</v>
      </c>
      <c r="J86" t="s">
        <v>33</v>
      </c>
      <c r="K86" t="s">
        <v>22</v>
      </c>
      <c r="L86" t="s">
        <v>85</v>
      </c>
      <c r="M86" t="s">
        <v>86</v>
      </c>
      <c r="N86" t="s">
        <v>87</v>
      </c>
      <c r="O86" t="s">
        <v>37</v>
      </c>
      <c r="P86" t="s">
        <v>52</v>
      </c>
      <c r="Q86" t="s">
        <v>101</v>
      </c>
      <c r="R86">
        <v>40163.61</v>
      </c>
      <c r="S86">
        <v>1</v>
      </c>
      <c r="T86">
        <v>0.1</v>
      </c>
      <c r="U86" t="str">
        <f>IF(Retail_data[[#This Row],[Sales]]&gt;30000,"High",IF(Retail_data[[#This Row],[Sales]]&gt;10000,"Medium","Low"))</f>
        <v>High</v>
      </c>
      <c r="V86" s="3">
        <f>Retail_data[[#This Row],[Profit]]/Retail_data[[#This Row],[Sales]]</f>
        <v>6.6690967271119311E-2</v>
      </c>
      <c r="W86">
        <v>2678.55</v>
      </c>
      <c r="X86" t="s">
        <v>40</v>
      </c>
    </row>
    <row r="87" spans="1:24" ht="13.8" x14ac:dyDescent="0.25">
      <c r="A87" t="s">
        <v>374</v>
      </c>
      <c r="B87">
        <f>YEAR(Retail_data[[#This Row],[Order Date]])</f>
        <v>2025</v>
      </c>
      <c r="C87" t="str">
        <f>TEXT(Retail_data[[#This Row],[Order Date]],"mmmm")</f>
        <v>December</v>
      </c>
      <c r="D87">
        <f>MONTH(Retail_data[[#This Row],[Order Date]])</f>
        <v>12</v>
      </c>
      <c r="E87" t="str">
        <f>"Q"&amp;ROUNDUP(MONTH(Retail_data[[#This Row],[Order Date]])/3,0)</f>
        <v>Q4</v>
      </c>
      <c r="F87" s="1">
        <v>46007</v>
      </c>
      <c r="G87" s="1">
        <v>46011</v>
      </c>
      <c r="H87" t="s">
        <v>375</v>
      </c>
      <c r="I87" t="s">
        <v>376</v>
      </c>
      <c r="J87" t="s">
        <v>21</v>
      </c>
      <c r="K87" t="s">
        <v>22</v>
      </c>
      <c r="L87" t="s">
        <v>34</v>
      </c>
      <c r="M87" t="s">
        <v>35</v>
      </c>
      <c r="N87" t="s">
        <v>36</v>
      </c>
      <c r="O87" t="s">
        <v>37</v>
      </c>
      <c r="P87" t="s">
        <v>38</v>
      </c>
      <c r="Q87" t="s">
        <v>145</v>
      </c>
      <c r="R87">
        <v>10579.9</v>
      </c>
      <c r="S87">
        <v>1</v>
      </c>
      <c r="T87">
        <v>0</v>
      </c>
      <c r="U87" t="str">
        <f>IF(Retail_data[[#This Row],[Sales]]&gt;30000,"High",IF(Retail_data[[#This Row],[Sales]]&gt;10000,"Medium","Low"))</f>
        <v>Medium</v>
      </c>
      <c r="V87" s="3">
        <f>Retail_data[[#This Row],[Profit]]/Retail_data[[#This Row],[Sales]]</f>
        <v>0.2776812635280107</v>
      </c>
      <c r="W87">
        <v>2937.84</v>
      </c>
      <c r="X87" t="s">
        <v>81</v>
      </c>
    </row>
    <row r="88" spans="1:24" ht="13.8" x14ac:dyDescent="0.25">
      <c r="A88" t="s">
        <v>377</v>
      </c>
      <c r="B88">
        <f>YEAR(Retail_data[[#This Row],[Order Date]])</f>
        <v>2025</v>
      </c>
      <c r="C88" t="str">
        <f>TEXT(Retail_data[[#This Row],[Order Date]],"mmmm")</f>
        <v>December</v>
      </c>
      <c r="D88">
        <f>MONTH(Retail_data[[#This Row],[Order Date]])</f>
        <v>12</v>
      </c>
      <c r="E88" t="str">
        <f>"Q"&amp;ROUNDUP(MONTH(Retail_data[[#This Row],[Order Date]])/3,0)</f>
        <v>Q4</v>
      </c>
      <c r="F88" s="1">
        <v>46008</v>
      </c>
      <c r="G88" s="1">
        <v>46012</v>
      </c>
      <c r="H88" t="s">
        <v>378</v>
      </c>
      <c r="I88" t="s">
        <v>379</v>
      </c>
      <c r="J88" t="s">
        <v>21</v>
      </c>
      <c r="K88" t="s">
        <v>22</v>
      </c>
      <c r="L88" t="s">
        <v>45</v>
      </c>
      <c r="M88" t="s">
        <v>45</v>
      </c>
      <c r="N88" t="s">
        <v>25</v>
      </c>
      <c r="O88" t="s">
        <v>26</v>
      </c>
      <c r="P88" t="s">
        <v>70</v>
      </c>
      <c r="Q88" t="s">
        <v>239</v>
      </c>
      <c r="R88">
        <v>15057.24</v>
      </c>
      <c r="S88">
        <v>2</v>
      </c>
      <c r="T88">
        <v>0.1</v>
      </c>
      <c r="U88" t="str">
        <f>IF(Retail_data[[#This Row],[Sales]]&gt;30000,"High",IF(Retail_data[[#This Row],[Sales]]&gt;10000,"Medium","Low"))</f>
        <v>Medium</v>
      </c>
      <c r="V88" s="3">
        <f>Retail_data[[#This Row],[Profit]]/Retail_data[[#This Row],[Sales]]</f>
        <v>0.10900802537516835</v>
      </c>
      <c r="W88">
        <v>1641.36</v>
      </c>
      <c r="X88" t="s">
        <v>48</v>
      </c>
    </row>
    <row r="89" spans="1:24" ht="13.8" x14ac:dyDescent="0.25">
      <c r="A89" t="s">
        <v>380</v>
      </c>
      <c r="B89">
        <f>YEAR(Retail_data[[#This Row],[Order Date]])</f>
        <v>2025</v>
      </c>
      <c r="C89" t="str">
        <f>TEXT(Retail_data[[#This Row],[Order Date]],"mmmm")</f>
        <v>December</v>
      </c>
      <c r="D89">
        <f>MONTH(Retail_data[[#This Row],[Order Date]])</f>
        <v>12</v>
      </c>
      <c r="E89" t="str">
        <f>"Q"&amp;ROUNDUP(MONTH(Retail_data[[#This Row],[Order Date]])/3,0)</f>
        <v>Q4</v>
      </c>
      <c r="F89" s="1">
        <v>46009</v>
      </c>
      <c r="G89" s="1">
        <v>46013</v>
      </c>
      <c r="H89" t="s">
        <v>381</v>
      </c>
      <c r="I89" t="s">
        <v>382</v>
      </c>
      <c r="J89" t="s">
        <v>44</v>
      </c>
      <c r="K89" t="s">
        <v>22</v>
      </c>
      <c r="L89" t="s">
        <v>34</v>
      </c>
      <c r="M89" t="s">
        <v>35</v>
      </c>
      <c r="N89" t="s">
        <v>36</v>
      </c>
      <c r="O89" t="s">
        <v>37</v>
      </c>
      <c r="P89" t="s">
        <v>38</v>
      </c>
      <c r="Q89" t="s">
        <v>383</v>
      </c>
      <c r="R89">
        <v>12668.44</v>
      </c>
      <c r="S89">
        <v>5</v>
      </c>
      <c r="T89">
        <v>0.1</v>
      </c>
      <c r="U89" t="str">
        <f>IF(Retail_data[[#This Row],[Sales]]&gt;30000,"High",IF(Retail_data[[#This Row],[Sales]]&gt;10000,"Medium","Low"))</f>
        <v>Medium</v>
      </c>
      <c r="V89" s="3">
        <f>Retail_data[[#This Row],[Profit]]/Retail_data[[#This Row],[Sales]]</f>
        <v>0.13352867440663568</v>
      </c>
      <c r="W89">
        <v>1691.6</v>
      </c>
      <c r="X89" t="s">
        <v>40</v>
      </c>
    </row>
    <row r="90" spans="1:24" ht="13.8" x14ac:dyDescent="0.25">
      <c r="A90" t="s">
        <v>384</v>
      </c>
      <c r="B90">
        <f>YEAR(Retail_data[[#This Row],[Order Date]])</f>
        <v>2025</v>
      </c>
      <c r="C90" t="str">
        <f>TEXT(Retail_data[[#This Row],[Order Date]],"mmmm")</f>
        <v>December</v>
      </c>
      <c r="D90">
        <f>MONTH(Retail_data[[#This Row],[Order Date]])</f>
        <v>12</v>
      </c>
      <c r="E90" t="str">
        <f>"Q"&amp;ROUNDUP(MONTH(Retail_data[[#This Row],[Order Date]])/3,0)</f>
        <v>Q4</v>
      </c>
      <c r="F90" s="1">
        <v>46010</v>
      </c>
      <c r="G90" s="1">
        <v>46014</v>
      </c>
      <c r="H90" t="s">
        <v>385</v>
      </c>
      <c r="I90" t="s">
        <v>386</v>
      </c>
      <c r="J90" t="s">
        <v>21</v>
      </c>
      <c r="K90" t="s">
        <v>22</v>
      </c>
      <c r="L90" t="s">
        <v>34</v>
      </c>
      <c r="M90" t="s">
        <v>35</v>
      </c>
      <c r="N90" t="s">
        <v>36</v>
      </c>
      <c r="O90" t="s">
        <v>57</v>
      </c>
      <c r="P90" t="s">
        <v>58</v>
      </c>
      <c r="Q90" t="s">
        <v>387</v>
      </c>
      <c r="R90">
        <v>25536.89</v>
      </c>
      <c r="S90">
        <v>1</v>
      </c>
      <c r="T90">
        <v>0.2</v>
      </c>
      <c r="U90" t="str">
        <f>IF(Retail_data[[#This Row],[Sales]]&gt;30000,"High",IF(Retail_data[[#This Row],[Sales]]&gt;10000,"Medium","Low"))</f>
        <v>Medium</v>
      </c>
      <c r="V90" s="3">
        <f>Retail_data[[#This Row],[Profit]]/Retail_data[[#This Row],[Sales]]</f>
        <v>0.1481589966515108</v>
      </c>
      <c r="W90">
        <v>3783.52</v>
      </c>
      <c r="X90" t="s">
        <v>40</v>
      </c>
    </row>
    <row r="91" spans="1:24" ht="13.8" x14ac:dyDescent="0.25">
      <c r="A91" t="s">
        <v>388</v>
      </c>
      <c r="B91">
        <f>YEAR(Retail_data[[#This Row],[Order Date]])</f>
        <v>2025</v>
      </c>
      <c r="C91" t="str">
        <f>TEXT(Retail_data[[#This Row],[Order Date]],"mmmm")</f>
        <v>December</v>
      </c>
      <c r="D91">
        <f>MONTH(Retail_data[[#This Row],[Order Date]])</f>
        <v>12</v>
      </c>
      <c r="E91" t="str">
        <f>"Q"&amp;ROUNDUP(MONTH(Retail_data[[#This Row],[Order Date]])/3,0)</f>
        <v>Q4</v>
      </c>
      <c r="F91" s="1">
        <v>46011</v>
      </c>
      <c r="G91" s="1">
        <v>46015</v>
      </c>
      <c r="H91" t="s">
        <v>389</v>
      </c>
      <c r="I91" t="s">
        <v>390</v>
      </c>
      <c r="J91" t="s">
        <v>33</v>
      </c>
      <c r="K91" t="s">
        <v>22</v>
      </c>
      <c r="L91" t="s">
        <v>34</v>
      </c>
      <c r="M91" t="s">
        <v>35</v>
      </c>
      <c r="N91" t="s">
        <v>36</v>
      </c>
      <c r="O91" t="s">
        <v>37</v>
      </c>
      <c r="P91" t="s">
        <v>46</v>
      </c>
      <c r="Q91" t="s">
        <v>391</v>
      </c>
      <c r="R91">
        <v>23306.84</v>
      </c>
      <c r="S91">
        <v>8</v>
      </c>
      <c r="T91">
        <v>0.3</v>
      </c>
      <c r="U91" t="str">
        <f>IF(Retail_data[[#This Row],[Sales]]&gt;30000,"High",IF(Retail_data[[#This Row],[Sales]]&gt;10000,"Medium","Low"))</f>
        <v>Medium</v>
      </c>
      <c r="V91" s="3">
        <f>Retail_data[[#This Row],[Profit]]/Retail_data[[#This Row],[Sales]]</f>
        <v>0.15262601021845948</v>
      </c>
      <c r="W91">
        <v>3557.23</v>
      </c>
      <c r="X91" t="s">
        <v>81</v>
      </c>
    </row>
    <row r="92" spans="1:24" ht="13.8" x14ac:dyDescent="0.25">
      <c r="A92" t="s">
        <v>392</v>
      </c>
      <c r="B92">
        <f>YEAR(Retail_data[[#This Row],[Order Date]])</f>
        <v>2025</v>
      </c>
      <c r="C92" t="str">
        <f>TEXT(Retail_data[[#This Row],[Order Date]],"mmmm")</f>
        <v>December</v>
      </c>
      <c r="D92">
        <f>MONTH(Retail_data[[#This Row],[Order Date]])</f>
        <v>12</v>
      </c>
      <c r="E92" t="str">
        <f>"Q"&amp;ROUNDUP(MONTH(Retail_data[[#This Row],[Order Date]])/3,0)</f>
        <v>Q4</v>
      </c>
      <c r="F92" s="1">
        <v>46012</v>
      </c>
      <c r="G92" s="1">
        <v>46016</v>
      </c>
      <c r="H92" t="s">
        <v>393</v>
      </c>
      <c r="I92" t="s">
        <v>394</v>
      </c>
      <c r="J92" t="s">
        <v>21</v>
      </c>
      <c r="K92" t="s">
        <v>22</v>
      </c>
      <c r="L92" t="s">
        <v>85</v>
      </c>
      <c r="M92" t="s">
        <v>86</v>
      </c>
      <c r="N92" t="s">
        <v>87</v>
      </c>
      <c r="O92" t="s">
        <v>57</v>
      </c>
      <c r="P92" t="s">
        <v>79</v>
      </c>
      <c r="Q92" t="s">
        <v>395</v>
      </c>
      <c r="R92">
        <v>22953.71</v>
      </c>
      <c r="S92">
        <v>2</v>
      </c>
      <c r="T92">
        <v>0</v>
      </c>
      <c r="U92" t="str">
        <f>IF(Retail_data[[#This Row],[Sales]]&gt;30000,"High",IF(Retail_data[[#This Row],[Sales]]&gt;10000,"Medium","Low"))</f>
        <v>Medium</v>
      </c>
      <c r="V92" s="3">
        <f>Retail_data[[#This Row],[Profit]]/Retail_data[[#This Row],[Sales]]</f>
        <v>0.27589091262371096</v>
      </c>
      <c r="W92">
        <v>6332.72</v>
      </c>
      <c r="X92" t="s">
        <v>48</v>
      </c>
    </row>
    <row r="93" spans="1:24" ht="13.8" x14ac:dyDescent="0.25">
      <c r="A93" t="s">
        <v>396</v>
      </c>
      <c r="B93">
        <f>YEAR(Retail_data[[#This Row],[Order Date]])</f>
        <v>2025</v>
      </c>
      <c r="C93" t="str">
        <f>TEXT(Retail_data[[#This Row],[Order Date]],"mmmm")</f>
        <v>December</v>
      </c>
      <c r="D93">
        <f>MONTH(Retail_data[[#This Row],[Order Date]])</f>
        <v>12</v>
      </c>
      <c r="E93" t="str">
        <f>"Q"&amp;ROUNDUP(MONTH(Retail_data[[#This Row],[Order Date]])/3,0)</f>
        <v>Q4</v>
      </c>
      <c r="F93" s="1">
        <v>46013</v>
      </c>
      <c r="G93" s="1">
        <v>46017</v>
      </c>
      <c r="H93" t="s">
        <v>397</v>
      </c>
      <c r="I93" t="s">
        <v>398</v>
      </c>
      <c r="J93" t="s">
        <v>21</v>
      </c>
      <c r="K93" t="s">
        <v>22</v>
      </c>
      <c r="L93" t="s">
        <v>45</v>
      </c>
      <c r="M93" t="s">
        <v>45</v>
      </c>
      <c r="N93" t="s">
        <v>25</v>
      </c>
      <c r="O93" t="s">
        <v>57</v>
      </c>
      <c r="P93" t="s">
        <v>149</v>
      </c>
      <c r="Q93" t="s">
        <v>399</v>
      </c>
      <c r="R93">
        <v>28875.22</v>
      </c>
      <c r="S93">
        <v>8</v>
      </c>
      <c r="T93">
        <v>0</v>
      </c>
      <c r="U93" t="str">
        <f>IF(Retail_data[[#This Row],[Sales]]&gt;30000,"High",IF(Retail_data[[#This Row],[Sales]]&gt;10000,"Medium","Low"))</f>
        <v>Medium</v>
      </c>
      <c r="V93" s="3">
        <f>Retail_data[[#This Row],[Profit]]/Retail_data[[#This Row],[Sales]]</f>
        <v>8.9357241260845807E-2</v>
      </c>
      <c r="W93">
        <v>2580.21</v>
      </c>
      <c r="X93" t="s">
        <v>81</v>
      </c>
    </row>
    <row r="94" spans="1:24" ht="13.8" x14ac:dyDescent="0.25">
      <c r="A94" t="s">
        <v>400</v>
      </c>
      <c r="B94">
        <f>YEAR(Retail_data[[#This Row],[Order Date]])</f>
        <v>2025</v>
      </c>
      <c r="C94" t="str">
        <f>TEXT(Retail_data[[#This Row],[Order Date]],"mmmm")</f>
        <v>December</v>
      </c>
      <c r="D94">
        <f>MONTH(Retail_data[[#This Row],[Order Date]])</f>
        <v>12</v>
      </c>
      <c r="E94" t="str">
        <f>"Q"&amp;ROUNDUP(MONTH(Retail_data[[#This Row],[Order Date]])/3,0)</f>
        <v>Q4</v>
      </c>
      <c r="F94" s="1">
        <v>46014</v>
      </c>
      <c r="G94" s="1">
        <v>46018</v>
      </c>
      <c r="H94" t="s">
        <v>401</v>
      </c>
      <c r="I94" t="s">
        <v>402</v>
      </c>
      <c r="J94" t="s">
        <v>44</v>
      </c>
      <c r="K94" t="s">
        <v>22</v>
      </c>
      <c r="L94" t="s">
        <v>34</v>
      </c>
      <c r="M94" t="s">
        <v>35</v>
      </c>
      <c r="N94" t="s">
        <v>36</v>
      </c>
      <c r="O94" t="s">
        <v>26</v>
      </c>
      <c r="P94" t="s">
        <v>27</v>
      </c>
      <c r="Q94" t="s">
        <v>403</v>
      </c>
      <c r="R94">
        <v>39562.94</v>
      </c>
      <c r="S94">
        <v>3</v>
      </c>
      <c r="T94">
        <v>0</v>
      </c>
      <c r="U94" t="str">
        <f>IF(Retail_data[[#This Row],[Sales]]&gt;30000,"High",IF(Retail_data[[#This Row],[Sales]]&gt;10000,"Medium","Low"))</f>
        <v>High</v>
      </c>
      <c r="V94" s="3">
        <f>Retail_data[[#This Row],[Profit]]/Retail_data[[#This Row],[Sales]]</f>
        <v>8.9257269555801461E-2</v>
      </c>
      <c r="W94">
        <v>3531.28</v>
      </c>
      <c r="X94" t="s">
        <v>48</v>
      </c>
    </row>
    <row r="95" spans="1:24" ht="13.8" x14ac:dyDescent="0.25">
      <c r="A95" t="s">
        <v>404</v>
      </c>
      <c r="B95">
        <f>YEAR(Retail_data[[#This Row],[Order Date]])</f>
        <v>2025</v>
      </c>
      <c r="C95" t="str">
        <f>TEXT(Retail_data[[#This Row],[Order Date]],"mmmm")</f>
        <v>December</v>
      </c>
      <c r="D95">
        <f>MONTH(Retail_data[[#This Row],[Order Date]])</f>
        <v>12</v>
      </c>
      <c r="E95" t="str">
        <f>"Q"&amp;ROUNDUP(MONTH(Retail_data[[#This Row],[Order Date]])/3,0)</f>
        <v>Q4</v>
      </c>
      <c r="F95" s="1">
        <v>46015</v>
      </c>
      <c r="G95" s="1">
        <v>46019</v>
      </c>
      <c r="H95" t="s">
        <v>405</v>
      </c>
      <c r="I95" t="s">
        <v>406</v>
      </c>
      <c r="J95" t="s">
        <v>21</v>
      </c>
      <c r="K95" t="s">
        <v>22</v>
      </c>
      <c r="L95" t="s">
        <v>23</v>
      </c>
      <c r="M95" t="s">
        <v>24</v>
      </c>
      <c r="N95" t="s">
        <v>25</v>
      </c>
      <c r="O95" t="s">
        <v>57</v>
      </c>
      <c r="P95" t="s">
        <v>149</v>
      </c>
      <c r="Q95" t="s">
        <v>407</v>
      </c>
      <c r="R95">
        <v>17115.14</v>
      </c>
      <c r="S95">
        <v>8</v>
      </c>
      <c r="T95">
        <v>0</v>
      </c>
      <c r="U95" t="str">
        <f>IF(Retail_data[[#This Row],[Sales]]&gt;30000,"High",IF(Retail_data[[#This Row],[Sales]]&gt;10000,"Medium","Low"))</f>
        <v>Medium</v>
      </c>
      <c r="V95" s="3">
        <f>Retail_data[[#This Row],[Profit]]/Retail_data[[#This Row],[Sales]]</f>
        <v>0.27056804677028645</v>
      </c>
      <c r="W95">
        <v>4630.8100000000004</v>
      </c>
      <c r="X95" t="s">
        <v>81</v>
      </c>
    </row>
    <row r="96" spans="1:24" ht="13.8" x14ac:dyDescent="0.25">
      <c r="A96" t="s">
        <v>408</v>
      </c>
      <c r="B96">
        <f>YEAR(Retail_data[[#This Row],[Order Date]])</f>
        <v>2025</v>
      </c>
      <c r="C96" t="str">
        <f>TEXT(Retail_data[[#This Row],[Order Date]],"mmmm")</f>
        <v>December</v>
      </c>
      <c r="D96">
        <f>MONTH(Retail_data[[#This Row],[Order Date]])</f>
        <v>12</v>
      </c>
      <c r="E96" t="str">
        <f>"Q"&amp;ROUNDUP(MONTH(Retail_data[[#This Row],[Order Date]])/3,0)</f>
        <v>Q4</v>
      </c>
      <c r="F96" s="1">
        <v>46016</v>
      </c>
      <c r="G96" s="1">
        <v>46020</v>
      </c>
      <c r="H96" t="s">
        <v>409</v>
      </c>
      <c r="I96" t="s">
        <v>410</v>
      </c>
      <c r="J96" t="s">
        <v>21</v>
      </c>
      <c r="K96" t="s">
        <v>22</v>
      </c>
      <c r="L96" t="s">
        <v>85</v>
      </c>
      <c r="M96" t="s">
        <v>86</v>
      </c>
      <c r="N96" t="s">
        <v>87</v>
      </c>
      <c r="O96" t="s">
        <v>37</v>
      </c>
      <c r="P96" t="s">
        <v>38</v>
      </c>
      <c r="Q96" t="s">
        <v>411</v>
      </c>
      <c r="R96">
        <v>31110.11</v>
      </c>
      <c r="S96">
        <v>1</v>
      </c>
      <c r="T96">
        <v>0.3</v>
      </c>
      <c r="U96" t="str">
        <f>IF(Retail_data[[#This Row],[Sales]]&gt;30000,"High",IF(Retail_data[[#This Row],[Sales]]&gt;10000,"Medium","Low"))</f>
        <v>High</v>
      </c>
      <c r="V96" s="3">
        <f>Retail_data[[#This Row],[Profit]]/Retail_data[[#This Row],[Sales]]</f>
        <v>1.477686835565673E-2</v>
      </c>
      <c r="W96">
        <v>459.71</v>
      </c>
      <c r="X96" t="s">
        <v>48</v>
      </c>
    </row>
    <row r="97" spans="1:24" ht="13.8" x14ac:dyDescent="0.25">
      <c r="A97" t="s">
        <v>412</v>
      </c>
      <c r="B97">
        <f>YEAR(Retail_data[[#This Row],[Order Date]])</f>
        <v>2025</v>
      </c>
      <c r="C97" t="str">
        <f>TEXT(Retail_data[[#This Row],[Order Date]],"mmmm")</f>
        <v>December</v>
      </c>
      <c r="D97">
        <f>MONTH(Retail_data[[#This Row],[Order Date]])</f>
        <v>12</v>
      </c>
      <c r="E97" t="str">
        <f>"Q"&amp;ROUNDUP(MONTH(Retail_data[[#This Row],[Order Date]])/3,0)</f>
        <v>Q4</v>
      </c>
      <c r="F97" s="1">
        <v>46017</v>
      </c>
      <c r="G97" s="1">
        <v>46021</v>
      </c>
      <c r="H97" t="s">
        <v>413</v>
      </c>
      <c r="I97" t="s">
        <v>414</v>
      </c>
      <c r="J97" t="s">
        <v>33</v>
      </c>
      <c r="K97" t="s">
        <v>22</v>
      </c>
      <c r="L97" t="s">
        <v>45</v>
      </c>
      <c r="M97" t="s">
        <v>45</v>
      </c>
      <c r="N97" t="s">
        <v>25</v>
      </c>
      <c r="O97" t="s">
        <v>26</v>
      </c>
      <c r="P97" t="s">
        <v>92</v>
      </c>
      <c r="Q97" t="s">
        <v>415</v>
      </c>
      <c r="R97">
        <v>31131.9</v>
      </c>
      <c r="S97">
        <v>8</v>
      </c>
      <c r="T97">
        <v>0.1</v>
      </c>
      <c r="U97" t="str">
        <f>IF(Retail_data[[#This Row],[Sales]]&gt;30000,"High",IF(Retail_data[[#This Row],[Sales]]&gt;10000,"Medium","Low"))</f>
        <v>High</v>
      </c>
      <c r="V97" s="3">
        <f>Retail_data[[#This Row],[Profit]]/Retail_data[[#This Row],[Sales]]</f>
        <v>9.0165071839495819E-2</v>
      </c>
      <c r="W97">
        <v>2807.01</v>
      </c>
      <c r="X97" t="s">
        <v>81</v>
      </c>
    </row>
    <row r="98" spans="1:24" ht="13.8" x14ac:dyDescent="0.25">
      <c r="A98" t="s">
        <v>416</v>
      </c>
      <c r="B98">
        <f>YEAR(Retail_data[[#This Row],[Order Date]])</f>
        <v>2025</v>
      </c>
      <c r="C98" t="str">
        <f>TEXT(Retail_data[[#This Row],[Order Date]],"mmmm")</f>
        <v>December</v>
      </c>
      <c r="D98">
        <f>MONTH(Retail_data[[#This Row],[Order Date]])</f>
        <v>12</v>
      </c>
      <c r="E98" t="str">
        <f>"Q"&amp;ROUNDUP(MONTH(Retail_data[[#This Row],[Order Date]])/3,0)</f>
        <v>Q4</v>
      </c>
      <c r="F98" s="1">
        <v>46018</v>
      </c>
      <c r="G98" s="1">
        <v>46022</v>
      </c>
      <c r="H98" t="s">
        <v>417</v>
      </c>
      <c r="I98" t="s">
        <v>418</v>
      </c>
      <c r="J98" t="s">
        <v>21</v>
      </c>
      <c r="K98" t="s">
        <v>22</v>
      </c>
      <c r="L98" t="s">
        <v>85</v>
      </c>
      <c r="M98" t="s">
        <v>86</v>
      </c>
      <c r="N98" t="s">
        <v>87</v>
      </c>
      <c r="O98" t="s">
        <v>57</v>
      </c>
      <c r="P98" t="s">
        <v>58</v>
      </c>
      <c r="Q98" t="s">
        <v>419</v>
      </c>
      <c r="R98">
        <v>40008.720000000001</v>
      </c>
      <c r="S98">
        <v>7</v>
      </c>
      <c r="T98">
        <v>0.3</v>
      </c>
      <c r="U98" t="str">
        <f>IF(Retail_data[[#This Row],[Sales]]&gt;30000,"High",IF(Retail_data[[#This Row],[Sales]]&gt;10000,"Medium","Low"))</f>
        <v>High</v>
      </c>
      <c r="V98" s="3">
        <f>Retail_data[[#This Row],[Profit]]/Retail_data[[#This Row],[Sales]]</f>
        <v>0.11305435415079512</v>
      </c>
      <c r="W98">
        <v>4523.16</v>
      </c>
      <c r="X98" t="s">
        <v>29</v>
      </c>
    </row>
    <row r="99" spans="1:24" ht="13.8" x14ac:dyDescent="0.25">
      <c r="A99" t="s">
        <v>420</v>
      </c>
      <c r="B99">
        <f>YEAR(Retail_data[[#This Row],[Order Date]])</f>
        <v>2025</v>
      </c>
      <c r="C99" t="str">
        <f>TEXT(Retail_data[[#This Row],[Order Date]],"mmmm")</f>
        <v>December</v>
      </c>
      <c r="D99">
        <f>MONTH(Retail_data[[#This Row],[Order Date]])</f>
        <v>12</v>
      </c>
      <c r="E99" t="str">
        <f>"Q"&amp;ROUNDUP(MONTH(Retail_data[[#This Row],[Order Date]])/3,0)</f>
        <v>Q4</v>
      </c>
      <c r="F99" s="1">
        <v>46019</v>
      </c>
      <c r="G99" s="1">
        <v>46023</v>
      </c>
      <c r="H99" t="s">
        <v>421</v>
      </c>
      <c r="I99" t="s">
        <v>422</v>
      </c>
      <c r="J99" t="s">
        <v>21</v>
      </c>
      <c r="K99" t="s">
        <v>22</v>
      </c>
      <c r="L99" t="s">
        <v>45</v>
      </c>
      <c r="M99" t="s">
        <v>45</v>
      </c>
      <c r="N99" t="s">
        <v>25</v>
      </c>
      <c r="O99" t="s">
        <v>37</v>
      </c>
      <c r="P99" t="s">
        <v>52</v>
      </c>
      <c r="Q99" t="s">
        <v>292</v>
      </c>
      <c r="R99">
        <v>16432.21</v>
      </c>
      <c r="S99">
        <v>2</v>
      </c>
      <c r="T99">
        <v>0.3</v>
      </c>
      <c r="U99" t="str">
        <f>IF(Retail_data[[#This Row],[Sales]]&gt;30000,"High",IF(Retail_data[[#This Row],[Sales]]&gt;10000,"Medium","Low"))</f>
        <v>Medium</v>
      </c>
      <c r="V99" s="3">
        <f>Retail_data[[#This Row],[Profit]]/Retail_data[[#This Row],[Sales]]</f>
        <v>5.9048052574790608E-2</v>
      </c>
      <c r="W99">
        <v>970.29</v>
      </c>
      <c r="X99" t="s">
        <v>29</v>
      </c>
    </row>
    <row r="100" spans="1:24" ht="13.8" x14ac:dyDescent="0.25">
      <c r="A100" t="s">
        <v>423</v>
      </c>
      <c r="B100">
        <f>YEAR(Retail_data[[#This Row],[Order Date]])</f>
        <v>2025</v>
      </c>
      <c r="C100" t="str">
        <f>TEXT(Retail_data[[#This Row],[Order Date]],"mmmm")</f>
        <v>December</v>
      </c>
      <c r="D100">
        <f>MONTH(Retail_data[[#This Row],[Order Date]])</f>
        <v>12</v>
      </c>
      <c r="E100" t="str">
        <f>"Q"&amp;ROUNDUP(MONTH(Retail_data[[#This Row],[Order Date]])/3,0)</f>
        <v>Q4</v>
      </c>
      <c r="F100" s="1">
        <v>46020</v>
      </c>
      <c r="G100" s="1">
        <v>46024</v>
      </c>
      <c r="H100" t="s">
        <v>424</v>
      </c>
      <c r="I100" t="s">
        <v>425</v>
      </c>
      <c r="J100" t="s">
        <v>44</v>
      </c>
      <c r="K100" t="s">
        <v>22</v>
      </c>
      <c r="L100" t="s">
        <v>23</v>
      </c>
      <c r="M100" t="s">
        <v>24</v>
      </c>
      <c r="N100" t="s">
        <v>25</v>
      </c>
      <c r="O100" t="s">
        <v>37</v>
      </c>
      <c r="P100" t="s">
        <v>46</v>
      </c>
      <c r="Q100" t="s">
        <v>426</v>
      </c>
      <c r="R100">
        <v>26581.1</v>
      </c>
      <c r="S100">
        <v>7</v>
      </c>
      <c r="T100">
        <v>0.3</v>
      </c>
      <c r="U100" t="str">
        <f>IF(Retail_data[[#This Row],[Sales]]&gt;30000,"High",IF(Retail_data[[#This Row],[Sales]]&gt;10000,"Medium","Low"))</f>
        <v>Medium</v>
      </c>
      <c r="V100" s="3">
        <f>Retail_data[[#This Row],[Profit]]/Retail_data[[#This Row],[Sales]]</f>
        <v>6.7219565781702045E-2</v>
      </c>
      <c r="W100">
        <v>1786.77</v>
      </c>
      <c r="X100" t="s">
        <v>81</v>
      </c>
    </row>
    <row r="101" spans="1:24" ht="13.8" x14ac:dyDescent="0.25">
      <c r="A101" t="s">
        <v>427</v>
      </c>
      <c r="B101">
        <f>YEAR(Retail_data[[#This Row],[Order Date]])</f>
        <v>2025</v>
      </c>
      <c r="C101" t="str">
        <f>TEXT(Retail_data[[#This Row],[Order Date]],"mmmm")</f>
        <v>December</v>
      </c>
      <c r="D101">
        <f>MONTH(Retail_data[[#This Row],[Order Date]])</f>
        <v>12</v>
      </c>
      <c r="E101" t="str">
        <f>"Q"&amp;ROUNDUP(MONTH(Retail_data[[#This Row],[Order Date]])/3,0)</f>
        <v>Q4</v>
      </c>
      <c r="F101" s="1">
        <v>46021</v>
      </c>
      <c r="G101" s="1">
        <v>46025</v>
      </c>
      <c r="H101" t="s">
        <v>428</v>
      </c>
      <c r="I101" t="s">
        <v>429</v>
      </c>
      <c r="J101" t="s">
        <v>33</v>
      </c>
      <c r="K101" t="s">
        <v>22</v>
      </c>
      <c r="L101" t="s">
        <v>85</v>
      </c>
      <c r="M101" t="s">
        <v>86</v>
      </c>
      <c r="N101" t="s">
        <v>87</v>
      </c>
      <c r="O101" t="s">
        <v>57</v>
      </c>
      <c r="P101" t="s">
        <v>149</v>
      </c>
      <c r="Q101" t="s">
        <v>227</v>
      </c>
      <c r="R101">
        <v>11628.5</v>
      </c>
      <c r="S101">
        <v>1</v>
      </c>
      <c r="T101">
        <v>0.3</v>
      </c>
      <c r="U101" t="str">
        <f>IF(Retail_data[[#This Row],[Sales]]&gt;30000,"High",IF(Retail_data[[#This Row],[Sales]]&gt;10000,"Medium","Low"))</f>
        <v>Medium</v>
      </c>
      <c r="V101" s="3">
        <f>Retail_data[[#This Row],[Profit]]/Retail_data[[#This Row],[Sales]]</f>
        <v>5.3208066388614181E-2</v>
      </c>
      <c r="W101">
        <v>618.73</v>
      </c>
      <c r="X101" t="s">
        <v>29</v>
      </c>
    </row>
    <row r="102" spans="1:24" ht="13.8" x14ac:dyDescent="0.25">
      <c r="A102" t="s">
        <v>430</v>
      </c>
      <c r="B102">
        <f>YEAR(Retail_data[[#This Row],[Order Date]])</f>
        <v>2025</v>
      </c>
      <c r="C102" t="str">
        <f>TEXT(Retail_data[[#This Row],[Order Date]],"mmmm")</f>
        <v>December</v>
      </c>
      <c r="D102">
        <f>MONTH(Retail_data[[#This Row],[Order Date]])</f>
        <v>12</v>
      </c>
      <c r="E102" t="str">
        <f>"Q"&amp;ROUNDUP(MONTH(Retail_data[[#This Row],[Order Date]])/3,0)</f>
        <v>Q4</v>
      </c>
      <c r="F102" s="1">
        <v>46022</v>
      </c>
      <c r="G102" s="1">
        <v>46026</v>
      </c>
      <c r="H102" t="s">
        <v>431</v>
      </c>
      <c r="I102" t="s">
        <v>432</v>
      </c>
      <c r="J102" t="s">
        <v>21</v>
      </c>
      <c r="K102" t="s">
        <v>22</v>
      </c>
      <c r="L102" t="s">
        <v>23</v>
      </c>
      <c r="M102" t="s">
        <v>24</v>
      </c>
      <c r="N102" t="s">
        <v>25</v>
      </c>
      <c r="O102" t="s">
        <v>26</v>
      </c>
      <c r="P102" t="s">
        <v>92</v>
      </c>
      <c r="Q102" t="s">
        <v>433</v>
      </c>
      <c r="R102">
        <v>30532.15</v>
      </c>
      <c r="S102">
        <v>5</v>
      </c>
      <c r="T102">
        <v>0</v>
      </c>
      <c r="U102" t="str">
        <f>IF(Retail_data[[#This Row],[Sales]]&gt;30000,"High",IF(Retail_data[[#This Row],[Sales]]&gt;10000,"Medium","Low"))</f>
        <v>High</v>
      </c>
      <c r="V102" s="3">
        <f>Retail_data[[#This Row],[Profit]]/Retail_data[[#This Row],[Sales]]</f>
        <v>0.20703455210327473</v>
      </c>
      <c r="W102">
        <v>6321.21</v>
      </c>
      <c r="X102" t="s">
        <v>29</v>
      </c>
    </row>
    <row r="103" spans="1:24" ht="13.8" x14ac:dyDescent="0.25">
      <c r="A103" t="s">
        <v>434</v>
      </c>
      <c r="B103">
        <f>YEAR(Retail_data[[#This Row],[Order Date]])</f>
        <v>2026</v>
      </c>
      <c r="C103" t="str">
        <f>TEXT(Retail_data[[#This Row],[Order Date]],"mmmm")</f>
        <v>January</v>
      </c>
      <c r="D103">
        <f>MONTH(Retail_data[[#This Row],[Order Date]])</f>
        <v>1</v>
      </c>
      <c r="E103" t="str">
        <f>"Q"&amp;ROUNDUP(MONTH(Retail_data[[#This Row],[Order Date]])/3,0)</f>
        <v>Q1</v>
      </c>
      <c r="F103" s="1">
        <v>46023</v>
      </c>
      <c r="G103" s="1">
        <v>46027</v>
      </c>
      <c r="H103" t="s">
        <v>435</v>
      </c>
      <c r="I103" t="s">
        <v>436</v>
      </c>
      <c r="J103" t="s">
        <v>33</v>
      </c>
      <c r="K103" t="s">
        <v>22</v>
      </c>
      <c r="L103" t="s">
        <v>45</v>
      </c>
      <c r="M103" t="s">
        <v>45</v>
      </c>
      <c r="N103" t="s">
        <v>25</v>
      </c>
      <c r="O103" t="s">
        <v>57</v>
      </c>
      <c r="P103" t="s">
        <v>79</v>
      </c>
      <c r="Q103" t="s">
        <v>80</v>
      </c>
      <c r="R103">
        <v>1899.05</v>
      </c>
      <c r="S103">
        <v>5</v>
      </c>
      <c r="T103">
        <v>0.3</v>
      </c>
      <c r="U103" t="str">
        <f>IF(Retail_data[[#This Row],[Sales]]&gt;30000,"High",IF(Retail_data[[#This Row],[Sales]]&gt;10000,"Medium","Low"))</f>
        <v>Low</v>
      </c>
      <c r="V103" s="3">
        <f>Retail_data[[#This Row],[Profit]]/Retail_data[[#This Row],[Sales]]</f>
        <v>2.4380611358310734E-3</v>
      </c>
      <c r="W103">
        <v>4.63</v>
      </c>
      <c r="X103" t="s">
        <v>81</v>
      </c>
    </row>
    <row r="104" spans="1:24" ht="13.8" x14ac:dyDescent="0.25">
      <c r="A104" t="s">
        <v>437</v>
      </c>
      <c r="B104">
        <f>YEAR(Retail_data[[#This Row],[Order Date]])</f>
        <v>2026</v>
      </c>
      <c r="C104" t="str">
        <f>TEXT(Retail_data[[#This Row],[Order Date]],"mmmm")</f>
        <v>January</v>
      </c>
      <c r="D104">
        <f>MONTH(Retail_data[[#This Row],[Order Date]])</f>
        <v>1</v>
      </c>
      <c r="E104" t="str">
        <f>"Q"&amp;ROUNDUP(MONTH(Retail_data[[#This Row],[Order Date]])/3,0)</f>
        <v>Q1</v>
      </c>
      <c r="F104" s="1">
        <v>46024</v>
      </c>
      <c r="G104" s="1">
        <v>46028</v>
      </c>
      <c r="H104" t="s">
        <v>438</v>
      </c>
      <c r="I104" t="s">
        <v>439</v>
      </c>
      <c r="J104" t="s">
        <v>21</v>
      </c>
      <c r="K104" t="s">
        <v>22</v>
      </c>
      <c r="L104" t="s">
        <v>67</v>
      </c>
      <c r="M104" t="s">
        <v>68</v>
      </c>
      <c r="N104" t="s">
        <v>69</v>
      </c>
      <c r="O104" t="s">
        <v>37</v>
      </c>
      <c r="P104" t="s">
        <v>38</v>
      </c>
      <c r="Q104" t="s">
        <v>411</v>
      </c>
      <c r="R104">
        <v>41123.800000000003</v>
      </c>
      <c r="S104">
        <v>5</v>
      </c>
      <c r="T104">
        <v>0.2</v>
      </c>
      <c r="U104" t="str">
        <f>IF(Retail_data[[#This Row],[Sales]]&gt;30000,"High",IF(Retail_data[[#This Row],[Sales]]&gt;10000,"Medium","Low"))</f>
        <v>High</v>
      </c>
      <c r="V104" s="3">
        <f>Retail_data[[#This Row],[Profit]]/Retail_data[[#This Row],[Sales]]</f>
        <v>0.19231807371886839</v>
      </c>
      <c r="W104">
        <v>7908.85</v>
      </c>
      <c r="X104" t="s">
        <v>29</v>
      </c>
    </row>
    <row r="105" spans="1:24" ht="13.8" x14ac:dyDescent="0.25">
      <c r="A105" t="s">
        <v>440</v>
      </c>
      <c r="B105">
        <f>YEAR(Retail_data[[#This Row],[Order Date]])</f>
        <v>2026</v>
      </c>
      <c r="C105" t="str">
        <f>TEXT(Retail_data[[#This Row],[Order Date]],"mmmm")</f>
        <v>January</v>
      </c>
      <c r="D105">
        <f>MONTH(Retail_data[[#This Row],[Order Date]])</f>
        <v>1</v>
      </c>
      <c r="E105" t="str">
        <f>"Q"&amp;ROUNDUP(MONTH(Retail_data[[#This Row],[Order Date]])/3,0)</f>
        <v>Q1</v>
      </c>
      <c r="F105" s="1">
        <v>46025</v>
      </c>
      <c r="G105" s="1">
        <v>46029</v>
      </c>
      <c r="H105" t="s">
        <v>441</v>
      </c>
      <c r="I105" t="s">
        <v>442</v>
      </c>
      <c r="J105" t="s">
        <v>21</v>
      </c>
      <c r="K105" t="s">
        <v>22</v>
      </c>
      <c r="L105" t="s">
        <v>67</v>
      </c>
      <c r="M105" t="s">
        <v>68</v>
      </c>
      <c r="N105" t="s">
        <v>69</v>
      </c>
      <c r="O105" t="s">
        <v>26</v>
      </c>
      <c r="P105" t="s">
        <v>70</v>
      </c>
      <c r="Q105" t="s">
        <v>324</v>
      </c>
      <c r="R105">
        <v>39672.33</v>
      </c>
      <c r="S105">
        <v>6</v>
      </c>
      <c r="T105">
        <v>0.2</v>
      </c>
      <c r="U105" t="str">
        <f>IF(Retail_data[[#This Row],[Sales]]&gt;30000,"High",IF(Retail_data[[#This Row],[Sales]]&gt;10000,"Medium","Low"))</f>
        <v>High</v>
      </c>
      <c r="V105" s="3">
        <f>Retail_data[[#This Row],[Profit]]/Retail_data[[#This Row],[Sales]]</f>
        <v>-2.4646901253342061E-2</v>
      </c>
      <c r="W105">
        <v>-977.8</v>
      </c>
      <c r="X105" t="s">
        <v>40</v>
      </c>
    </row>
    <row r="106" spans="1:24" ht="13.8" x14ac:dyDescent="0.25">
      <c r="A106" t="s">
        <v>443</v>
      </c>
      <c r="B106">
        <f>YEAR(Retail_data[[#This Row],[Order Date]])</f>
        <v>2026</v>
      </c>
      <c r="C106" t="str">
        <f>TEXT(Retail_data[[#This Row],[Order Date]],"mmmm")</f>
        <v>January</v>
      </c>
      <c r="D106">
        <f>MONTH(Retail_data[[#This Row],[Order Date]])</f>
        <v>1</v>
      </c>
      <c r="E106" t="str">
        <f>"Q"&amp;ROUNDUP(MONTH(Retail_data[[#This Row],[Order Date]])/3,0)</f>
        <v>Q1</v>
      </c>
      <c r="F106" s="1">
        <v>46026</v>
      </c>
      <c r="G106" s="1">
        <v>46030</v>
      </c>
      <c r="H106" t="s">
        <v>444</v>
      </c>
      <c r="I106" t="s">
        <v>445</v>
      </c>
      <c r="J106" t="s">
        <v>33</v>
      </c>
      <c r="K106" t="s">
        <v>22</v>
      </c>
      <c r="L106" t="s">
        <v>45</v>
      </c>
      <c r="M106" t="s">
        <v>45</v>
      </c>
      <c r="N106" t="s">
        <v>25</v>
      </c>
      <c r="O106" t="s">
        <v>26</v>
      </c>
      <c r="P106" t="s">
        <v>70</v>
      </c>
      <c r="Q106" t="s">
        <v>180</v>
      </c>
      <c r="R106">
        <v>5016.84</v>
      </c>
      <c r="S106">
        <v>8</v>
      </c>
      <c r="T106">
        <v>0</v>
      </c>
      <c r="U106" t="str">
        <f>IF(Retail_data[[#This Row],[Sales]]&gt;30000,"High",IF(Retail_data[[#This Row],[Sales]]&gt;10000,"Medium","Low"))</f>
        <v>Low</v>
      </c>
      <c r="V106" s="3">
        <f>Retail_data[[#This Row],[Profit]]/Retail_data[[#This Row],[Sales]]</f>
        <v>9.4228637947393182E-2</v>
      </c>
      <c r="W106">
        <v>472.73</v>
      </c>
      <c r="X106" t="s">
        <v>81</v>
      </c>
    </row>
    <row r="107" spans="1:24" ht="13.8" x14ac:dyDescent="0.25">
      <c r="A107" t="s">
        <v>446</v>
      </c>
      <c r="B107">
        <f>YEAR(Retail_data[[#This Row],[Order Date]])</f>
        <v>2026</v>
      </c>
      <c r="C107" t="str">
        <f>TEXT(Retail_data[[#This Row],[Order Date]],"mmmm")</f>
        <v>January</v>
      </c>
      <c r="D107">
        <f>MONTH(Retail_data[[#This Row],[Order Date]])</f>
        <v>1</v>
      </c>
      <c r="E107" t="str">
        <f>"Q"&amp;ROUNDUP(MONTH(Retail_data[[#This Row],[Order Date]])/3,0)</f>
        <v>Q1</v>
      </c>
      <c r="F107" s="1">
        <v>46027</v>
      </c>
      <c r="G107" s="1">
        <v>46031</v>
      </c>
      <c r="H107" t="s">
        <v>447</v>
      </c>
      <c r="I107" t="s">
        <v>448</v>
      </c>
      <c r="J107" t="s">
        <v>44</v>
      </c>
      <c r="K107" t="s">
        <v>22</v>
      </c>
      <c r="L107" t="s">
        <v>34</v>
      </c>
      <c r="M107" t="s">
        <v>35</v>
      </c>
      <c r="N107" t="s">
        <v>36</v>
      </c>
      <c r="O107" t="s">
        <v>26</v>
      </c>
      <c r="P107" t="s">
        <v>27</v>
      </c>
      <c r="Q107" t="s">
        <v>449</v>
      </c>
      <c r="R107">
        <v>7121.01</v>
      </c>
      <c r="S107">
        <v>1</v>
      </c>
      <c r="T107">
        <v>0.3</v>
      </c>
      <c r="U107" t="str">
        <f>IF(Retail_data[[#This Row],[Sales]]&gt;30000,"High",IF(Retail_data[[#This Row],[Sales]]&gt;10000,"Medium","Low"))</f>
        <v>Low</v>
      </c>
      <c r="V107" s="3">
        <f>Retail_data[[#This Row],[Profit]]/Retail_data[[#This Row],[Sales]]</f>
        <v>-2.6629649445794906E-2</v>
      </c>
      <c r="W107">
        <v>-189.63</v>
      </c>
      <c r="X107" t="s">
        <v>81</v>
      </c>
    </row>
    <row r="108" spans="1:24" ht="13.8" x14ac:dyDescent="0.25">
      <c r="A108" t="s">
        <v>450</v>
      </c>
      <c r="B108">
        <f>YEAR(Retail_data[[#This Row],[Order Date]])</f>
        <v>2026</v>
      </c>
      <c r="C108" t="str">
        <f>TEXT(Retail_data[[#This Row],[Order Date]],"mmmm")</f>
        <v>January</v>
      </c>
      <c r="D108">
        <f>MONTH(Retail_data[[#This Row],[Order Date]])</f>
        <v>1</v>
      </c>
      <c r="E108" t="str">
        <f>"Q"&amp;ROUNDUP(MONTH(Retail_data[[#This Row],[Order Date]])/3,0)</f>
        <v>Q1</v>
      </c>
      <c r="F108" s="1">
        <v>46028</v>
      </c>
      <c r="G108" s="1">
        <v>46032</v>
      </c>
      <c r="H108" t="s">
        <v>451</v>
      </c>
      <c r="I108" t="s">
        <v>452</v>
      </c>
      <c r="J108" t="s">
        <v>33</v>
      </c>
      <c r="K108" t="s">
        <v>22</v>
      </c>
      <c r="L108" t="s">
        <v>45</v>
      </c>
      <c r="M108" t="s">
        <v>45</v>
      </c>
      <c r="N108" t="s">
        <v>25</v>
      </c>
      <c r="O108" t="s">
        <v>57</v>
      </c>
      <c r="P108" t="s">
        <v>149</v>
      </c>
      <c r="Q108" t="s">
        <v>453</v>
      </c>
      <c r="R108">
        <v>654.21</v>
      </c>
      <c r="S108">
        <v>6</v>
      </c>
      <c r="T108">
        <v>0</v>
      </c>
      <c r="U108" t="str">
        <f>IF(Retail_data[[#This Row],[Sales]]&gt;30000,"High",IF(Retail_data[[#This Row],[Sales]]&gt;10000,"Medium","Low"))</f>
        <v>Low</v>
      </c>
      <c r="V108" s="3">
        <f>Retail_data[[#This Row],[Profit]]/Retail_data[[#This Row],[Sales]]</f>
        <v>0.23874596841992632</v>
      </c>
      <c r="W108">
        <v>156.19</v>
      </c>
      <c r="X108" t="s">
        <v>40</v>
      </c>
    </row>
    <row r="109" spans="1:24" ht="13.8" x14ac:dyDescent="0.25">
      <c r="A109" t="s">
        <v>454</v>
      </c>
      <c r="B109">
        <f>YEAR(Retail_data[[#This Row],[Order Date]])</f>
        <v>2026</v>
      </c>
      <c r="C109" t="str">
        <f>TEXT(Retail_data[[#This Row],[Order Date]],"mmmm")</f>
        <v>January</v>
      </c>
      <c r="D109">
        <f>MONTH(Retail_data[[#This Row],[Order Date]])</f>
        <v>1</v>
      </c>
      <c r="E109" t="str">
        <f>"Q"&amp;ROUNDUP(MONTH(Retail_data[[#This Row],[Order Date]])/3,0)</f>
        <v>Q1</v>
      </c>
      <c r="F109" s="1">
        <v>46029</v>
      </c>
      <c r="G109" s="1">
        <v>46033</v>
      </c>
      <c r="H109" t="s">
        <v>455</v>
      </c>
      <c r="I109" t="s">
        <v>456</v>
      </c>
      <c r="J109" t="s">
        <v>44</v>
      </c>
      <c r="K109" t="s">
        <v>22</v>
      </c>
      <c r="L109" t="s">
        <v>23</v>
      </c>
      <c r="M109" t="s">
        <v>24</v>
      </c>
      <c r="N109" t="s">
        <v>25</v>
      </c>
      <c r="O109" t="s">
        <v>37</v>
      </c>
      <c r="P109" t="s">
        <v>46</v>
      </c>
      <c r="Q109" t="s">
        <v>105</v>
      </c>
      <c r="R109">
        <v>21900.22</v>
      </c>
      <c r="S109">
        <v>8</v>
      </c>
      <c r="T109">
        <v>0</v>
      </c>
      <c r="U109" t="str">
        <f>IF(Retail_data[[#This Row],[Sales]]&gt;30000,"High",IF(Retail_data[[#This Row],[Sales]]&gt;10000,"Medium","Low"))</f>
        <v>Medium</v>
      </c>
      <c r="V109" s="3">
        <f>Retail_data[[#This Row],[Profit]]/Retail_data[[#This Row],[Sales]]</f>
        <v>0.12077869537383641</v>
      </c>
      <c r="W109">
        <v>2645.08</v>
      </c>
      <c r="X109" t="s">
        <v>48</v>
      </c>
    </row>
    <row r="110" spans="1:24" ht="13.8" x14ac:dyDescent="0.25">
      <c r="A110" t="s">
        <v>457</v>
      </c>
      <c r="B110">
        <f>YEAR(Retail_data[[#This Row],[Order Date]])</f>
        <v>2026</v>
      </c>
      <c r="C110" t="str">
        <f>TEXT(Retail_data[[#This Row],[Order Date]],"mmmm")</f>
        <v>January</v>
      </c>
      <c r="D110">
        <f>MONTH(Retail_data[[#This Row],[Order Date]])</f>
        <v>1</v>
      </c>
      <c r="E110" t="str">
        <f>"Q"&amp;ROUNDUP(MONTH(Retail_data[[#This Row],[Order Date]])/3,0)</f>
        <v>Q1</v>
      </c>
      <c r="F110" s="1">
        <v>46030</v>
      </c>
      <c r="G110" s="1">
        <v>46034</v>
      </c>
      <c r="H110" t="s">
        <v>458</v>
      </c>
      <c r="I110" t="s">
        <v>459</v>
      </c>
      <c r="J110" t="s">
        <v>44</v>
      </c>
      <c r="K110" t="s">
        <v>22</v>
      </c>
      <c r="L110" t="s">
        <v>34</v>
      </c>
      <c r="M110" t="s">
        <v>35</v>
      </c>
      <c r="N110" t="s">
        <v>36</v>
      </c>
      <c r="O110" t="s">
        <v>37</v>
      </c>
      <c r="P110" t="s">
        <v>38</v>
      </c>
      <c r="Q110" t="s">
        <v>460</v>
      </c>
      <c r="R110">
        <v>31346.65</v>
      </c>
      <c r="S110">
        <v>1</v>
      </c>
      <c r="T110">
        <v>0.1</v>
      </c>
      <c r="U110" t="str">
        <f>IF(Retail_data[[#This Row],[Sales]]&gt;30000,"High",IF(Retail_data[[#This Row],[Sales]]&gt;10000,"Medium","Low"))</f>
        <v>High</v>
      </c>
      <c r="V110" s="3">
        <f>Retail_data[[#This Row],[Profit]]/Retail_data[[#This Row],[Sales]]</f>
        <v>0.18700594800401318</v>
      </c>
      <c r="W110">
        <v>5862.01</v>
      </c>
      <c r="X110" t="s">
        <v>81</v>
      </c>
    </row>
    <row r="111" spans="1:24" ht="13.8" x14ac:dyDescent="0.25">
      <c r="A111" t="s">
        <v>461</v>
      </c>
      <c r="B111">
        <f>YEAR(Retail_data[[#This Row],[Order Date]])</f>
        <v>2026</v>
      </c>
      <c r="C111" t="str">
        <f>TEXT(Retail_data[[#This Row],[Order Date]],"mmmm")</f>
        <v>January</v>
      </c>
      <c r="D111">
        <f>MONTH(Retail_data[[#This Row],[Order Date]])</f>
        <v>1</v>
      </c>
      <c r="E111" t="str">
        <f>"Q"&amp;ROUNDUP(MONTH(Retail_data[[#This Row],[Order Date]])/3,0)</f>
        <v>Q1</v>
      </c>
      <c r="F111" s="1">
        <v>46031</v>
      </c>
      <c r="G111" s="1">
        <v>46035</v>
      </c>
      <c r="H111" t="s">
        <v>462</v>
      </c>
      <c r="I111" t="s">
        <v>463</v>
      </c>
      <c r="J111" t="s">
        <v>44</v>
      </c>
      <c r="K111" t="s">
        <v>22</v>
      </c>
      <c r="L111" t="s">
        <v>67</v>
      </c>
      <c r="M111" t="s">
        <v>68</v>
      </c>
      <c r="N111" t="s">
        <v>69</v>
      </c>
      <c r="O111" t="s">
        <v>57</v>
      </c>
      <c r="P111" t="s">
        <v>79</v>
      </c>
      <c r="Q111" t="s">
        <v>370</v>
      </c>
      <c r="R111">
        <v>34485.93</v>
      </c>
      <c r="S111">
        <v>6</v>
      </c>
      <c r="T111">
        <v>0.2</v>
      </c>
      <c r="U111" t="str">
        <f>IF(Retail_data[[#This Row],[Sales]]&gt;30000,"High",IF(Retail_data[[#This Row],[Sales]]&gt;10000,"Medium","Low"))</f>
        <v>High</v>
      </c>
      <c r="V111" s="3">
        <f>Retail_data[[#This Row],[Profit]]/Retail_data[[#This Row],[Sales]]</f>
        <v>0.19131077514800962</v>
      </c>
      <c r="W111">
        <v>6597.53</v>
      </c>
      <c r="X111" t="s">
        <v>81</v>
      </c>
    </row>
    <row r="112" spans="1:24" ht="13.8" x14ac:dyDescent="0.25">
      <c r="A112" t="s">
        <v>464</v>
      </c>
      <c r="B112">
        <f>YEAR(Retail_data[[#This Row],[Order Date]])</f>
        <v>2026</v>
      </c>
      <c r="C112" t="str">
        <f>TEXT(Retail_data[[#This Row],[Order Date]],"mmmm")</f>
        <v>January</v>
      </c>
      <c r="D112">
        <f>MONTH(Retail_data[[#This Row],[Order Date]])</f>
        <v>1</v>
      </c>
      <c r="E112" t="str">
        <f>"Q"&amp;ROUNDUP(MONTH(Retail_data[[#This Row],[Order Date]])/3,0)</f>
        <v>Q1</v>
      </c>
      <c r="F112" s="1">
        <v>46032</v>
      </c>
      <c r="G112" s="1">
        <v>46036</v>
      </c>
      <c r="H112" t="s">
        <v>465</v>
      </c>
      <c r="I112" t="s">
        <v>466</v>
      </c>
      <c r="J112" t="s">
        <v>33</v>
      </c>
      <c r="K112" t="s">
        <v>22</v>
      </c>
      <c r="L112" t="s">
        <v>85</v>
      </c>
      <c r="M112" t="s">
        <v>86</v>
      </c>
      <c r="N112" t="s">
        <v>87</v>
      </c>
      <c r="O112" t="s">
        <v>57</v>
      </c>
      <c r="P112" t="s">
        <v>149</v>
      </c>
      <c r="Q112" t="s">
        <v>467</v>
      </c>
      <c r="R112">
        <v>3290.37</v>
      </c>
      <c r="S112">
        <v>6</v>
      </c>
      <c r="T112">
        <v>0.3</v>
      </c>
      <c r="U112" t="str">
        <f>IF(Retail_data[[#This Row],[Sales]]&gt;30000,"High",IF(Retail_data[[#This Row],[Sales]]&gt;10000,"Medium","Low"))</f>
        <v>Low</v>
      </c>
      <c r="V112" s="3">
        <f>Retail_data[[#This Row],[Profit]]/Retail_data[[#This Row],[Sales]]</f>
        <v>-2.4267787513258386E-2</v>
      </c>
      <c r="W112">
        <v>-79.849999999999994</v>
      </c>
      <c r="X112" t="s">
        <v>81</v>
      </c>
    </row>
    <row r="113" spans="1:24" ht="13.8" x14ac:dyDescent="0.25">
      <c r="A113" t="s">
        <v>468</v>
      </c>
      <c r="B113">
        <f>YEAR(Retail_data[[#This Row],[Order Date]])</f>
        <v>2026</v>
      </c>
      <c r="C113" t="str">
        <f>TEXT(Retail_data[[#This Row],[Order Date]],"mmmm")</f>
        <v>January</v>
      </c>
      <c r="D113">
        <f>MONTH(Retail_data[[#This Row],[Order Date]])</f>
        <v>1</v>
      </c>
      <c r="E113" t="str">
        <f>"Q"&amp;ROUNDUP(MONTH(Retail_data[[#This Row],[Order Date]])/3,0)</f>
        <v>Q1</v>
      </c>
      <c r="F113" s="1">
        <v>46033</v>
      </c>
      <c r="G113" s="1">
        <v>46037</v>
      </c>
      <c r="H113" t="s">
        <v>469</v>
      </c>
      <c r="I113" t="s">
        <v>470</v>
      </c>
      <c r="J113" t="s">
        <v>21</v>
      </c>
      <c r="K113" t="s">
        <v>22</v>
      </c>
      <c r="L113" t="s">
        <v>34</v>
      </c>
      <c r="M113" t="s">
        <v>35</v>
      </c>
      <c r="N113" t="s">
        <v>36</v>
      </c>
      <c r="O113" t="s">
        <v>26</v>
      </c>
      <c r="P113" t="s">
        <v>70</v>
      </c>
      <c r="Q113" t="s">
        <v>75</v>
      </c>
      <c r="R113">
        <v>27220.48</v>
      </c>
      <c r="S113">
        <v>1</v>
      </c>
      <c r="T113">
        <v>0.2</v>
      </c>
      <c r="U113" t="str">
        <f>IF(Retail_data[[#This Row],[Sales]]&gt;30000,"High",IF(Retail_data[[#This Row],[Sales]]&gt;10000,"Medium","Low"))</f>
        <v>Medium</v>
      </c>
      <c r="V113" s="3">
        <f>Retail_data[[#This Row],[Profit]]/Retail_data[[#This Row],[Sales]]</f>
        <v>5.5353909997178596E-2</v>
      </c>
      <c r="W113">
        <v>1506.76</v>
      </c>
      <c r="X113" t="s">
        <v>48</v>
      </c>
    </row>
    <row r="114" spans="1:24" ht="13.8" x14ac:dyDescent="0.25">
      <c r="A114" t="s">
        <v>471</v>
      </c>
      <c r="B114">
        <f>YEAR(Retail_data[[#This Row],[Order Date]])</f>
        <v>2026</v>
      </c>
      <c r="C114" t="str">
        <f>TEXT(Retail_data[[#This Row],[Order Date]],"mmmm")</f>
        <v>January</v>
      </c>
      <c r="D114">
        <f>MONTH(Retail_data[[#This Row],[Order Date]])</f>
        <v>1</v>
      </c>
      <c r="E114" t="str">
        <f>"Q"&amp;ROUNDUP(MONTH(Retail_data[[#This Row],[Order Date]])/3,0)</f>
        <v>Q1</v>
      </c>
      <c r="F114" s="1">
        <v>46034</v>
      </c>
      <c r="G114" s="1">
        <v>46038</v>
      </c>
      <c r="H114" t="s">
        <v>472</v>
      </c>
      <c r="I114" t="s">
        <v>473</v>
      </c>
      <c r="J114" t="s">
        <v>44</v>
      </c>
      <c r="K114" t="s">
        <v>22</v>
      </c>
      <c r="L114" t="s">
        <v>67</v>
      </c>
      <c r="M114" t="s">
        <v>68</v>
      </c>
      <c r="N114" t="s">
        <v>69</v>
      </c>
      <c r="O114" t="s">
        <v>37</v>
      </c>
      <c r="P114" t="s">
        <v>46</v>
      </c>
      <c r="Q114" t="s">
        <v>474</v>
      </c>
      <c r="R114">
        <v>37973.440000000002</v>
      </c>
      <c r="S114">
        <v>7</v>
      </c>
      <c r="T114">
        <v>0.2</v>
      </c>
      <c r="U114" t="str">
        <f>IF(Retail_data[[#This Row],[Sales]]&gt;30000,"High",IF(Retail_data[[#This Row],[Sales]]&gt;10000,"Medium","Low"))</f>
        <v>High</v>
      </c>
      <c r="V114" s="3">
        <f>Retail_data[[#This Row],[Profit]]/Retail_data[[#This Row],[Sales]]</f>
        <v>0.10524724649649859</v>
      </c>
      <c r="W114">
        <v>3996.6</v>
      </c>
      <c r="X114" t="s">
        <v>81</v>
      </c>
    </row>
    <row r="115" spans="1:24" ht="13.8" x14ac:dyDescent="0.25">
      <c r="A115" t="s">
        <v>475</v>
      </c>
      <c r="B115">
        <f>YEAR(Retail_data[[#This Row],[Order Date]])</f>
        <v>2026</v>
      </c>
      <c r="C115" t="str">
        <f>TEXT(Retail_data[[#This Row],[Order Date]],"mmmm")</f>
        <v>January</v>
      </c>
      <c r="D115">
        <f>MONTH(Retail_data[[#This Row],[Order Date]])</f>
        <v>1</v>
      </c>
      <c r="E115" t="str">
        <f>"Q"&amp;ROUNDUP(MONTH(Retail_data[[#This Row],[Order Date]])/3,0)</f>
        <v>Q1</v>
      </c>
      <c r="F115" s="1">
        <v>46035</v>
      </c>
      <c r="G115" s="1">
        <v>46039</v>
      </c>
      <c r="H115" t="s">
        <v>476</v>
      </c>
      <c r="I115" t="s">
        <v>477</v>
      </c>
      <c r="J115" t="s">
        <v>21</v>
      </c>
      <c r="K115" t="s">
        <v>22</v>
      </c>
      <c r="L115" t="s">
        <v>45</v>
      </c>
      <c r="M115" t="s">
        <v>45</v>
      </c>
      <c r="N115" t="s">
        <v>25</v>
      </c>
      <c r="O115" t="s">
        <v>37</v>
      </c>
      <c r="P115" t="s">
        <v>38</v>
      </c>
      <c r="Q115" t="s">
        <v>411</v>
      </c>
      <c r="R115">
        <v>11322.24</v>
      </c>
      <c r="S115">
        <v>4</v>
      </c>
      <c r="T115">
        <v>0.1</v>
      </c>
      <c r="U115" t="str">
        <f>IF(Retail_data[[#This Row],[Sales]]&gt;30000,"High",IF(Retail_data[[#This Row],[Sales]]&gt;10000,"Medium","Low"))</f>
        <v>Medium</v>
      </c>
      <c r="V115" s="3">
        <f>Retail_data[[#This Row],[Profit]]/Retail_data[[#This Row],[Sales]]</f>
        <v>0.17287215250692442</v>
      </c>
      <c r="W115">
        <v>1957.3</v>
      </c>
      <c r="X115" t="s">
        <v>81</v>
      </c>
    </row>
    <row r="116" spans="1:24" ht="13.8" x14ac:dyDescent="0.25">
      <c r="A116" t="s">
        <v>478</v>
      </c>
      <c r="B116">
        <f>YEAR(Retail_data[[#This Row],[Order Date]])</f>
        <v>2026</v>
      </c>
      <c r="C116" t="str">
        <f>TEXT(Retail_data[[#This Row],[Order Date]],"mmmm")</f>
        <v>January</v>
      </c>
      <c r="D116">
        <f>MONTH(Retail_data[[#This Row],[Order Date]])</f>
        <v>1</v>
      </c>
      <c r="E116" t="str">
        <f>"Q"&amp;ROUNDUP(MONTH(Retail_data[[#This Row],[Order Date]])/3,0)</f>
        <v>Q1</v>
      </c>
      <c r="F116" s="1">
        <v>46036</v>
      </c>
      <c r="G116" s="1">
        <v>46040</v>
      </c>
      <c r="H116" t="s">
        <v>479</v>
      </c>
      <c r="I116" t="s">
        <v>480</v>
      </c>
      <c r="J116" t="s">
        <v>44</v>
      </c>
      <c r="K116" t="s">
        <v>22</v>
      </c>
      <c r="L116" t="s">
        <v>85</v>
      </c>
      <c r="M116" t="s">
        <v>86</v>
      </c>
      <c r="N116" t="s">
        <v>87</v>
      </c>
      <c r="O116" t="s">
        <v>57</v>
      </c>
      <c r="P116" t="s">
        <v>58</v>
      </c>
      <c r="Q116" t="s">
        <v>481</v>
      </c>
      <c r="R116">
        <v>41449.9</v>
      </c>
      <c r="S116">
        <v>7</v>
      </c>
      <c r="T116">
        <v>0.1</v>
      </c>
      <c r="U116" t="str">
        <f>IF(Retail_data[[#This Row],[Sales]]&gt;30000,"High",IF(Retail_data[[#This Row],[Sales]]&gt;10000,"Medium","Low"))</f>
        <v>High</v>
      </c>
      <c r="V116" s="3">
        <f>Retail_data[[#This Row],[Profit]]/Retail_data[[#This Row],[Sales]]</f>
        <v>8.5057623781963285E-2</v>
      </c>
      <c r="W116">
        <v>3525.63</v>
      </c>
      <c r="X116" t="s">
        <v>81</v>
      </c>
    </row>
    <row r="117" spans="1:24" ht="13.8" x14ac:dyDescent="0.25">
      <c r="A117" t="s">
        <v>482</v>
      </c>
      <c r="B117">
        <f>YEAR(Retail_data[[#This Row],[Order Date]])</f>
        <v>2026</v>
      </c>
      <c r="C117" t="str">
        <f>TEXT(Retail_data[[#This Row],[Order Date]],"mmmm")</f>
        <v>January</v>
      </c>
      <c r="D117">
        <f>MONTH(Retail_data[[#This Row],[Order Date]])</f>
        <v>1</v>
      </c>
      <c r="E117" t="str">
        <f>"Q"&amp;ROUNDUP(MONTH(Retail_data[[#This Row],[Order Date]])/3,0)</f>
        <v>Q1</v>
      </c>
      <c r="F117" s="1">
        <v>46037</v>
      </c>
      <c r="G117" s="1">
        <v>46041</v>
      </c>
      <c r="H117" t="s">
        <v>483</v>
      </c>
      <c r="I117" t="s">
        <v>484</v>
      </c>
      <c r="J117" t="s">
        <v>33</v>
      </c>
      <c r="K117" t="s">
        <v>22</v>
      </c>
      <c r="L117" t="s">
        <v>23</v>
      </c>
      <c r="M117" t="s">
        <v>24</v>
      </c>
      <c r="N117" t="s">
        <v>25</v>
      </c>
      <c r="O117" t="s">
        <v>26</v>
      </c>
      <c r="P117" t="s">
        <v>92</v>
      </c>
      <c r="Q117" t="s">
        <v>485</v>
      </c>
      <c r="R117">
        <v>32476.37</v>
      </c>
      <c r="S117">
        <v>8</v>
      </c>
      <c r="T117">
        <v>0</v>
      </c>
      <c r="U117" t="str">
        <f>IF(Retail_data[[#This Row],[Sales]]&gt;30000,"High",IF(Retail_data[[#This Row],[Sales]]&gt;10000,"Medium","Low"))</f>
        <v>High</v>
      </c>
      <c r="V117" s="3">
        <f>Retail_data[[#This Row],[Profit]]/Retail_data[[#This Row],[Sales]]</f>
        <v>0.19114112814948223</v>
      </c>
      <c r="W117">
        <v>6207.57</v>
      </c>
      <c r="X117" t="s">
        <v>48</v>
      </c>
    </row>
    <row r="118" spans="1:24" ht="13.8" x14ac:dyDescent="0.25">
      <c r="A118" t="s">
        <v>486</v>
      </c>
      <c r="B118">
        <f>YEAR(Retail_data[[#This Row],[Order Date]])</f>
        <v>2026</v>
      </c>
      <c r="C118" t="str">
        <f>TEXT(Retail_data[[#This Row],[Order Date]],"mmmm")</f>
        <v>January</v>
      </c>
      <c r="D118">
        <f>MONTH(Retail_data[[#This Row],[Order Date]])</f>
        <v>1</v>
      </c>
      <c r="E118" t="str">
        <f>"Q"&amp;ROUNDUP(MONTH(Retail_data[[#This Row],[Order Date]])/3,0)</f>
        <v>Q1</v>
      </c>
      <c r="F118" s="1">
        <v>46038</v>
      </c>
      <c r="G118" s="1">
        <v>46042</v>
      </c>
      <c r="H118" t="s">
        <v>487</v>
      </c>
      <c r="I118" t="s">
        <v>488</v>
      </c>
      <c r="J118" t="s">
        <v>44</v>
      </c>
      <c r="K118" t="s">
        <v>22</v>
      </c>
      <c r="L118" t="s">
        <v>85</v>
      </c>
      <c r="M118" t="s">
        <v>86</v>
      </c>
      <c r="N118" t="s">
        <v>87</v>
      </c>
      <c r="O118" t="s">
        <v>57</v>
      </c>
      <c r="P118" t="s">
        <v>79</v>
      </c>
      <c r="Q118" t="s">
        <v>489</v>
      </c>
      <c r="R118">
        <v>14048.28</v>
      </c>
      <c r="S118">
        <v>8</v>
      </c>
      <c r="T118">
        <v>0</v>
      </c>
      <c r="U118" t="str">
        <f>IF(Retail_data[[#This Row],[Sales]]&gt;30000,"High",IF(Retail_data[[#This Row],[Sales]]&gt;10000,"Medium","Low"))</f>
        <v>Medium</v>
      </c>
      <c r="V118" s="3">
        <f>Retail_data[[#This Row],[Profit]]/Retail_data[[#This Row],[Sales]]</f>
        <v>0.12996537654431717</v>
      </c>
      <c r="W118">
        <v>1825.79</v>
      </c>
      <c r="X118" t="s">
        <v>81</v>
      </c>
    </row>
    <row r="119" spans="1:24" ht="13.8" x14ac:dyDescent="0.25">
      <c r="A119" t="s">
        <v>490</v>
      </c>
      <c r="B119">
        <f>YEAR(Retail_data[[#This Row],[Order Date]])</f>
        <v>2026</v>
      </c>
      <c r="C119" t="str">
        <f>TEXT(Retail_data[[#This Row],[Order Date]],"mmmm")</f>
        <v>January</v>
      </c>
      <c r="D119">
        <f>MONTH(Retail_data[[#This Row],[Order Date]])</f>
        <v>1</v>
      </c>
      <c r="E119" t="str">
        <f>"Q"&amp;ROUNDUP(MONTH(Retail_data[[#This Row],[Order Date]])/3,0)</f>
        <v>Q1</v>
      </c>
      <c r="F119" s="1">
        <v>46039</v>
      </c>
      <c r="G119" s="1">
        <v>46043</v>
      </c>
      <c r="H119" t="s">
        <v>491</v>
      </c>
      <c r="I119" t="s">
        <v>492</v>
      </c>
      <c r="J119" t="s">
        <v>21</v>
      </c>
      <c r="K119" t="s">
        <v>22</v>
      </c>
      <c r="L119" t="s">
        <v>34</v>
      </c>
      <c r="M119" t="s">
        <v>35</v>
      </c>
      <c r="N119" t="s">
        <v>36</v>
      </c>
      <c r="O119" t="s">
        <v>26</v>
      </c>
      <c r="P119" t="s">
        <v>27</v>
      </c>
      <c r="Q119" t="s">
        <v>493</v>
      </c>
      <c r="R119">
        <v>28209.79</v>
      </c>
      <c r="S119">
        <v>6</v>
      </c>
      <c r="T119">
        <v>0.1</v>
      </c>
      <c r="U119" t="str">
        <f>IF(Retail_data[[#This Row],[Sales]]&gt;30000,"High",IF(Retail_data[[#This Row],[Sales]]&gt;10000,"Medium","Low"))</f>
        <v>Medium</v>
      </c>
      <c r="V119" s="3">
        <f>Retail_data[[#This Row],[Profit]]/Retail_data[[#This Row],[Sales]]</f>
        <v>6.4216713417575955E-2</v>
      </c>
      <c r="W119">
        <v>1811.54</v>
      </c>
      <c r="X119" t="s">
        <v>29</v>
      </c>
    </row>
    <row r="120" spans="1:24" ht="13.8" x14ac:dyDescent="0.25">
      <c r="A120" t="s">
        <v>494</v>
      </c>
      <c r="B120">
        <f>YEAR(Retail_data[[#This Row],[Order Date]])</f>
        <v>2026</v>
      </c>
      <c r="C120" t="str">
        <f>TEXT(Retail_data[[#This Row],[Order Date]],"mmmm")</f>
        <v>January</v>
      </c>
      <c r="D120">
        <f>MONTH(Retail_data[[#This Row],[Order Date]])</f>
        <v>1</v>
      </c>
      <c r="E120" t="str">
        <f>"Q"&amp;ROUNDUP(MONTH(Retail_data[[#This Row],[Order Date]])/3,0)</f>
        <v>Q1</v>
      </c>
      <c r="F120" s="1">
        <v>46040</v>
      </c>
      <c r="G120" s="1">
        <v>46044</v>
      </c>
      <c r="H120" t="s">
        <v>495</v>
      </c>
      <c r="I120" t="s">
        <v>496</v>
      </c>
      <c r="J120" t="s">
        <v>33</v>
      </c>
      <c r="K120" t="s">
        <v>22</v>
      </c>
      <c r="L120" t="s">
        <v>45</v>
      </c>
      <c r="M120" t="s">
        <v>45</v>
      </c>
      <c r="N120" t="s">
        <v>25</v>
      </c>
      <c r="O120" t="s">
        <v>37</v>
      </c>
      <c r="P120" t="s">
        <v>52</v>
      </c>
      <c r="Q120" t="s">
        <v>335</v>
      </c>
      <c r="R120">
        <v>41716.79</v>
      </c>
      <c r="S120">
        <v>1</v>
      </c>
      <c r="T120">
        <v>0.1</v>
      </c>
      <c r="U120" t="str">
        <f>IF(Retail_data[[#This Row],[Sales]]&gt;30000,"High",IF(Retail_data[[#This Row],[Sales]]&gt;10000,"Medium","Low"))</f>
        <v>High</v>
      </c>
      <c r="V120" s="3">
        <f>Retail_data[[#This Row],[Profit]]/Retail_data[[#This Row],[Sales]]</f>
        <v>2.6752537767167607E-2</v>
      </c>
      <c r="W120">
        <v>1116.03</v>
      </c>
      <c r="X120" t="s">
        <v>81</v>
      </c>
    </row>
    <row r="121" spans="1:24" ht="13.8" x14ac:dyDescent="0.25">
      <c r="A121" t="s">
        <v>497</v>
      </c>
      <c r="B121">
        <f>YEAR(Retail_data[[#This Row],[Order Date]])</f>
        <v>2026</v>
      </c>
      <c r="C121" t="str">
        <f>TEXT(Retail_data[[#This Row],[Order Date]],"mmmm")</f>
        <v>January</v>
      </c>
      <c r="D121">
        <f>MONTH(Retail_data[[#This Row],[Order Date]])</f>
        <v>1</v>
      </c>
      <c r="E121" t="str">
        <f>"Q"&amp;ROUNDUP(MONTH(Retail_data[[#This Row],[Order Date]])/3,0)</f>
        <v>Q1</v>
      </c>
      <c r="F121" s="1">
        <v>46041</v>
      </c>
      <c r="G121" s="1">
        <v>46045</v>
      </c>
      <c r="H121" t="s">
        <v>498</v>
      </c>
      <c r="I121" t="s">
        <v>499</v>
      </c>
      <c r="J121" t="s">
        <v>21</v>
      </c>
      <c r="K121" t="s">
        <v>22</v>
      </c>
      <c r="L121" t="s">
        <v>23</v>
      </c>
      <c r="M121" t="s">
        <v>24</v>
      </c>
      <c r="N121" t="s">
        <v>25</v>
      </c>
      <c r="O121" t="s">
        <v>57</v>
      </c>
      <c r="P121" t="s">
        <v>149</v>
      </c>
      <c r="Q121" t="s">
        <v>407</v>
      </c>
      <c r="R121">
        <v>30746.44</v>
      </c>
      <c r="S121">
        <v>7</v>
      </c>
      <c r="T121">
        <v>0.1</v>
      </c>
      <c r="U121" t="str">
        <f>IF(Retail_data[[#This Row],[Sales]]&gt;30000,"High",IF(Retail_data[[#This Row],[Sales]]&gt;10000,"Medium","Low"))</f>
        <v>High</v>
      </c>
      <c r="V121" s="3">
        <f>Retail_data[[#This Row],[Profit]]/Retail_data[[#This Row],[Sales]]</f>
        <v>0.1990884147888341</v>
      </c>
      <c r="W121">
        <v>6121.26</v>
      </c>
      <c r="X121" t="s">
        <v>29</v>
      </c>
    </row>
    <row r="122" spans="1:24" ht="13.8" x14ac:dyDescent="0.25">
      <c r="A122" t="s">
        <v>500</v>
      </c>
      <c r="B122">
        <f>YEAR(Retail_data[[#This Row],[Order Date]])</f>
        <v>2026</v>
      </c>
      <c r="C122" t="str">
        <f>TEXT(Retail_data[[#This Row],[Order Date]],"mmmm")</f>
        <v>January</v>
      </c>
      <c r="D122">
        <f>MONTH(Retail_data[[#This Row],[Order Date]])</f>
        <v>1</v>
      </c>
      <c r="E122" t="str">
        <f>"Q"&amp;ROUNDUP(MONTH(Retail_data[[#This Row],[Order Date]])/3,0)</f>
        <v>Q1</v>
      </c>
      <c r="F122" s="1">
        <v>46042</v>
      </c>
      <c r="G122" s="1">
        <v>46046</v>
      </c>
      <c r="H122" t="s">
        <v>501</v>
      </c>
      <c r="I122" t="s">
        <v>502</v>
      </c>
      <c r="J122" t="s">
        <v>33</v>
      </c>
      <c r="K122" t="s">
        <v>22</v>
      </c>
      <c r="L122" t="s">
        <v>23</v>
      </c>
      <c r="M122" t="s">
        <v>24</v>
      </c>
      <c r="N122" t="s">
        <v>25</v>
      </c>
      <c r="O122" t="s">
        <v>26</v>
      </c>
      <c r="P122" t="s">
        <v>92</v>
      </c>
      <c r="Q122" t="s">
        <v>503</v>
      </c>
      <c r="R122">
        <v>6744.59</v>
      </c>
      <c r="S122">
        <v>6</v>
      </c>
      <c r="T122">
        <v>0.3</v>
      </c>
      <c r="U122" t="str">
        <f>IF(Retail_data[[#This Row],[Sales]]&gt;30000,"High",IF(Retail_data[[#This Row],[Sales]]&gt;10000,"Medium","Low"))</f>
        <v>Low</v>
      </c>
      <c r="V122" s="3">
        <f>Retail_data[[#This Row],[Profit]]/Retail_data[[#This Row],[Sales]]</f>
        <v>-3.4590686757831092E-2</v>
      </c>
      <c r="W122">
        <v>-233.3</v>
      </c>
      <c r="X122" t="s">
        <v>29</v>
      </c>
    </row>
    <row r="123" spans="1:24" ht="13.8" x14ac:dyDescent="0.25">
      <c r="A123" t="s">
        <v>504</v>
      </c>
      <c r="B123">
        <f>YEAR(Retail_data[[#This Row],[Order Date]])</f>
        <v>2026</v>
      </c>
      <c r="C123" t="str">
        <f>TEXT(Retail_data[[#This Row],[Order Date]],"mmmm")</f>
        <v>January</v>
      </c>
      <c r="D123">
        <f>MONTH(Retail_data[[#This Row],[Order Date]])</f>
        <v>1</v>
      </c>
      <c r="E123" t="str">
        <f>"Q"&amp;ROUNDUP(MONTH(Retail_data[[#This Row],[Order Date]])/3,0)</f>
        <v>Q1</v>
      </c>
      <c r="F123" s="1">
        <v>46043</v>
      </c>
      <c r="G123" s="1">
        <v>46047</v>
      </c>
      <c r="H123" t="s">
        <v>505</v>
      </c>
      <c r="I123" t="s">
        <v>506</v>
      </c>
      <c r="J123" t="s">
        <v>33</v>
      </c>
      <c r="K123" t="s">
        <v>22</v>
      </c>
      <c r="L123" t="s">
        <v>34</v>
      </c>
      <c r="M123" t="s">
        <v>35</v>
      </c>
      <c r="N123" t="s">
        <v>36</v>
      </c>
      <c r="O123" t="s">
        <v>26</v>
      </c>
      <c r="P123" t="s">
        <v>70</v>
      </c>
      <c r="Q123" t="s">
        <v>507</v>
      </c>
      <c r="R123">
        <v>20086.93</v>
      </c>
      <c r="S123">
        <v>4</v>
      </c>
      <c r="T123">
        <v>0</v>
      </c>
      <c r="U123" t="str">
        <f>IF(Retail_data[[#This Row],[Sales]]&gt;30000,"High",IF(Retail_data[[#This Row],[Sales]]&gt;10000,"Medium","Low"))</f>
        <v>Medium</v>
      </c>
      <c r="V123" s="3">
        <f>Retail_data[[#This Row],[Profit]]/Retail_data[[#This Row],[Sales]]</f>
        <v>0.20328044156075617</v>
      </c>
      <c r="W123">
        <v>4083.28</v>
      </c>
      <c r="X123" t="s">
        <v>81</v>
      </c>
    </row>
    <row r="124" spans="1:24" ht="13.8" x14ac:dyDescent="0.25">
      <c r="A124" t="s">
        <v>508</v>
      </c>
      <c r="B124">
        <f>YEAR(Retail_data[[#This Row],[Order Date]])</f>
        <v>2026</v>
      </c>
      <c r="C124" t="str">
        <f>TEXT(Retail_data[[#This Row],[Order Date]],"mmmm")</f>
        <v>January</v>
      </c>
      <c r="D124">
        <f>MONTH(Retail_data[[#This Row],[Order Date]])</f>
        <v>1</v>
      </c>
      <c r="E124" t="str">
        <f>"Q"&amp;ROUNDUP(MONTH(Retail_data[[#This Row],[Order Date]])/3,0)</f>
        <v>Q1</v>
      </c>
      <c r="F124" s="1">
        <v>46044</v>
      </c>
      <c r="G124" s="1">
        <v>46048</v>
      </c>
      <c r="H124" t="s">
        <v>509</v>
      </c>
      <c r="I124" t="s">
        <v>510</v>
      </c>
      <c r="J124" t="s">
        <v>44</v>
      </c>
      <c r="K124" t="s">
        <v>22</v>
      </c>
      <c r="L124" t="s">
        <v>23</v>
      </c>
      <c r="M124" t="s">
        <v>24</v>
      </c>
      <c r="N124" t="s">
        <v>25</v>
      </c>
      <c r="O124" t="s">
        <v>26</v>
      </c>
      <c r="P124" t="s">
        <v>27</v>
      </c>
      <c r="Q124" t="s">
        <v>511</v>
      </c>
      <c r="R124">
        <v>24562.38</v>
      </c>
      <c r="S124">
        <v>1</v>
      </c>
      <c r="T124">
        <v>0</v>
      </c>
      <c r="U124" t="str">
        <f>IF(Retail_data[[#This Row],[Sales]]&gt;30000,"High",IF(Retail_data[[#This Row],[Sales]]&gt;10000,"Medium","Low"))</f>
        <v>Medium</v>
      </c>
      <c r="V124" s="3">
        <f>Retail_data[[#This Row],[Profit]]/Retail_data[[#This Row],[Sales]]</f>
        <v>0.22805281898578234</v>
      </c>
      <c r="W124">
        <v>5601.52</v>
      </c>
      <c r="X124" t="s">
        <v>81</v>
      </c>
    </row>
    <row r="125" spans="1:24" ht="13.8" x14ac:dyDescent="0.25">
      <c r="A125" t="s">
        <v>512</v>
      </c>
      <c r="B125">
        <f>YEAR(Retail_data[[#This Row],[Order Date]])</f>
        <v>2026</v>
      </c>
      <c r="C125" t="str">
        <f>TEXT(Retail_data[[#This Row],[Order Date]],"mmmm")</f>
        <v>January</v>
      </c>
      <c r="D125">
        <f>MONTH(Retail_data[[#This Row],[Order Date]])</f>
        <v>1</v>
      </c>
      <c r="E125" t="str">
        <f>"Q"&amp;ROUNDUP(MONTH(Retail_data[[#This Row],[Order Date]])/3,0)</f>
        <v>Q1</v>
      </c>
      <c r="F125" s="1">
        <v>46045</v>
      </c>
      <c r="G125" s="1">
        <v>46049</v>
      </c>
      <c r="H125" t="s">
        <v>513</v>
      </c>
      <c r="I125" t="s">
        <v>514</v>
      </c>
      <c r="J125" t="s">
        <v>33</v>
      </c>
      <c r="K125" t="s">
        <v>22</v>
      </c>
      <c r="L125" t="s">
        <v>67</v>
      </c>
      <c r="M125" t="s">
        <v>68</v>
      </c>
      <c r="N125" t="s">
        <v>69</v>
      </c>
      <c r="O125" t="s">
        <v>26</v>
      </c>
      <c r="P125" t="s">
        <v>92</v>
      </c>
      <c r="Q125" t="s">
        <v>485</v>
      </c>
      <c r="R125">
        <v>21906.37</v>
      </c>
      <c r="S125">
        <v>6</v>
      </c>
      <c r="T125">
        <v>0.2</v>
      </c>
      <c r="U125" t="str">
        <f>IF(Retail_data[[#This Row],[Sales]]&gt;30000,"High",IF(Retail_data[[#This Row],[Sales]]&gt;10000,"Medium","Low"))</f>
        <v>Medium</v>
      </c>
      <c r="V125" s="3">
        <f>Retail_data[[#This Row],[Profit]]/Retail_data[[#This Row],[Sales]]</f>
        <v>0.13556148280157782</v>
      </c>
      <c r="W125">
        <v>2969.66</v>
      </c>
      <c r="X125" t="s">
        <v>81</v>
      </c>
    </row>
    <row r="126" spans="1:24" ht="13.8" x14ac:dyDescent="0.25">
      <c r="A126" t="s">
        <v>515</v>
      </c>
      <c r="B126">
        <f>YEAR(Retail_data[[#This Row],[Order Date]])</f>
        <v>2026</v>
      </c>
      <c r="C126" t="str">
        <f>TEXT(Retail_data[[#This Row],[Order Date]],"mmmm")</f>
        <v>January</v>
      </c>
      <c r="D126">
        <f>MONTH(Retail_data[[#This Row],[Order Date]])</f>
        <v>1</v>
      </c>
      <c r="E126" t="str">
        <f>"Q"&amp;ROUNDUP(MONTH(Retail_data[[#This Row],[Order Date]])/3,0)</f>
        <v>Q1</v>
      </c>
      <c r="F126" s="1">
        <v>46046</v>
      </c>
      <c r="G126" s="1">
        <v>46050</v>
      </c>
      <c r="H126" t="s">
        <v>516</v>
      </c>
      <c r="I126" t="s">
        <v>517</v>
      </c>
      <c r="J126" t="s">
        <v>33</v>
      </c>
      <c r="K126" t="s">
        <v>22</v>
      </c>
      <c r="L126" t="s">
        <v>23</v>
      </c>
      <c r="M126" t="s">
        <v>24</v>
      </c>
      <c r="N126" t="s">
        <v>25</v>
      </c>
      <c r="O126" t="s">
        <v>57</v>
      </c>
      <c r="P126" t="s">
        <v>58</v>
      </c>
      <c r="Q126" t="s">
        <v>125</v>
      </c>
      <c r="R126">
        <v>25403.59</v>
      </c>
      <c r="S126">
        <v>3</v>
      </c>
      <c r="T126">
        <v>0.3</v>
      </c>
      <c r="U126" t="str">
        <f>IF(Retail_data[[#This Row],[Sales]]&gt;30000,"High",IF(Retail_data[[#This Row],[Sales]]&gt;10000,"Medium","Low"))</f>
        <v>Medium</v>
      </c>
      <c r="V126" s="3">
        <f>Retail_data[[#This Row],[Profit]]/Retail_data[[#This Row],[Sales]]</f>
        <v>-5.8029199809948126E-2</v>
      </c>
      <c r="W126">
        <v>-1474.15</v>
      </c>
      <c r="X126" t="s">
        <v>29</v>
      </c>
    </row>
    <row r="127" spans="1:24" ht="13.8" x14ac:dyDescent="0.25">
      <c r="A127" t="s">
        <v>518</v>
      </c>
      <c r="B127">
        <f>YEAR(Retail_data[[#This Row],[Order Date]])</f>
        <v>2026</v>
      </c>
      <c r="C127" t="str">
        <f>TEXT(Retail_data[[#This Row],[Order Date]],"mmmm")</f>
        <v>January</v>
      </c>
      <c r="D127">
        <f>MONTH(Retail_data[[#This Row],[Order Date]])</f>
        <v>1</v>
      </c>
      <c r="E127" t="str">
        <f>"Q"&amp;ROUNDUP(MONTH(Retail_data[[#This Row],[Order Date]])/3,0)</f>
        <v>Q1</v>
      </c>
      <c r="F127" s="1">
        <v>46047</v>
      </c>
      <c r="G127" s="1">
        <v>46051</v>
      </c>
      <c r="H127" t="s">
        <v>519</v>
      </c>
      <c r="I127" t="s">
        <v>520</v>
      </c>
      <c r="J127" t="s">
        <v>21</v>
      </c>
      <c r="K127" t="s">
        <v>22</v>
      </c>
      <c r="L127" t="s">
        <v>23</v>
      </c>
      <c r="M127" t="s">
        <v>24</v>
      </c>
      <c r="N127" t="s">
        <v>25</v>
      </c>
      <c r="O127" t="s">
        <v>57</v>
      </c>
      <c r="P127" t="s">
        <v>58</v>
      </c>
      <c r="Q127" t="s">
        <v>250</v>
      </c>
      <c r="R127">
        <v>36325.699999999997</v>
      </c>
      <c r="S127">
        <v>8</v>
      </c>
      <c r="T127">
        <v>0.3</v>
      </c>
      <c r="U127" t="str">
        <f>IF(Retail_data[[#This Row],[Sales]]&gt;30000,"High",IF(Retail_data[[#This Row],[Sales]]&gt;10000,"Medium","Low"))</f>
        <v>High</v>
      </c>
      <c r="V127" s="3">
        <f>Retail_data[[#This Row],[Profit]]/Retail_data[[#This Row],[Sales]]</f>
        <v>0.1488081440963285</v>
      </c>
      <c r="W127">
        <v>5405.56</v>
      </c>
      <c r="X127" t="s">
        <v>48</v>
      </c>
    </row>
    <row r="128" spans="1:24" ht="13.8" x14ac:dyDescent="0.25">
      <c r="A128" t="s">
        <v>521</v>
      </c>
      <c r="B128">
        <f>YEAR(Retail_data[[#This Row],[Order Date]])</f>
        <v>2026</v>
      </c>
      <c r="C128" t="str">
        <f>TEXT(Retail_data[[#This Row],[Order Date]],"mmmm")</f>
        <v>January</v>
      </c>
      <c r="D128">
        <f>MONTH(Retail_data[[#This Row],[Order Date]])</f>
        <v>1</v>
      </c>
      <c r="E128" t="str">
        <f>"Q"&amp;ROUNDUP(MONTH(Retail_data[[#This Row],[Order Date]])/3,0)</f>
        <v>Q1</v>
      </c>
      <c r="F128" s="1">
        <v>46048</v>
      </c>
      <c r="G128" s="1">
        <v>46052</v>
      </c>
      <c r="H128" t="s">
        <v>522</v>
      </c>
      <c r="I128" t="s">
        <v>523</v>
      </c>
      <c r="J128" t="s">
        <v>33</v>
      </c>
      <c r="K128" t="s">
        <v>22</v>
      </c>
      <c r="L128" t="s">
        <v>85</v>
      </c>
      <c r="M128" t="s">
        <v>86</v>
      </c>
      <c r="N128" t="s">
        <v>87</v>
      </c>
      <c r="O128" t="s">
        <v>57</v>
      </c>
      <c r="P128" t="s">
        <v>58</v>
      </c>
      <c r="Q128" t="s">
        <v>278</v>
      </c>
      <c r="R128">
        <v>28195.02</v>
      </c>
      <c r="S128">
        <v>1</v>
      </c>
      <c r="T128">
        <v>0.2</v>
      </c>
      <c r="U128" t="str">
        <f>IF(Retail_data[[#This Row],[Sales]]&gt;30000,"High",IF(Retail_data[[#This Row],[Sales]]&gt;10000,"Medium","Low"))</f>
        <v>Medium</v>
      </c>
      <c r="V128" s="3">
        <f>Retail_data[[#This Row],[Profit]]/Retail_data[[#This Row],[Sales]]</f>
        <v>0.17171578526988099</v>
      </c>
      <c r="W128">
        <v>4841.53</v>
      </c>
      <c r="X128" t="s">
        <v>81</v>
      </c>
    </row>
    <row r="129" spans="1:24" ht="13.8" x14ac:dyDescent="0.25">
      <c r="A129" t="s">
        <v>524</v>
      </c>
      <c r="B129">
        <f>YEAR(Retail_data[[#This Row],[Order Date]])</f>
        <v>2026</v>
      </c>
      <c r="C129" t="str">
        <f>TEXT(Retail_data[[#This Row],[Order Date]],"mmmm")</f>
        <v>January</v>
      </c>
      <c r="D129">
        <f>MONTH(Retail_data[[#This Row],[Order Date]])</f>
        <v>1</v>
      </c>
      <c r="E129" t="str">
        <f>"Q"&amp;ROUNDUP(MONTH(Retail_data[[#This Row],[Order Date]])/3,0)</f>
        <v>Q1</v>
      </c>
      <c r="F129" s="1">
        <v>46049</v>
      </c>
      <c r="G129" s="1">
        <v>46053</v>
      </c>
      <c r="H129" t="s">
        <v>525</v>
      </c>
      <c r="I129" t="s">
        <v>526</v>
      </c>
      <c r="J129" t="s">
        <v>44</v>
      </c>
      <c r="K129" t="s">
        <v>22</v>
      </c>
      <c r="L129" t="s">
        <v>23</v>
      </c>
      <c r="M129" t="s">
        <v>24</v>
      </c>
      <c r="N129" t="s">
        <v>25</v>
      </c>
      <c r="O129" t="s">
        <v>57</v>
      </c>
      <c r="P129" t="s">
        <v>149</v>
      </c>
      <c r="Q129" t="s">
        <v>527</v>
      </c>
      <c r="R129">
        <v>20850.88</v>
      </c>
      <c r="S129">
        <v>3</v>
      </c>
      <c r="T129">
        <v>0.2</v>
      </c>
      <c r="U129" t="str">
        <f>IF(Retail_data[[#This Row],[Sales]]&gt;30000,"High",IF(Retail_data[[#This Row],[Sales]]&gt;10000,"Medium","Low"))</f>
        <v>Medium</v>
      </c>
      <c r="V129" s="3">
        <f>Retail_data[[#This Row],[Profit]]/Retail_data[[#This Row],[Sales]]</f>
        <v>0.20799505824214612</v>
      </c>
      <c r="W129">
        <v>4336.88</v>
      </c>
      <c r="X129" t="s">
        <v>81</v>
      </c>
    </row>
    <row r="130" spans="1:24" ht="13.8" x14ac:dyDescent="0.25">
      <c r="A130" t="s">
        <v>528</v>
      </c>
      <c r="B130">
        <f>YEAR(Retail_data[[#This Row],[Order Date]])</f>
        <v>2026</v>
      </c>
      <c r="C130" t="str">
        <f>TEXT(Retail_data[[#This Row],[Order Date]],"mmmm")</f>
        <v>January</v>
      </c>
      <c r="D130">
        <f>MONTH(Retail_data[[#This Row],[Order Date]])</f>
        <v>1</v>
      </c>
      <c r="E130" t="str">
        <f>"Q"&amp;ROUNDUP(MONTH(Retail_data[[#This Row],[Order Date]])/3,0)</f>
        <v>Q1</v>
      </c>
      <c r="F130" s="1">
        <v>46050</v>
      </c>
      <c r="G130" s="1">
        <v>46054</v>
      </c>
      <c r="H130" t="s">
        <v>529</v>
      </c>
      <c r="I130" t="s">
        <v>530</v>
      </c>
      <c r="J130" t="s">
        <v>21</v>
      </c>
      <c r="K130" t="s">
        <v>22</v>
      </c>
      <c r="L130" t="s">
        <v>67</v>
      </c>
      <c r="M130" t="s">
        <v>68</v>
      </c>
      <c r="N130" t="s">
        <v>69</v>
      </c>
      <c r="O130" t="s">
        <v>37</v>
      </c>
      <c r="P130" t="s">
        <v>46</v>
      </c>
      <c r="Q130" t="s">
        <v>129</v>
      </c>
      <c r="R130">
        <v>19946.96</v>
      </c>
      <c r="S130">
        <v>8</v>
      </c>
      <c r="T130">
        <v>0.2</v>
      </c>
      <c r="U130" t="str">
        <f>IF(Retail_data[[#This Row],[Sales]]&gt;30000,"High",IF(Retail_data[[#This Row],[Sales]]&gt;10000,"Medium","Low"))</f>
        <v>Medium</v>
      </c>
      <c r="V130" s="3">
        <f>Retail_data[[#This Row],[Profit]]/Retail_data[[#This Row],[Sales]]</f>
        <v>8.9770571555765899E-2</v>
      </c>
      <c r="W130">
        <v>1790.65</v>
      </c>
      <c r="X130" t="s">
        <v>81</v>
      </c>
    </row>
    <row r="131" spans="1:24" ht="13.8" x14ac:dyDescent="0.25">
      <c r="A131" t="s">
        <v>531</v>
      </c>
      <c r="B131">
        <f>YEAR(Retail_data[[#This Row],[Order Date]])</f>
        <v>2026</v>
      </c>
      <c r="C131" t="str">
        <f>TEXT(Retail_data[[#This Row],[Order Date]],"mmmm")</f>
        <v>January</v>
      </c>
      <c r="D131">
        <f>MONTH(Retail_data[[#This Row],[Order Date]])</f>
        <v>1</v>
      </c>
      <c r="E131" t="str">
        <f>"Q"&amp;ROUNDUP(MONTH(Retail_data[[#This Row],[Order Date]])/3,0)</f>
        <v>Q1</v>
      </c>
      <c r="F131" s="1">
        <v>46051</v>
      </c>
      <c r="G131" s="1">
        <v>46055</v>
      </c>
      <c r="H131" t="s">
        <v>532</v>
      </c>
      <c r="I131" t="s">
        <v>533</v>
      </c>
      <c r="J131" t="s">
        <v>33</v>
      </c>
      <c r="K131" t="s">
        <v>22</v>
      </c>
      <c r="L131" t="s">
        <v>45</v>
      </c>
      <c r="M131" t="s">
        <v>45</v>
      </c>
      <c r="N131" t="s">
        <v>25</v>
      </c>
      <c r="O131" t="s">
        <v>57</v>
      </c>
      <c r="P131" t="s">
        <v>79</v>
      </c>
      <c r="Q131" t="s">
        <v>534</v>
      </c>
      <c r="R131">
        <v>46794.09</v>
      </c>
      <c r="S131">
        <v>1</v>
      </c>
      <c r="T131">
        <v>0</v>
      </c>
      <c r="U131" t="str">
        <f>IF(Retail_data[[#This Row],[Sales]]&gt;30000,"High",IF(Retail_data[[#This Row],[Sales]]&gt;10000,"Medium","Low"))</f>
        <v>High</v>
      </c>
      <c r="V131" s="3">
        <f>Retail_data[[#This Row],[Profit]]/Retail_data[[#This Row],[Sales]]</f>
        <v>0.22225413508415273</v>
      </c>
      <c r="W131">
        <v>10400.18</v>
      </c>
      <c r="X131" t="s">
        <v>40</v>
      </c>
    </row>
    <row r="132" spans="1:24" ht="13.8" x14ac:dyDescent="0.25">
      <c r="A132" t="s">
        <v>535</v>
      </c>
      <c r="B132">
        <f>YEAR(Retail_data[[#This Row],[Order Date]])</f>
        <v>2026</v>
      </c>
      <c r="C132" t="str">
        <f>TEXT(Retail_data[[#This Row],[Order Date]],"mmmm")</f>
        <v>January</v>
      </c>
      <c r="D132">
        <f>MONTH(Retail_data[[#This Row],[Order Date]])</f>
        <v>1</v>
      </c>
      <c r="E132" t="str">
        <f>"Q"&amp;ROUNDUP(MONTH(Retail_data[[#This Row],[Order Date]])/3,0)</f>
        <v>Q1</v>
      </c>
      <c r="F132" s="1">
        <v>46052</v>
      </c>
      <c r="G132" s="1">
        <v>46056</v>
      </c>
      <c r="H132" t="s">
        <v>536</v>
      </c>
      <c r="I132" t="s">
        <v>537</v>
      </c>
      <c r="J132" t="s">
        <v>44</v>
      </c>
      <c r="K132" t="s">
        <v>22</v>
      </c>
      <c r="L132" t="s">
        <v>45</v>
      </c>
      <c r="M132" t="s">
        <v>45</v>
      </c>
      <c r="N132" t="s">
        <v>25</v>
      </c>
      <c r="O132" t="s">
        <v>57</v>
      </c>
      <c r="P132" t="s">
        <v>149</v>
      </c>
      <c r="Q132" t="s">
        <v>538</v>
      </c>
      <c r="R132">
        <v>38413.050000000003</v>
      </c>
      <c r="S132">
        <v>1</v>
      </c>
      <c r="T132">
        <v>0.3</v>
      </c>
      <c r="U132" t="str">
        <f>IF(Retail_data[[#This Row],[Sales]]&gt;30000,"High",IF(Retail_data[[#This Row],[Sales]]&gt;10000,"Medium","Low"))</f>
        <v>High</v>
      </c>
      <c r="V132" s="3">
        <f>Retail_data[[#This Row],[Profit]]/Retail_data[[#This Row],[Sales]]</f>
        <v>8.6092616962204244E-2</v>
      </c>
      <c r="W132">
        <v>3307.08</v>
      </c>
      <c r="X132" t="s">
        <v>81</v>
      </c>
    </row>
    <row r="133" spans="1:24" ht="13.8" x14ac:dyDescent="0.25">
      <c r="A133" t="s">
        <v>539</v>
      </c>
      <c r="B133">
        <f>YEAR(Retail_data[[#This Row],[Order Date]])</f>
        <v>2026</v>
      </c>
      <c r="C133" t="str">
        <f>TEXT(Retail_data[[#This Row],[Order Date]],"mmmm")</f>
        <v>January</v>
      </c>
      <c r="D133">
        <f>MONTH(Retail_data[[#This Row],[Order Date]])</f>
        <v>1</v>
      </c>
      <c r="E133" t="str">
        <f>"Q"&amp;ROUNDUP(MONTH(Retail_data[[#This Row],[Order Date]])/3,0)</f>
        <v>Q1</v>
      </c>
      <c r="F133" s="1">
        <v>46053</v>
      </c>
      <c r="G133" s="1">
        <v>46057</v>
      </c>
      <c r="H133" t="s">
        <v>540</v>
      </c>
      <c r="I133" t="s">
        <v>541</v>
      </c>
      <c r="J133" t="s">
        <v>21</v>
      </c>
      <c r="K133" t="s">
        <v>22</v>
      </c>
      <c r="L133" t="s">
        <v>34</v>
      </c>
      <c r="M133" t="s">
        <v>35</v>
      </c>
      <c r="N133" t="s">
        <v>36</v>
      </c>
      <c r="O133" t="s">
        <v>57</v>
      </c>
      <c r="P133" t="s">
        <v>58</v>
      </c>
      <c r="Q133" t="s">
        <v>542</v>
      </c>
      <c r="R133">
        <v>25980.3</v>
      </c>
      <c r="S133">
        <v>8</v>
      </c>
      <c r="T133">
        <v>0</v>
      </c>
      <c r="U133" t="str">
        <f>IF(Retail_data[[#This Row],[Sales]]&gt;30000,"High",IF(Retail_data[[#This Row],[Sales]]&gt;10000,"Medium","Low"))</f>
        <v>Medium</v>
      </c>
      <c r="V133" s="3">
        <f>Retail_data[[#This Row],[Profit]]/Retail_data[[#This Row],[Sales]]</f>
        <v>6.609238538431042E-2</v>
      </c>
      <c r="W133">
        <v>1717.1</v>
      </c>
      <c r="X133" t="s">
        <v>29</v>
      </c>
    </row>
    <row r="134" spans="1:24" ht="13.8" x14ac:dyDescent="0.25">
      <c r="A134" t="s">
        <v>543</v>
      </c>
      <c r="B134">
        <f>YEAR(Retail_data[[#This Row],[Order Date]])</f>
        <v>2026</v>
      </c>
      <c r="C134" t="str">
        <f>TEXT(Retail_data[[#This Row],[Order Date]],"mmmm")</f>
        <v>February</v>
      </c>
      <c r="D134">
        <f>MONTH(Retail_data[[#This Row],[Order Date]])</f>
        <v>2</v>
      </c>
      <c r="E134" t="str">
        <f>"Q"&amp;ROUNDUP(MONTH(Retail_data[[#This Row],[Order Date]])/3,0)</f>
        <v>Q1</v>
      </c>
      <c r="F134" s="1">
        <v>46054</v>
      </c>
      <c r="G134" s="1">
        <v>46058</v>
      </c>
      <c r="H134" t="s">
        <v>544</v>
      </c>
      <c r="I134" t="s">
        <v>545</v>
      </c>
      <c r="J134" t="s">
        <v>21</v>
      </c>
      <c r="K134" t="s">
        <v>22</v>
      </c>
      <c r="L134" t="s">
        <v>23</v>
      </c>
      <c r="M134" t="s">
        <v>24</v>
      </c>
      <c r="N134" t="s">
        <v>25</v>
      </c>
      <c r="O134" t="s">
        <v>26</v>
      </c>
      <c r="P134" t="s">
        <v>70</v>
      </c>
      <c r="Q134" t="s">
        <v>133</v>
      </c>
      <c r="R134">
        <v>45013.14</v>
      </c>
      <c r="S134">
        <v>7</v>
      </c>
      <c r="T134">
        <v>0</v>
      </c>
      <c r="U134" t="str">
        <f>IF(Retail_data[[#This Row],[Sales]]&gt;30000,"High",IF(Retail_data[[#This Row],[Sales]]&gt;10000,"Medium","Low"))</f>
        <v>High</v>
      </c>
      <c r="V134" s="3">
        <f>Retail_data[[#This Row],[Profit]]/Retail_data[[#This Row],[Sales]]</f>
        <v>8.8035182615565144E-2</v>
      </c>
      <c r="W134">
        <v>3962.74</v>
      </c>
      <c r="X134" t="s">
        <v>81</v>
      </c>
    </row>
    <row r="135" spans="1:24" ht="13.8" x14ac:dyDescent="0.25">
      <c r="A135" t="s">
        <v>546</v>
      </c>
      <c r="B135">
        <f>YEAR(Retail_data[[#This Row],[Order Date]])</f>
        <v>2026</v>
      </c>
      <c r="C135" t="str">
        <f>TEXT(Retail_data[[#This Row],[Order Date]],"mmmm")</f>
        <v>February</v>
      </c>
      <c r="D135">
        <f>MONTH(Retail_data[[#This Row],[Order Date]])</f>
        <v>2</v>
      </c>
      <c r="E135" t="str">
        <f>"Q"&amp;ROUNDUP(MONTH(Retail_data[[#This Row],[Order Date]])/3,0)</f>
        <v>Q1</v>
      </c>
      <c r="F135" s="1">
        <v>46055</v>
      </c>
      <c r="G135" s="1">
        <v>46059</v>
      </c>
      <c r="H135" t="s">
        <v>547</v>
      </c>
      <c r="I135" t="s">
        <v>548</v>
      </c>
      <c r="J135" t="s">
        <v>44</v>
      </c>
      <c r="K135" t="s">
        <v>22</v>
      </c>
      <c r="L135" t="s">
        <v>34</v>
      </c>
      <c r="M135" t="s">
        <v>35</v>
      </c>
      <c r="N135" t="s">
        <v>36</v>
      </c>
      <c r="O135" t="s">
        <v>57</v>
      </c>
      <c r="P135" t="s">
        <v>58</v>
      </c>
      <c r="Q135" t="s">
        <v>549</v>
      </c>
      <c r="R135">
        <v>12319.85</v>
      </c>
      <c r="S135">
        <v>6</v>
      </c>
      <c r="T135">
        <v>0.3</v>
      </c>
      <c r="U135" t="str">
        <f>IF(Retail_data[[#This Row],[Sales]]&gt;30000,"High",IF(Retail_data[[#This Row],[Sales]]&gt;10000,"Medium","Low"))</f>
        <v>Medium</v>
      </c>
      <c r="V135" s="3">
        <f>Retail_data[[#This Row],[Profit]]/Retail_data[[#This Row],[Sales]]</f>
        <v>0.16289727553501057</v>
      </c>
      <c r="W135">
        <v>2006.87</v>
      </c>
      <c r="X135" t="s">
        <v>29</v>
      </c>
    </row>
    <row r="136" spans="1:24" ht="13.8" x14ac:dyDescent="0.25">
      <c r="A136" t="s">
        <v>550</v>
      </c>
      <c r="B136">
        <f>YEAR(Retail_data[[#This Row],[Order Date]])</f>
        <v>2026</v>
      </c>
      <c r="C136" t="str">
        <f>TEXT(Retail_data[[#This Row],[Order Date]],"mmmm")</f>
        <v>February</v>
      </c>
      <c r="D136">
        <f>MONTH(Retail_data[[#This Row],[Order Date]])</f>
        <v>2</v>
      </c>
      <c r="E136" t="str">
        <f>"Q"&amp;ROUNDUP(MONTH(Retail_data[[#This Row],[Order Date]])/3,0)</f>
        <v>Q1</v>
      </c>
      <c r="F136" s="1">
        <v>46056</v>
      </c>
      <c r="G136" s="1">
        <v>46060</v>
      </c>
      <c r="H136" t="s">
        <v>551</v>
      </c>
      <c r="I136" t="s">
        <v>552</v>
      </c>
      <c r="J136" t="s">
        <v>44</v>
      </c>
      <c r="K136" t="s">
        <v>22</v>
      </c>
      <c r="L136" t="s">
        <v>67</v>
      </c>
      <c r="M136" t="s">
        <v>68</v>
      </c>
      <c r="N136" t="s">
        <v>69</v>
      </c>
      <c r="O136" t="s">
        <v>57</v>
      </c>
      <c r="P136" t="s">
        <v>58</v>
      </c>
      <c r="Q136" t="s">
        <v>542</v>
      </c>
      <c r="R136">
        <v>47973.25</v>
      </c>
      <c r="S136">
        <v>6</v>
      </c>
      <c r="T136">
        <v>0.1</v>
      </c>
      <c r="U136" t="str">
        <f>IF(Retail_data[[#This Row],[Sales]]&gt;30000,"High",IF(Retail_data[[#This Row],[Sales]]&gt;10000,"Medium","Low"))</f>
        <v>High</v>
      </c>
      <c r="V136" s="3">
        <f>Retail_data[[#This Row],[Profit]]/Retail_data[[#This Row],[Sales]]</f>
        <v>1.669743033878255E-2</v>
      </c>
      <c r="W136">
        <v>801.03</v>
      </c>
      <c r="X136" t="s">
        <v>48</v>
      </c>
    </row>
    <row r="137" spans="1:24" ht="13.8" x14ac:dyDescent="0.25">
      <c r="A137" t="s">
        <v>553</v>
      </c>
      <c r="B137">
        <f>YEAR(Retail_data[[#This Row],[Order Date]])</f>
        <v>2026</v>
      </c>
      <c r="C137" t="str">
        <f>TEXT(Retail_data[[#This Row],[Order Date]],"mmmm")</f>
        <v>February</v>
      </c>
      <c r="D137">
        <f>MONTH(Retail_data[[#This Row],[Order Date]])</f>
        <v>2</v>
      </c>
      <c r="E137" t="str">
        <f>"Q"&amp;ROUNDUP(MONTH(Retail_data[[#This Row],[Order Date]])/3,0)</f>
        <v>Q1</v>
      </c>
      <c r="F137" s="1">
        <v>46057</v>
      </c>
      <c r="G137" s="1">
        <v>46061</v>
      </c>
      <c r="H137" t="s">
        <v>554</v>
      </c>
      <c r="I137" t="s">
        <v>555</v>
      </c>
      <c r="J137" t="s">
        <v>33</v>
      </c>
      <c r="K137" t="s">
        <v>22</v>
      </c>
      <c r="L137" t="s">
        <v>85</v>
      </c>
      <c r="M137" t="s">
        <v>86</v>
      </c>
      <c r="N137" t="s">
        <v>87</v>
      </c>
      <c r="O137" t="s">
        <v>26</v>
      </c>
      <c r="P137" t="s">
        <v>27</v>
      </c>
      <c r="Q137" t="s">
        <v>403</v>
      </c>
      <c r="R137">
        <v>37293.11</v>
      </c>
      <c r="S137">
        <v>7</v>
      </c>
      <c r="T137">
        <v>0.1</v>
      </c>
      <c r="U137" t="str">
        <f>IF(Retail_data[[#This Row],[Sales]]&gt;30000,"High",IF(Retail_data[[#This Row],[Sales]]&gt;10000,"Medium","Low"))</f>
        <v>High</v>
      </c>
      <c r="V137" s="3">
        <f>Retail_data[[#This Row],[Profit]]/Retail_data[[#This Row],[Sales]]</f>
        <v>0.13463773871366588</v>
      </c>
      <c r="W137">
        <v>5021.0600000000004</v>
      </c>
      <c r="X137" t="s">
        <v>29</v>
      </c>
    </row>
    <row r="138" spans="1:24" ht="13.8" x14ac:dyDescent="0.25">
      <c r="A138" t="s">
        <v>556</v>
      </c>
      <c r="B138">
        <f>YEAR(Retail_data[[#This Row],[Order Date]])</f>
        <v>2026</v>
      </c>
      <c r="C138" t="str">
        <f>TEXT(Retail_data[[#This Row],[Order Date]],"mmmm")</f>
        <v>February</v>
      </c>
      <c r="D138">
        <f>MONTH(Retail_data[[#This Row],[Order Date]])</f>
        <v>2</v>
      </c>
      <c r="E138" t="str">
        <f>"Q"&amp;ROUNDUP(MONTH(Retail_data[[#This Row],[Order Date]])/3,0)</f>
        <v>Q1</v>
      </c>
      <c r="F138" s="1">
        <v>46058</v>
      </c>
      <c r="G138" s="1">
        <v>46062</v>
      </c>
      <c r="H138" t="s">
        <v>557</v>
      </c>
      <c r="I138" t="s">
        <v>558</v>
      </c>
      <c r="J138" t="s">
        <v>33</v>
      </c>
      <c r="K138" t="s">
        <v>22</v>
      </c>
      <c r="L138" t="s">
        <v>85</v>
      </c>
      <c r="M138" t="s">
        <v>86</v>
      </c>
      <c r="N138" t="s">
        <v>87</v>
      </c>
      <c r="O138" t="s">
        <v>26</v>
      </c>
      <c r="P138" t="s">
        <v>92</v>
      </c>
      <c r="Q138" t="s">
        <v>559</v>
      </c>
      <c r="R138">
        <v>44251.1</v>
      </c>
      <c r="S138">
        <v>2</v>
      </c>
      <c r="T138">
        <v>0.3</v>
      </c>
      <c r="U138" t="str">
        <f>IF(Retail_data[[#This Row],[Sales]]&gt;30000,"High",IF(Retail_data[[#This Row],[Sales]]&gt;10000,"Medium","Low"))</f>
        <v>High</v>
      </c>
      <c r="V138" s="3">
        <f>Retail_data[[#This Row],[Profit]]/Retail_data[[#This Row],[Sales]]</f>
        <v>7.7399205895446665E-3</v>
      </c>
      <c r="W138">
        <v>342.5</v>
      </c>
      <c r="X138" t="s">
        <v>29</v>
      </c>
    </row>
    <row r="139" spans="1:24" ht="13.8" x14ac:dyDescent="0.25">
      <c r="A139" t="s">
        <v>560</v>
      </c>
      <c r="B139">
        <f>YEAR(Retail_data[[#This Row],[Order Date]])</f>
        <v>2026</v>
      </c>
      <c r="C139" t="str">
        <f>TEXT(Retail_data[[#This Row],[Order Date]],"mmmm")</f>
        <v>February</v>
      </c>
      <c r="D139">
        <f>MONTH(Retail_data[[#This Row],[Order Date]])</f>
        <v>2</v>
      </c>
      <c r="E139" t="str">
        <f>"Q"&amp;ROUNDUP(MONTH(Retail_data[[#This Row],[Order Date]])/3,0)</f>
        <v>Q1</v>
      </c>
      <c r="F139" s="1">
        <v>46059</v>
      </c>
      <c r="G139" s="1">
        <v>46063</v>
      </c>
      <c r="H139" t="s">
        <v>561</v>
      </c>
      <c r="I139" t="s">
        <v>562</v>
      </c>
      <c r="J139" t="s">
        <v>33</v>
      </c>
      <c r="K139" t="s">
        <v>22</v>
      </c>
      <c r="L139" t="s">
        <v>85</v>
      </c>
      <c r="M139" t="s">
        <v>86</v>
      </c>
      <c r="N139" t="s">
        <v>87</v>
      </c>
      <c r="O139" t="s">
        <v>37</v>
      </c>
      <c r="P139" t="s">
        <v>46</v>
      </c>
      <c r="Q139" t="s">
        <v>563</v>
      </c>
      <c r="R139">
        <v>49321.36</v>
      </c>
      <c r="S139">
        <v>3</v>
      </c>
      <c r="T139">
        <v>0.1</v>
      </c>
      <c r="U139" t="str">
        <f>IF(Retail_data[[#This Row],[Sales]]&gt;30000,"High",IF(Retail_data[[#This Row],[Sales]]&gt;10000,"Medium","Low"))</f>
        <v>High</v>
      </c>
      <c r="V139" s="3">
        <f>Retail_data[[#This Row],[Profit]]/Retail_data[[#This Row],[Sales]]</f>
        <v>0.12868136645056016</v>
      </c>
      <c r="W139">
        <v>6346.74</v>
      </c>
      <c r="X139" t="s">
        <v>48</v>
      </c>
    </row>
    <row r="140" spans="1:24" ht="13.8" x14ac:dyDescent="0.25">
      <c r="A140" t="s">
        <v>564</v>
      </c>
      <c r="B140">
        <f>YEAR(Retail_data[[#This Row],[Order Date]])</f>
        <v>2026</v>
      </c>
      <c r="C140" t="str">
        <f>TEXT(Retail_data[[#This Row],[Order Date]],"mmmm")</f>
        <v>February</v>
      </c>
      <c r="D140">
        <f>MONTH(Retail_data[[#This Row],[Order Date]])</f>
        <v>2</v>
      </c>
      <c r="E140" t="str">
        <f>"Q"&amp;ROUNDUP(MONTH(Retail_data[[#This Row],[Order Date]])/3,0)</f>
        <v>Q1</v>
      </c>
      <c r="F140" s="1">
        <v>46060</v>
      </c>
      <c r="G140" s="1">
        <v>46064</v>
      </c>
      <c r="H140" t="s">
        <v>565</v>
      </c>
      <c r="I140" t="s">
        <v>566</v>
      </c>
      <c r="J140" t="s">
        <v>21</v>
      </c>
      <c r="K140" t="s">
        <v>22</v>
      </c>
      <c r="L140" t="s">
        <v>23</v>
      </c>
      <c r="M140" t="s">
        <v>24</v>
      </c>
      <c r="N140" t="s">
        <v>25</v>
      </c>
      <c r="O140" t="s">
        <v>57</v>
      </c>
      <c r="P140" t="s">
        <v>149</v>
      </c>
      <c r="Q140" t="s">
        <v>176</v>
      </c>
      <c r="R140">
        <v>31223.43</v>
      </c>
      <c r="S140">
        <v>4</v>
      </c>
      <c r="T140">
        <v>0</v>
      </c>
      <c r="U140" t="str">
        <f>IF(Retail_data[[#This Row],[Sales]]&gt;30000,"High",IF(Retail_data[[#This Row],[Sales]]&gt;10000,"Medium","Low"))</f>
        <v>High</v>
      </c>
      <c r="V140" s="3">
        <f>Retail_data[[#This Row],[Profit]]/Retail_data[[#This Row],[Sales]]</f>
        <v>0.10062283355800436</v>
      </c>
      <c r="W140">
        <v>3141.79</v>
      </c>
      <c r="X140" t="s">
        <v>29</v>
      </c>
    </row>
    <row r="141" spans="1:24" ht="13.8" x14ac:dyDescent="0.25">
      <c r="A141" t="s">
        <v>567</v>
      </c>
      <c r="B141">
        <f>YEAR(Retail_data[[#This Row],[Order Date]])</f>
        <v>2026</v>
      </c>
      <c r="C141" t="str">
        <f>TEXT(Retail_data[[#This Row],[Order Date]],"mmmm")</f>
        <v>February</v>
      </c>
      <c r="D141">
        <f>MONTH(Retail_data[[#This Row],[Order Date]])</f>
        <v>2</v>
      </c>
      <c r="E141" t="str">
        <f>"Q"&amp;ROUNDUP(MONTH(Retail_data[[#This Row],[Order Date]])/3,0)</f>
        <v>Q1</v>
      </c>
      <c r="F141" s="1">
        <v>46061</v>
      </c>
      <c r="G141" s="1">
        <v>46065</v>
      </c>
      <c r="H141" t="s">
        <v>568</v>
      </c>
      <c r="I141" t="s">
        <v>569</v>
      </c>
      <c r="J141" t="s">
        <v>21</v>
      </c>
      <c r="K141" t="s">
        <v>22</v>
      </c>
      <c r="L141" t="s">
        <v>85</v>
      </c>
      <c r="M141" t="s">
        <v>86</v>
      </c>
      <c r="N141" t="s">
        <v>87</v>
      </c>
      <c r="O141" t="s">
        <v>26</v>
      </c>
      <c r="P141" t="s">
        <v>92</v>
      </c>
      <c r="Q141" t="s">
        <v>570</v>
      </c>
      <c r="R141">
        <v>47071.72</v>
      </c>
      <c r="S141">
        <v>5</v>
      </c>
      <c r="T141">
        <v>0.3</v>
      </c>
      <c r="U141" t="str">
        <f>IF(Retail_data[[#This Row],[Sales]]&gt;30000,"High",IF(Retail_data[[#This Row],[Sales]]&gt;10000,"Medium","Low"))</f>
        <v>High</v>
      </c>
      <c r="V141" s="3">
        <f>Retail_data[[#This Row],[Profit]]/Retail_data[[#This Row],[Sales]]</f>
        <v>-5.6377374780441421E-2</v>
      </c>
      <c r="W141">
        <v>-2653.78</v>
      </c>
      <c r="X141" t="s">
        <v>81</v>
      </c>
    </row>
    <row r="142" spans="1:24" ht="13.8" x14ac:dyDescent="0.25">
      <c r="A142" t="s">
        <v>571</v>
      </c>
      <c r="B142">
        <f>YEAR(Retail_data[[#This Row],[Order Date]])</f>
        <v>2026</v>
      </c>
      <c r="C142" t="str">
        <f>TEXT(Retail_data[[#This Row],[Order Date]],"mmmm")</f>
        <v>February</v>
      </c>
      <c r="D142">
        <f>MONTH(Retail_data[[#This Row],[Order Date]])</f>
        <v>2</v>
      </c>
      <c r="E142" t="str">
        <f>"Q"&amp;ROUNDUP(MONTH(Retail_data[[#This Row],[Order Date]])/3,0)</f>
        <v>Q1</v>
      </c>
      <c r="F142" s="1">
        <v>46062</v>
      </c>
      <c r="G142" s="1">
        <v>46066</v>
      </c>
      <c r="H142" t="s">
        <v>572</v>
      </c>
      <c r="I142" t="s">
        <v>573</v>
      </c>
      <c r="J142" t="s">
        <v>33</v>
      </c>
      <c r="K142" t="s">
        <v>22</v>
      </c>
      <c r="L142" t="s">
        <v>85</v>
      </c>
      <c r="M142" t="s">
        <v>86</v>
      </c>
      <c r="N142" t="s">
        <v>87</v>
      </c>
      <c r="O142" t="s">
        <v>26</v>
      </c>
      <c r="P142" t="s">
        <v>92</v>
      </c>
      <c r="Q142" t="s">
        <v>235</v>
      </c>
      <c r="R142">
        <v>16612.86</v>
      </c>
      <c r="S142">
        <v>7</v>
      </c>
      <c r="T142">
        <v>0.1</v>
      </c>
      <c r="U142" t="str">
        <f>IF(Retail_data[[#This Row],[Sales]]&gt;30000,"High",IF(Retail_data[[#This Row],[Sales]]&gt;10000,"Medium","Low"))</f>
        <v>Medium</v>
      </c>
      <c r="V142" s="3">
        <f>Retail_data[[#This Row],[Profit]]/Retail_data[[#This Row],[Sales]]</f>
        <v>8.6801429735758925E-2</v>
      </c>
      <c r="W142">
        <v>1442.02</v>
      </c>
      <c r="X142" t="s">
        <v>40</v>
      </c>
    </row>
    <row r="143" spans="1:24" ht="13.8" x14ac:dyDescent="0.25">
      <c r="A143" t="s">
        <v>574</v>
      </c>
      <c r="B143">
        <f>YEAR(Retail_data[[#This Row],[Order Date]])</f>
        <v>2026</v>
      </c>
      <c r="C143" t="str">
        <f>TEXT(Retail_data[[#This Row],[Order Date]],"mmmm")</f>
        <v>February</v>
      </c>
      <c r="D143">
        <f>MONTH(Retail_data[[#This Row],[Order Date]])</f>
        <v>2</v>
      </c>
      <c r="E143" t="str">
        <f>"Q"&amp;ROUNDUP(MONTH(Retail_data[[#This Row],[Order Date]])/3,0)</f>
        <v>Q1</v>
      </c>
      <c r="F143" s="1">
        <v>46063</v>
      </c>
      <c r="G143" s="1">
        <v>46067</v>
      </c>
      <c r="H143" t="s">
        <v>575</v>
      </c>
      <c r="I143" t="s">
        <v>576</v>
      </c>
      <c r="J143" t="s">
        <v>44</v>
      </c>
      <c r="K143" t="s">
        <v>22</v>
      </c>
      <c r="L143" t="s">
        <v>45</v>
      </c>
      <c r="M143" t="s">
        <v>45</v>
      </c>
      <c r="N143" t="s">
        <v>25</v>
      </c>
      <c r="O143" t="s">
        <v>26</v>
      </c>
      <c r="P143" t="s">
        <v>27</v>
      </c>
      <c r="Q143" t="s">
        <v>577</v>
      </c>
      <c r="R143">
        <v>32026.6</v>
      </c>
      <c r="S143">
        <v>8</v>
      </c>
      <c r="T143">
        <v>0.2</v>
      </c>
      <c r="U143" t="str">
        <f>IF(Retail_data[[#This Row],[Sales]]&gt;30000,"High",IF(Retail_data[[#This Row],[Sales]]&gt;10000,"Medium","Low"))</f>
        <v>High</v>
      </c>
      <c r="V143" s="3">
        <f>Retail_data[[#This Row],[Profit]]/Retail_data[[#This Row],[Sales]]</f>
        <v>5.9389070335283796E-2</v>
      </c>
      <c r="W143">
        <v>1902.03</v>
      </c>
      <c r="X143" t="s">
        <v>29</v>
      </c>
    </row>
    <row r="144" spans="1:24" ht="13.8" x14ac:dyDescent="0.25">
      <c r="A144" t="s">
        <v>578</v>
      </c>
      <c r="B144">
        <f>YEAR(Retail_data[[#This Row],[Order Date]])</f>
        <v>2026</v>
      </c>
      <c r="C144" t="str">
        <f>TEXT(Retail_data[[#This Row],[Order Date]],"mmmm")</f>
        <v>February</v>
      </c>
      <c r="D144">
        <f>MONTH(Retail_data[[#This Row],[Order Date]])</f>
        <v>2</v>
      </c>
      <c r="E144" t="str">
        <f>"Q"&amp;ROUNDUP(MONTH(Retail_data[[#This Row],[Order Date]])/3,0)</f>
        <v>Q1</v>
      </c>
      <c r="F144" s="1">
        <v>46064</v>
      </c>
      <c r="G144" s="1">
        <v>46068</v>
      </c>
      <c r="H144" t="s">
        <v>579</v>
      </c>
      <c r="I144" t="s">
        <v>580</v>
      </c>
      <c r="J144" t="s">
        <v>33</v>
      </c>
      <c r="K144" t="s">
        <v>22</v>
      </c>
      <c r="L144" t="s">
        <v>34</v>
      </c>
      <c r="M144" t="s">
        <v>35</v>
      </c>
      <c r="N144" t="s">
        <v>36</v>
      </c>
      <c r="O144" t="s">
        <v>37</v>
      </c>
      <c r="P144" t="s">
        <v>46</v>
      </c>
      <c r="Q144" t="s">
        <v>581</v>
      </c>
      <c r="R144">
        <v>35041.25</v>
      </c>
      <c r="S144">
        <v>8</v>
      </c>
      <c r="T144">
        <v>0.2</v>
      </c>
      <c r="U144" t="str">
        <f>IF(Retail_data[[#This Row],[Sales]]&gt;30000,"High",IF(Retail_data[[#This Row],[Sales]]&gt;10000,"Medium","Low"))</f>
        <v>High</v>
      </c>
      <c r="V144" s="3">
        <f>Retail_data[[#This Row],[Profit]]/Retail_data[[#This Row],[Sales]]</f>
        <v>0.1040282524167945</v>
      </c>
      <c r="W144">
        <v>3645.28</v>
      </c>
      <c r="X144" t="s">
        <v>29</v>
      </c>
    </row>
    <row r="145" spans="1:24" ht="13.8" x14ac:dyDescent="0.25">
      <c r="A145" t="s">
        <v>582</v>
      </c>
      <c r="B145">
        <f>YEAR(Retail_data[[#This Row],[Order Date]])</f>
        <v>2026</v>
      </c>
      <c r="C145" t="str">
        <f>TEXT(Retail_data[[#This Row],[Order Date]],"mmmm")</f>
        <v>February</v>
      </c>
      <c r="D145">
        <f>MONTH(Retail_data[[#This Row],[Order Date]])</f>
        <v>2</v>
      </c>
      <c r="E145" t="str">
        <f>"Q"&amp;ROUNDUP(MONTH(Retail_data[[#This Row],[Order Date]])/3,0)</f>
        <v>Q1</v>
      </c>
      <c r="F145" s="1">
        <v>46065</v>
      </c>
      <c r="G145" s="1">
        <v>46069</v>
      </c>
      <c r="H145" t="s">
        <v>583</v>
      </c>
      <c r="I145" t="s">
        <v>584</v>
      </c>
      <c r="J145" t="s">
        <v>21</v>
      </c>
      <c r="K145" t="s">
        <v>22</v>
      </c>
      <c r="L145" t="s">
        <v>23</v>
      </c>
      <c r="M145" t="s">
        <v>24</v>
      </c>
      <c r="N145" t="s">
        <v>25</v>
      </c>
      <c r="O145" t="s">
        <v>37</v>
      </c>
      <c r="P145" t="s">
        <v>46</v>
      </c>
      <c r="Q145" t="s">
        <v>129</v>
      </c>
      <c r="R145">
        <v>49517.65</v>
      </c>
      <c r="S145">
        <v>8</v>
      </c>
      <c r="T145">
        <v>0.2</v>
      </c>
      <c r="U145" t="str">
        <f>IF(Retail_data[[#This Row],[Sales]]&gt;30000,"High",IF(Retail_data[[#This Row],[Sales]]&gt;10000,"Medium","Low"))</f>
        <v>High</v>
      </c>
      <c r="V145" s="3">
        <f>Retail_data[[#This Row],[Profit]]/Retail_data[[#This Row],[Sales]]</f>
        <v>0.12976787064814263</v>
      </c>
      <c r="W145">
        <v>6425.8</v>
      </c>
      <c r="X145" t="s">
        <v>29</v>
      </c>
    </row>
    <row r="146" spans="1:24" ht="13.8" x14ac:dyDescent="0.25">
      <c r="A146" t="s">
        <v>585</v>
      </c>
      <c r="B146">
        <f>YEAR(Retail_data[[#This Row],[Order Date]])</f>
        <v>2026</v>
      </c>
      <c r="C146" t="str">
        <f>TEXT(Retail_data[[#This Row],[Order Date]],"mmmm")</f>
        <v>February</v>
      </c>
      <c r="D146">
        <f>MONTH(Retail_data[[#This Row],[Order Date]])</f>
        <v>2</v>
      </c>
      <c r="E146" t="str">
        <f>"Q"&amp;ROUNDUP(MONTH(Retail_data[[#This Row],[Order Date]])/3,0)</f>
        <v>Q1</v>
      </c>
      <c r="F146" s="1">
        <v>46066</v>
      </c>
      <c r="G146" s="1">
        <v>46070</v>
      </c>
      <c r="H146" t="s">
        <v>586</v>
      </c>
      <c r="I146" t="s">
        <v>587</v>
      </c>
      <c r="J146" t="s">
        <v>44</v>
      </c>
      <c r="K146" t="s">
        <v>22</v>
      </c>
      <c r="L146" t="s">
        <v>85</v>
      </c>
      <c r="M146" t="s">
        <v>86</v>
      </c>
      <c r="N146" t="s">
        <v>87</v>
      </c>
      <c r="O146" t="s">
        <v>37</v>
      </c>
      <c r="P146" t="s">
        <v>46</v>
      </c>
      <c r="Q146" t="s">
        <v>563</v>
      </c>
      <c r="R146">
        <v>2829.93</v>
      </c>
      <c r="S146">
        <v>8</v>
      </c>
      <c r="T146">
        <v>0.2</v>
      </c>
      <c r="U146" t="str">
        <f>IF(Retail_data[[#This Row],[Sales]]&gt;30000,"High",IF(Retail_data[[#This Row],[Sales]]&gt;10000,"Medium","Low"))</f>
        <v>Low</v>
      </c>
      <c r="V146" s="3">
        <f>Retail_data[[#This Row],[Profit]]/Retail_data[[#This Row],[Sales]]</f>
        <v>7.4613152975515296E-2</v>
      </c>
      <c r="W146">
        <v>211.15</v>
      </c>
      <c r="X146" t="s">
        <v>29</v>
      </c>
    </row>
    <row r="147" spans="1:24" ht="13.8" x14ac:dyDescent="0.25">
      <c r="A147" t="s">
        <v>588</v>
      </c>
      <c r="B147">
        <f>YEAR(Retail_data[[#This Row],[Order Date]])</f>
        <v>2026</v>
      </c>
      <c r="C147" t="str">
        <f>TEXT(Retail_data[[#This Row],[Order Date]],"mmmm")</f>
        <v>February</v>
      </c>
      <c r="D147">
        <f>MONTH(Retail_data[[#This Row],[Order Date]])</f>
        <v>2</v>
      </c>
      <c r="E147" t="str">
        <f>"Q"&amp;ROUNDUP(MONTH(Retail_data[[#This Row],[Order Date]])/3,0)</f>
        <v>Q1</v>
      </c>
      <c r="F147" s="1">
        <v>46067</v>
      </c>
      <c r="G147" s="1">
        <v>46071</v>
      </c>
      <c r="H147" t="s">
        <v>589</v>
      </c>
      <c r="I147" t="s">
        <v>590</v>
      </c>
      <c r="J147" t="s">
        <v>21</v>
      </c>
      <c r="K147" t="s">
        <v>22</v>
      </c>
      <c r="L147" t="s">
        <v>23</v>
      </c>
      <c r="M147" t="s">
        <v>24</v>
      </c>
      <c r="N147" t="s">
        <v>25</v>
      </c>
      <c r="O147" t="s">
        <v>37</v>
      </c>
      <c r="P147" t="s">
        <v>52</v>
      </c>
      <c r="Q147" t="s">
        <v>591</v>
      </c>
      <c r="R147">
        <v>12446.83</v>
      </c>
      <c r="S147">
        <v>7</v>
      </c>
      <c r="T147">
        <v>0.3</v>
      </c>
      <c r="U147" t="str">
        <f>IF(Retail_data[[#This Row],[Sales]]&gt;30000,"High",IF(Retail_data[[#This Row],[Sales]]&gt;10000,"Medium","Low"))</f>
        <v>Medium</v>
      </c>
      <c r="V147" s="3">
        <f>Retail_data[[#This Row],[Profit]]/Retail_data[[#This Row],[Sales]]</f>
        <v>1.4708966058024414E-2</v>
      </c>
      <c r="W147">
        <v>183.08</v>
      </c>
      <c r="X147" t="s">
        <v>29</v>
      </c>
    </row>
    <row r="148" spans="1:24" ht="13.8" x14ac:dyDescent="0.25">
      <c r="A148" t="s">
        <v>592</v>
      </c>
      <c r="B148">
        <f>YEAR(Retail_data[[#This Row],[Order Date]])</f>
        <v>2026</v>
      </c>
      <c r="C148" t="str">
        <f>TEXT(Retail_data[[#This Row],[Order Date]],"mmmm")</f>
        <v>February</v>
      </c>
      <c r="D148">
        <f>MONTH(Retail_data[[#This Row],[Order Date]])</f>
        <v>2</v>
      </c>
      <c r="E148" t="str">
        <f>"Q"&amp;ROUNDUP(MONTH(Retail_data[[#This Row],[Order Date]])/3,0)</f>
        <v>Q1</v>
      </c>
      <c r="F148" s="1">
        <v>46068</v>
      </c>
      <c r="G148" s="1">
        <v>46072</v>
      </c>
      <c r="H148" t="s">
        <v>593</v>
      </c>
      <c r="I148" t="s">
        <v>594</v>
      </c>
      <c r="J148" t="s">
        <v>33</v>
      </c>
      <c r="K148" t="s">
        <v>22</v>
      </c>
      <c r="L148" t="s">
        <v>34</v>
      </c>
      <c r="M148" t="s">
        <v>35</v>
      </c>
      <c r="N148" t="s">
        <v>36</v>
      </c>
      <c r="O148" t="s">
        <v>37</v>
      </c>
      <c r="P148" t="s">
        <v>38</v>
      </c>
      <c r="Q148" t="s">
        <v>595</v>
      </c>
      <c r="R148">
        <v>18751.75</v>
      </c>
      <c r="S148">
        <v>3</v>
      </c>
      <c r="T148">
        <v>0</v>
      </c>
      <c r="U148" t="str">
        <f>IF(Retail_data[[#This Row],[Sales]]&gt;30000,"High",IF(Retail_data[[#This Row],[Sales]]&gt;10000,"Medium","Low"))</f>
        <v>Medium</v>
      </c>
      <c r="V148" s="3">
        <f>Retail_data[[#This Row],[Profit]]/Retail_data[[#This Row],[Sales]]</f>
        <v>0.22542109403122376</v>
      </c>
      <c r="W148">
        <v>4227.04</v>
      </c>
      <c r="X148" t="s">
        <v>29</v>
      </c>
    </row>
    <row r="149" spans="1:24" ht="13.8" x14ac:dyDescent="0.25">
      <c r="A149" t="s">
        <v>596</v>
      </c>
      <c r="B149">
        <f>YEAR(Retail_data[[#This Row],[Order Date]])</f>
        <v>2026</v>
      </c>
      <c r="C149" t="str">
        <f>TEXT(Retail_data[[#This Row],[Order Date]],"mmmm")</f>
        <v>February</v>
      </c>
      <c r="D149">
        <f>MONTH(Retail_data[[#This Row],[Order Date]])</f>
        <v>2</v>
      </c>
      <c r="E149" t="str">
        <f>"Q"&amp;ROUNDUP(MONTH(Retail_data[[#This Row],[Order Date]])/3,0)</f>
        <v>Q1</v>
      </c>
      <c r="F149" s="1">
        <v>46069</v>
      </c>
      <c r="G149" s="1">
        <v>46073</v>
      </c>
      <c r="H149" t="s">
        <v>597</v>
      </c>
      <c r="I149" t="s">
        <v>598</v>
      </c>
      <c r="J149" t="s">
        <v>44</v>
      </c>
      <c r="K149" t="s">
        <v>22</v>
      </c>
      <c r="L149" t="s">
        <v>67</v>
      </c>
      <c r="M149" t="s">
        <v>68</v>
      </c>
      <c r="N149" t="s">
        <v>69</v>
      </c>
      <c r="O149" t="s">
        <v>26</v>
      </c>
      <c r="P149" t="s">
        <v>27</v>
      </c>
      <c r="Q149" t="s">
        <v>599</v>
      </c>
      <c r="R149">
        <v>21928.7</v>
      </c>
      <c r="S149">
        <v>5</v>
      </c>
      <c r="T149">
        <v>0.2</v>
      </c>
      <c r="U149" t="str">
        <f>IF(Retail_data[[#This Row],[Sales]]&gt;30000,"High",IF(Retail_data[[#This Row],[Sales]]&gt;10000,"Medium","Low"))</f>
        <v>Medium</v>
      </c>
      <c r="V149" s="3">
        <f>Retail_data[[#This Row],[Profit]]/Retail_data[[#This Row],[Sales]]</f>
        <v>6.1709084441850179E-2</v>
      </c>
      <c r="W149">
        <v>1353.2</v>
      </c>
      <c r="X149" t="s">
        <v>40</v>
      </c>
    </row>
    <row r="150" spans="1:24" ht="13.8" x14ac:dyDescent="0.25">
      <c r="A150" t="s">
        <v>600</v>
      </c>
      <c r="B150">
        <f>YEAR(Retail_data[[#This Row],[Order Date]])</f>
        <v>2026</v>
      </c>
      <c r="C150" t="str">
        <f>TEXT(Retail_data[[#This Row],[Order Date]],"mmmm")</f>
        <v>February</v>
      </c>
      <c r="D150">
        <f>MONTH(Retail_data[[#This Row],[Order Date]])</f>
        <v>2</v>
      </c>
      <c r="E150" t="str">
        <f>"Q"&amp;ROUNDUP(MONTH(Retail_data[[#This Row],[Order Date]])/3,0)</f>
        <v>Q1</v>
      </c>
      <c r="F150" s="1">
        <v>46070</v>
      </c>
      <c r="G150" s="1">
        <v>46074</v>
      </c>
      <c r="H150" t="s">
        <v>601</v>
      </c>
      <c r="I150" t="s">
        <v>602</v>
      </c>
      <c r="J150" t="s">
        <v>21</v>
      </c>
      <c r="K150" t="s">
        <v>22</v>
      </c>
      <c r="L150" t="s">
        <v>45</v>
      </c>
      <c r="M150" t="s">
        <v>45</v>
      </c>
      <c r="N150" t="s">
        <v>25</v>
      </c>
      <c r="O150" t="s">
        <v>26</v>
      </c>
      <c r="P150" t="s">
        <v>27</v>
      </c>
      <c r="Q150" t="s">
        <v>274</v>
      </c>
      <c r="R150">
        <v>2537</v>
      </c>
      <c r="S150">
        <v>8</v>
      </c>
      <c r="T150">
        <v>0</v>
      </c>
      <c r="U150" t="str">
        <f>IF(Retail_data[[#This Row],[Sales]]&gt;30000,"High",IF(Retail_data[[#This Row],[Sales]]&gt;10000,"Medium","Low"))</f>
        <v>Low</v>
      </c>
      <c r="V150" s="3">
        <f>Retail_data[[#This Row],[Profit]]/Retail_data[[#This Row],[Sales]]</f>
        <v>0.25688608592826173</v>
      </c>
      <c r="W150">
        <v>651.72</v>
      </c>
      <c r="X150" t="s">
        <v>40</v>
      </c>
    </row>
    <row r="151" spans="1:24" ht="13.8" x14ac:dyDescent="0.25">
      <c r="A151" t="s">
        <v>603</v>
      </c>
      <c r="B151">
        <f>YEAR(Retail_data[[#This Row],[Order Date]])</f>
        <v>2026</v>
      </c>
      <c r="C151" t="str">
        <f>TEXT(Retail_data[[#This Row],[Order Date]],"mmmm")</f>
        <v>February</v>
      </c>
      <c r="D151">
        <f>MONTH(Retail_data[[#This Row],[Order Date]])</f>
        <v>2</v>
      </c>
      <c r="E151" t="str">
        <f>"Q"&amp;ROUNDUP(MONTH(Retail_data[[#This Row],[Order Date]])/3,0)</f>
        <v>Q1</v>
      </c>
      <c r="F151" s="1">
        <v>46071</v>
      </c>
      <c r="G151" s="1">
        <v>46075</v>
      </c>
      <c r="H151" t="s">
        <v>604</v>
      </c>
      <c r="I151" t="s">
        <v>605</v>
      </c>
      <c r="J151" t="s">
        <v>21</v>
      </c>
      <c r="K151" t="s">
        <v>22</v>
      </c>
      <c r="L151" t="s">
        <v>67</v>
      </c>
      <c r="M151" t="s">
        <v>68</v>
      </c>
      <c r="N151" t="s">
        <v>69</v>
      </c>
      <c r="O151" t="s">
        <v>26</v>
      </c>
      <c r="P151" t="s">
        <v>27</v>
      </c>
      <c r="Q151" t="s">
        <v>168</v>
      </c>
      <c r="R151">
        <v>14452.03</v>
      </c>
      <c r="S151">
        <v>8</v>
      </c>
      <c r="T151">
        <v>0</v>
      </c>
      <c r="U151" t="str">
        <f>IF(Retail_data[[#This Row],[Sales]]&gt;30000,"High",IF(Retail_data[[#This Row],[Sales]]&gt;10000,"Medium","Low"))</f>
        <v>Medium</v>
      </c>
      <c r="V151" s="3">
        <f>Retail_data[[#This Row],[Profit]]/Retail_data[[#This Row],[Sales]]</f>
        <v>0.29752913604524761</v>
      </c>
      <c r="W151">
        <v>4299.8999999999996</v>
      </c>
      <c r="X151" t="s">
        <v>29</v>
      </c>
    </row>
    <row r="152" spans="1:24" ht="13.8" x14ac:dyDescent="0.25">
      <c r="A152" t="s">
        <v>606</v>
      </c>
      <c r="B152">
        <f>YEAR(Retail_data[[#This Row],[Order Date]])</f>
        <v>2026</v>
      </c>
      <c r="C152" t="str">
        <f>TEXT(Retail_data[[#This Row],[Order Date]],"mmmm")</f>
        <v>February</v>
      </c>
      <c r="D152">
        <f>MONTH(Retail_data[[#This Row],[Order Date]])</f>
        <v>2</v>
      </c>
      <c r="E152" t="str">
        <f>"Q"&amp;ROUNDUP(MONTH(Retail_data[[#This Row],[Order Date]])/3,0)</f>
        <v>Q1</v>
      </c>
      <c r="F152" s="1">
        <v>46072</v>
      </c>
      <c r="G152" s="1">
        <v>46076</v>
      </c>
      <c r="H152" t="s">
        <v>607</v>
      </c>
      <c r="I152" t="s">
        <v>608</v>
      </c>
      <c r="J152" t="s">
        <v>33</v>
      </c>
      <c r="K152" t="s">
        <v>22</v>
      </c>
      <c r="L152" t="s">
        <v>23</v>
      </c>
      <c r="M152" t="s">
        <v>24</v>
      </c>
      <c r="N152" t="s">
        <v>25</v>
      </c>
      <c r="O152" t="s">
        <v>26</v>
      </c>
      <c r="P152" t="s">
        <v>70</v>
      </c>
      <c r="Q152" t="s">
        <v>71</v>
      </c>
      <c r="R152">
        <v>38119.199999999997</v>
      </c>
      <c r="S152">
        <v>7</v>
      </c>
      <c r="T152">
        <v>0.1</v>
      </c>
      <c r="U152" t="str">
        <f>IF(Retail_data[[#This Row],[Sales]]&gt;30000,"High",IF(Retail_data[[#This Row],[Sales]]&gt;10000,"Medium","Low"))</f>
        <v>High</v>
      </c>
      <c r="V152" s="3">
        <f>Retail_data[[#This Row],[Profit]]/Retail_data[[#This Row],[Sales]]</f>
        <v>1.1047451153224622E-2</v>
      </c>
      <c r="W152">
        <v>421.12</v>
      </c>
      <c r="X152" t="s">
        <v>40</v>
      </c>
    </row>
    <row r="153" spans="1:24" ht="13.8" x14ac:dyDescent="0.25">
      <c r="A153" t="s">
        <v>609</v>
      </c>
      <c r="B153">
        <f>YEAR(Retail_data[[#This Row],[Order Date]])</f>
        <v>2026</v>
      </c>
      <c r="C153" t="str">
        <f>TEXT(Retail_data[[#This Row],[Order Date]],"mmmm")</f>
        <v>February</v>
      </c>
      <c r="D153">
        <f>MONTH(Retail_data[[#This Row],[Order Date]])</f>
        <v>2</v>
      </c>
      <c r="E153" t="str">
        <f>"Q"&amp;ROUNDUP(MONTH(Retail_data[[#This Row],[Order Date]])/3,0)</f>
        <v>Q1</v>
      </c>
      <c r="F153" s="1">
        <v>46073</v>
      </c>
      <c r="G153" s="1">
        <v>46077</v>
      </c>
      <c r="H153" t="s">
        <v>610</v>
      </c>
      <c r="I153" t="s">
        <v>611</v>
      </c>
      <c r="J153" t="s">
        <v>21</v>
      </c>
      <c r="K153" t="s">
        <v>22</v>
      </c>
      <c r="L153" t="s">
        <v>23</v>
      </c>
      <c r="M153" t="s">
        <v>24</v>
      </c>
      <c r="N153" t="s">
        <v>25</v>
      </c>
      <c r="O153" t="s">
        <v>26</v>
      </c>
      <c r="P153" t="s">
        <v>27</v>
      </c>
      <c r="Q153" t="s">
        <v>612</v>
      </c>
      <c r="R153">
        <v>5015.9399999999996</v>
      </c>
      <c r="S153">
        <v>8</v>
      </c>
      <c r="T153">
        <v>0.2</v>
      </c>
      <c r="U153" t="str">
        <f>IF(Retail_data[[#This Row],[Sales]]&gt;30000,"High",IF(Retail_data[[#This Row],[Sales]]&gt;10000,"Medium","Low"))</f>
        <v>Low</v>
      </c>
      <c r="V153" s="3">
        <f>Retail_data[[#This Row],[Profit]]/Retail_data[[#This Row],[Sales]]</f>
        <v>0.21002842936717744</v>
      </c>
      <c r="W153">
        <v>1053.49</v>
      </c>
      <c r="X153" t="s">
        <v>48</v>
      </c>
    </row>
    <row r="154" spans="1:24" ht="13.8" x14ac:dyDescent="0.25">
      <c r="A154" t="s">
        <v>613</v>
      </c>
      <c r="B154">
        <f>YEAR(Retail_data[[#This Row],[Order Date]])</f>
        <v>2026</v>
      </c>
      <c r="C154" t="str">
        <f>TEXT(Retail_data[[#This Row],[Order Date]],"mmmm")</f>
        <v>February</v>
      </c>
      <c r="D154">
        <f>MONTH(Retail_data[[#This Row],[Order Date]])</f>
        <v>2</v>
      </c>
      <c r="E154" t="str">
        <f>"Q"&amp;ROUNDUP(MONTH(Retail_data[[#This Row],[Order Date]])/3,0)</f>
        <v>Q1</v>
      </c>
      <c r="F154" s="1">
        <v>46074</v>
      </c>
      <c r="G154" s="1">
        <v>46078</v>
      </c>
      <c r="H154" t="s">
        <v>614</v>
      </c>
      <c r="I154" t="s">
        <v>615</v>
      </c>
      <c r="J154" t="s">
        <v>44</v>
      </c>
      <c r="K154" t="s">
        <v>22</v>
      </c>
      <c r="L154" t="s">
        <v>34</v>
      </c>
      <c r="M154" t="s">
        <v>35</v>
      </c>
      <c r="N154" t="s">
        <v>36</v>
      </c>
      <c r="O154" t="s">
        <v>57</v>
      </c>
      <c r="P154" t="s">
        <v>79</v>
      </c>
      <c r="Q154" t="s">
        <v>137</v>
      </c>
      <c r="R154">
        <v>24754.959999999999</v>
      </c>
      <c r="S154">
        <v>4</v>
      </c>
      <c r="T154">
        <v>0</v>
      </c>
      <c r="U154" t="str">
        <f>IF(Retail_data[[#This Row],[Sales]]&gt;30000,"High",IF(Retail_data[[#This Row],[Sales]]&gt;10000,"Medium","Low"))</f>
        <v>Medium</v>
      </c>
      <c r="V154" s="3">
        <f>Retail_data[[#This Row],[Profit]]/Retail_data[[#This Row],[Sales]]</f>
        <v>0.10796664587622036</v>
      </c>
      <c r="W154">
        <v>2672.71</v>
      </c>
      <c r="X154" t="s">
        <v>40</v>
      </c>
    </row>
    <row r="155" spans="1:24" ht="13.8" x14ac:dyDescent="0.25">
      <c r="A155" t="s">
        <v>616</v>
      </c>
      <c r="B155">
        <f>YEAR(Retail_data[[#This Row],[Order Date]])</f>
        <v>2026</v>
      </c>
      <c r="C155" t="str">
        <f>TEXT(Retail_data[[#This Row],[Order Date]],"mmmm")</f>
        <v>February</v>
      </c>
      <c r="D155">
        <f>MONTH(Retail_data[[#This Row],[Order Date]])</f>
        <v>2</v>
      </c>
      <c r="E155" t="str">
        <f>"Q"&amp;ROUNDUP(MONTH(Retail_data[[#This Row],[Order Date]])/3,0)</f>
        <v>Q1</v>
      </c>
      <c r="F155" s="1">
        <v>46075</v>
      </c>
      <c r="G155" s="1">
        <v>46079</v>
      </c>
      <c r="H155" t="s">
        <v>617</v>
      </c>
      <c r="I155" t="s">
        <v>618</v>
      </c>
      <c r="J155" t="s">
        <v>33</v>
      </c>
      <c r="K155" t="s">
        <v>22</v>
      </c>
      <c r="L155" t="s">
        <v>23</v>
      </c>
      <c r="M155" t="s">
        <v>24</v>
      </c>
      <c r="N155" t="s">
        <v>25</v>
      </c>
      <c r="O155" t="s">
        <v>37</v>
      </c>
      <c r="P155" t="s">
        <v>46</v>
      </c>
      <c r="Q155" t="s">
        <v>172</v>
      </c>
      <c r="R155">
        <v>12591.96</v>
      </c>
      <c r="S155">
        <v>8</v>
      </c>
      <c r="T155">
        <v>0.3</v>
      </c>
      <c r="U155" t="str">
        <f>IF(Retail_data[[#This Row],[Sales]]&gt;30000,"High",IF(Retail_data[[#This Row],[Sales]]&gt;10000,"Medium","Low"))</f>
        <v>Medium</v>
      </c>
      <c r="V155" s="3">
        <f>Retail_data[[#This Row],[Profit]]/Retail_data[[#This Row],[Sales]]</f>
        <v>8.7755202526056314E-2</v>
      </c>
      <c r="W155">
        <v>1105.01</v>
      </c>
      <c r="X155" t="s">
        <v>40</v>
      </c>
    </row>
    <row r="156" spans="1:24" ht="13.8" x14ac:dyDescent="0.25">
      <c r="A156" t="s">
        <v>619</v>
      </c>
      <c r="B156">
        <f>YEAR(Retail_data[[#This Row],[Order Date]])</f>
        <v>2026</v>
      </c>
      <c r="C156" t="str">
        <f>TEXT(Retail_data[[#This Row],[Order Date]],"mmmm")</f>
        <v>February</v>
      </c>
      <c r="D156">
        <f>MONTH(Retail_data[[#This Row],[Order Date]])</f>
        <v>2</v>
      </c>
      <c r="E156" t="str">
        <f>"Q"&amp;ROUNDUP(MONTH(Retail_data[[#This Row],[Order Date]])/3,0)</f>
        <v>Q1</v>
      </c>
      <c r="F156" s="1">
        <v>46076</v>
      </c>
      <c r="G156" s="1">
        <v>46080</v>
      </c>
      <c r="H156" t="s">
        <v>620</v>
      </c>
      <c r="I156" t="s">
        <v>621</v>
      </c>
      <c r="J156" t="s">
        <v>44</v>
      </c>
      <c r="K156" t="s">
        <v>22</v>
      </c>
      <c r="L156" t="s">
        <v>85</v>
      </c>
      <c r="M156" t="s">
        <v>86</v>
      </c>
      <c r="N156" t="s">
        <v>87</v>
      </c>
      <c r="O156" t="s">
        <v>57</v>
      </c>
      <c r="P156" t="s">
        <v>79</v>
      </c>
      <c r="Q156" t="s">
        <v>254</v>
      </c>
      <c r="R156">
        <v>41569.910000000003</v>
      </c>
      <c r="S156">
        <v>8</v>
      </c>
      <c r="T156">
        <v>0.3</v>
      </c>
      <c r="U156" t="str">
        <f>IF(Retail_data[[#This Row],[Sales]]&gt;30000,"High",IF(Retail_data[[#This Row],[Sales]]&gt;10000,"Medium","Low"))</f>
        <v>High</v>
      </c>
      <c r="V156" s="3">
        <f>Retail_data[[#This Row],[Profit]]/Retail_data[[#This Row],[Sales]]</f>
        <v>5.4290711719125681E-2</v>
      </c>
      <c r="W156">
        <v>2256.86</v>
      </c>
      <c r="X156" t="s">
        <v>40</v>
      </c>
    </row>
    <row r="157" spans="1:24" ht="13.8" x14ac:dyDescent="0.25">
      <c r="A157" t="s">
        <v>622</v>
      </c>
      <c r="B157">
        <f>YEAR(Retail_data[[#This Row],[Order Date]])</f>
        <v>2026</v>
      </c>
      <c r="C157" t="str">
        <f>TEXT(Retail_data[[#This Row],[Order Date]],"mmmm")</f>
        <v>February</v>
      </c>
      <c r="D157">
        <f>MONTH(Retail_data[[#This Row],[Order Date]])</f>
        <v>2</v>
      </c>
      <c r="E157" t="str">
        <f>"Q"&amp;ROUNDUP(MONTH(Retail_data[[#This Row],[Order Date]])/3,0)</f>
        <v>Q1</v>
      </c>
      <c r="F157" s="1">
        <v>46077</v>
      </c>
      <c r="G157" s="1">
        <v>46081</v>
      </c>
      <c r="H157" t="s">
        <v>623</v>
      </c>
      <c r="I157" t="s">
        <v>624</v>
      </c>
      <c r="J157" t="s">
        <v>21</v>
      </c>
      <c r="K157" t="s">
        <v>22</v>
      </c>
      <c r="L157" t="s">
        <v>34</v>
      </c>
      <c r="M157" t="s">
        <v>35</v>
      </c>
      <c r="N157" t="s">
        <v>36</v>
      </c>
      <c r="O157" t="s">
        <v>26</v>
      </c>
      <c r="P157" t="s">
        <v>92</v>
      </c>
      <c r="Q157" t="s">
        <v>93</v>
      </c>
      <c r="R157">
        <v>41147.57</v>
      </c>
      <c r="S157">
        <v>7</v>
      </c>
      <c r="T157">
        <v>0.3</v>
      </c>
      <c r="U157" t="str">
        <f>IF(Retail_data[[#This Row],[Sales]]&gt;30000,"High",IF(Retail_data[[#This Row],[Sales]]&gt;10000,"Medium","Low"))</f>
        <v>High</v>
      </c>
      <c r="V157" s="3">
        <f>Retail_data[[#This Row],[Profit]]/Retail_data[[#This Row],[Sales]]</f>
        <v>0.12429190836785746</v>
      </c>
      <c r="W157">
        <v>5114.3100000000004</v>
      </c>
      <c r="X157" t="s">
        <v>48</v>
      </c>
    </row>
    <row r="158" spans="1:24" ht="13.8" x14ac:dyDescent="0.25">
      <c r="A158" t="s">
        <v>625</v>
      </c>
      <c r="B158">
        <f>YEAR(Retail_data[[#This Row],[Order Date]])</f>
        <v>2026</v>
      </c>
      <c r="C158" t="str">
        <f>TEXT(Retail_data[[#This Row],[Order Date]],"mmmm")</f>
        <v>February</v>
      </c>
      <c r="D158">
        <f>MONTH(Retail_data[[#This Row],[Order Date]])</f>
        <v>2</v>
      </c>
      <c r="E158" t="str">
        <f>"Q"&amp;ROUNDUP(MONTH(Retail_data[[#This Row],[Order Date]])/3,0)</f>
        <v>Q1</v>
      </c>
      <c r="F158" s="1">
        <v>46078</v>
      </c>
      <c r="G158" s="1">
        <v>46082</v>
      </c>
      <c r="H158" t="s">
        <v>626</v>
      </c>
      <c r="I158" t="s">
        <v>627</v>
      </c>
      <c r="J158" t="s">
        <v>21</v>
      </c>
      <c r="K158" t="s">
        <v>22</v>
      </c>
      <c r="L158" t="s">
        <v>45</v>
      </c>
      <c r="M158" t="s">
        <v>45</v>
      </c>
      <c r="N158" t="s">
        <v>25</v>
      </c>
      <c r="O158" t="s">
        <v>37</v>
      </c>
      <c r="P158" t="s">
        <v>46</v>
      </c>
      <c r="Q158" t="s">
        <v>581</v>
      </c>
      <c r="R158">
        <v>25116.28</v>
      </c>
      <c r="S158">
        <v>1</v>
      </c>
      <c r="T158">
        <v>0.2</v>
      </c>
      <c r="U158" t="str">
        <f>IF(Retail_data[[#This Row],[Sales]]&gt;30000,"High",IF(Retail_data[[#This Row],[Sales]]&gt;10000,"Medium","Low"))</f>
        <v>Medium</v>
      </c>
      <c r="V158" s="3">
        <f>Retail_data[[#This Row],[Profit]]/Retail_data[[#This Row],[Sales]]</f>
        <v>8.5687848678227818E-2</v>
      </c>
      <c r="W158">
        <v>2152.16</v>
      </c>
      <c r="X158" t="s">
        <v>81</v>
      </c>
    </row>
    <row r="159" spans="1:24" ht="13.8" x14ac:dyDescent="0.25">
      <c r="A159" t="s">
        <v>628</v>
      </c>
      <c r="B159">
        <f>YEAR(Retail_data[[#This Row],[Order Date]])</f>
        <v>2026</v>
      </c>
      <c r="C159" t="str">
        <f>TEXT(Retail_data[[#This Row],[Order Date]],"mmmm")</f>
        <v>February</v>
      </c>
      <c r="D159">
        <f>MONTH(Retail_data[[#This Row],[Order Date]])</f>
        <v>2</v>
      </c>
      <c r="E159" t="str">
        <f>"Q"&amp;ROUNDUP(MONTH(Retail_data[[#This Row],[Order Date]])/3,0)</f>
        <v>Q1</v>
      </c>
      <c r="F159" s="1">
        <v>46079</v>
      </c>
      <c r="G159" s="1">
        <v>46083</v>
      </c>
      <c r="H159" t="s">
        <v>629</v>
      </c>
      <c r="I159" t="s">
        <v>630</v>
      </c>
      <c r="J159" t="s">
        <v>33</v>
      </c>
      <c r="K159" t="s">
        <v>22</v>
      </c>
      <c r="L159" t="s">
        <v>45</v>
      </c>
      <c r="M159" t="s">
        <v>45</v>
      </c>
      <c r="N159" t="s">
        <v>25</v>
      </c>
      <c r="O159" t="s">
        <v>26</v>
      </c>
      <c r="P159" t="s">
        <v>92</v>
      </c>
      <c r="Q159" t="s">
        <v>631</v>
      </c>
      <c r="R159">
        <v>44071.39</v>
      </c>
      <c r="S159">
        <v>1</v>
      </c>
      <c r="T159">
        <v>0.1</v>
      </c>
      <c r="U159" t="str">
        <f>IF(Retail_data[[#This Row],[Sales]]&gt;30000,"High",IF(Retail_data[[#This Row],[Sales]]&gt;10000,"Medium","Low"))</f>
        <v>High</v>
      </c>
      <c r="V159" s="3">
        <f>Retail_data[[#This Row],[Profit]]/Retail_data[[#This Row],[Sales]]</f>
        <v>0.10553830954730496</v>
      </c>
      <c r="W159">
        <v>4651.22</v>
      </c>
      <c r="X159" t="s">
        <v>29</v>
      </c>
    </row>
    <row r="160" spans="1:24" ht="13.8" x14ac:dyDescent="0.25">
      <c r="A160" t="s">
        <v>632</v>
      </c>
      <c r="B160">
        <f>YEAR(Retail_data[[#This Row],[Order Date]])</f>
        <v>2026</v>
      </c>
      <c r="C160" t="str">
        <f>TEXT(Retail_data[[#This Row],[Order Date]],"mmmm")</f>
        <v>February</v>
      </c>
      <c r="D160">
        <f>MONTH(Retail_data[[#This Row],[Order Date]])</f>
        <v>2</v>
      </c>
      <c r="E160" t="str">
        <f>"Q"&amp;ROUNDUP(MONTH(Retail_data[[#This Row],[Order Date]])/3,0)</f>
        <v>Q1</v>
      </c>
      <c r="F160" s="1">
        <v>46080</v>
      </c>
      <c r="G160" s="1">
        <v>46084</v>
      </c>
      <c r="H160" t="s">
        <v>633</v>
      </c>
      <c r="I160" t="s">
        <v>634</v>
      </c>
      <c r="J160" t="s">
        <v>44</v>
      </c>
      <c r="K160" t="s">
        <v>22</v>
      </c>
      <c r="L160" t="s">
        <v>23</v>
      </c>
      <c r="M160" t="s">
        <v>24</v>
      </c>
      <c r="N160" t="s">
        <v>25</v>
      </c>
      <c r="O160" t="s">
        <v>26</v>
      </c>
      <c r="P160" t="s">
        <v>92</v>
      </c>
      <c r="Q160" t="s">
        <v>121</v>
      </c>
      <c r="R160">
        <v>49791.9</v>
      </c>
      <c r="S160">
        <v>4</v>
      </c>
      <c r="T160">
        <v>0.2</v>
      </c>
      <c r="U160" t="str">
        <f>IF(Retail_data[[#This Row],[Sales]]&gt;30000,"High",IF(Retail_data[[#This Row],[Sales]]&gt;10000,"Medium","Low"))</f>
        <v>High</v>
      </c>
      <c r="V160" s="3">
        <f>Retail_data[[#This Row],[Profit]]/Retail_data[[#This Row],[Sales]]</f>
        <v>0.16895499067117342</v>
      </c>
      <c r="W160">
        <v>8412.59</v>
      </c>
      <c r="X160" t="s">
        <v>40</v>
      </c>
    </row>
    <row r="161" spans="1:24" ht="13.8" x14ac:dyDescent="0.25">
      <c r="A161" t="s">
        <v>635</v>
      </c>
      <c r="B161">
        <f>YEAR(Retail_data[[#This Row],[Order Date]])</f>
        <v>2026</v>
      </c>
      <c r="C161" t="str">
        <f>TEXT(Retail_data[[#This Row],[Order Date]],"mmmm")</f>
        <v>February</v>
      </c>
      <c r="D161">
        <f>MONTH(Retail_data[[#This Row],[Order Date]])</f>
        <v>2</v>
      </c>
      <c r="E161" t="str">
        <f>"Q"&amp;ROUNDUP(MONTH(Retail_data[[#This Row],[Order Date]])/3,0)</f>
        <v>Q1</v>
      </c>
      <c r="F161" s="1">
        <v>46081</v>
      </c>
      <c r="G161" s="1">
        <v>46085</v>
      </c>
      <c r="H161" t="s">
        <v>636</v>
      </c>
      <c r="I161" t="s">
        <v>637</v>
      </c>
      <c r="J161" t="s">
        <v>44</v>
      </c>
      <c r="K161" t="s">
        <v>22</v>
      </c>
      <c r="L161" t="s">
        <v>45</v>
      </c>
      <c r="M161" t="s">
        <v>45</v>
      </c>
      <c r="N161" t="s">
        <v>25</v>
      </c>
      <c r="O161" t="s">
        <v>57</v>
      </c>
      <c r="P161" t="s">
        <v>58</v>
      </c>
      <c r="Q161" t="s">
        <v>549</v>
      </c>
      <c r="R161">
        <v>27831.119999999999</v>
      </c>
      <c r="S161">
        <v>2</v>
      </c>
      <c r="T161">
        <v>0.3</v>
      </c>
      <c r="U161" t="str">
        <f>IF(Retail_data[[#This Row],[Sales]]&gt;30000,"High",IF(Retail_data[[#This Row],[Sales]]&gt;10000,"Medium","Low"))</f>
        <v>Medium</v>
      </c>
      <c r="V161" s="3">
        <f>Retail_data[[#This Row],[Profit]]/Retail_data[[#This Row],[Sales]]</f>
        <v>0.15306678279566185</v>
      </c>
      <c r="W161">
        <v>4260.0200000000004</v>
      </c>
      <c r="X161" t="s">
        <v>81</v>
      </c>
    </row>
    <row r="162" spans="1:24" ht="13.8" x14ac:dyDescent="0.25">
      <c r="A162" t="s">
        <v>638</v>
      </c>
      <c r="B162">
        <f>YEAR(Retail_data[[#This Row],[Order Date]])</f>
        <v>2026</v>
      </c>
      <c r="C162" t="str">
        <f>TEXT(Retail_data[[#This Row],[Order Date]],"mmmm")</f>
        <v>March</v>
      </c>
      <c r="D162">
        <f>MONTH(Retail_data[[#This Row],[Order Date]])</f>
        <v>3</v>
      </c>
      <c r="E162" t="str">
        <f>"Q"&amp;ROUNDUP(MONTH(Retail_data[[#This Row],[Order Date]])/3,0)</f>
        <v>Q1</v>
      </c>
      <c r="F162" s="1">
        <v>46082</v>
      </c>
      <c r="G162" s="1">
        <v>46086</v>
      </c>
      <c r="H162" t="s">
        <v>639</v>
      </c>
      <c r="I162" t="s">
        <v>640</v>
      </c>
      <c r="J162" t="s">
        <v>21</v>
      </c>
      <c r="K162" t="s">
        <v>22</v>
      </c>
      <c r="L162" t="s">
        <v>45</v>
      </c>
      <c r="M162" t="s">
        <v>45</v>
      </c>
      <c r="N162" t="s">
        <v>25</v>
      </c>
      <c r="O162" t="s">
        <v>37</v>
      </c>
      <c r="P162" t="s">
        <v>52</v>
      </c>
      <c r="Q162" t="s">
        <v>641</v>
      </c>
      <c r="R162">
        <v>34799.370000000003</v>
      </c>
      <c r="S162">
        <v>5</v>
      </c>
      <c r="T162">
        <v>0.3</v>
      </c>
      <c r="U162" t="str">
        <f>IF(Retail_data[[#This Row],[Sales]]&gt;30000,"High",IF(Retail_data[[#This Row],[Sales]]&gt;10000,"Medium","Low"))</f>
        <v>High</v>
      </c>
      <c r="V162" s="3">
        <f>Retail_data[[#This Row],[Profit]]/Retail_data[[#This Row],[Sales]]</f>
        <v>2.2319082213269954E-2</v>
      </c>
      <c r="W162">
        <v>776.69</v>
      </c>
      <c r="X162" t="s">
        <v>48</v>
      </c>
    </row>
    <row r="163" spans="1:24" ht="13.8" x14ac:dyDescent="0.25">
      <c r="A163" t="s">
        <v>642</v>
      </c>
      <c r="B163">
        <f>YEAR(Retail_data[[#This Row],[Order Date]])</f>
        <v>2026</v>
      </c>
      <c r="C163" t="str">
        <f>TEXT(Retail_data[[#This Row],[Order Date]],"mmmm")</f>
        <v>March</v>
      </c>
      <c r="D163">
        <f>MONTH(Retail_data[[#This Row],[Order Date]])</f>
        <v>3</v>
      </c>
      <c r="E163" t="str">
        <f>"Q"&amp;ROUNDUP(MONTH(Retail_data[[#This Row],[Order Date]])/3,0)</f>
        <v>Q1</v>
      </c>
      <c r="F163" s="1">
        <v>46083</v>
      </c>
      <c r="G163" s="1">
        <v>46087</v>
      </c>
      <c r="H163" t="s">
        <v>643</v>
      </c>
      <c r="I163" t="s">
        <v>644</v>
      </c>
      <c r="J163" t="s">
        <v>33</v>
      </c>
      <c r="K163" t="s">
        <v>22</v>
      </c>
      <c r="L163" t="s">
        <v>45</v>
      </c>
      <c r="M163" t="s">
        <v>45</v>
      </c>
      <c r="N163" t="s">
        <v>25</v>
      </c>
      <c r="O163" t="s">
        <v>57</v>
      </c>
      <c r="P163" t="s">
        <v>79</v>
      </c>
      <c r="Q163" t="s">
        <v>645</v>
      </c>
      <c r="R163">
        <v>33021.01</v>
      </c>
      <c r="S163">
        <v>5</v>
      </c>
      <c r="T163">
        <v>0.3</v>
      </c>
      <c r="U163" t="str">
        <f>IF(Retail_data[[#This Row],[Sales]]&gt;30000,"High",IF(Retail_data[[#This Row],[Sales]]&gt;10000,"Medium","Low"))</f>
        <v>High</v>
      </c>
      <c r="V163" s="3">
        <f>Retail_data[[#This Row],[Profit]]/Retail_data[[#This Row],[Sales]]</f>
        <v>7.6353812315250208E-2</v>
      </c>
      <c r="W163">
        <v>2521.2800000000002</v>
      </c>
      <c r="X163" t="s">
        <v>48</v>
      </c>
    </row>
    <row r="164" spans="1:24" ht="13.8" x14ac:dyDescent="0.25">
      <c r="A164" t="s">
        <v>646</v>
      </c>
      <c r="B164">
        <f>YEAR(Retail_data[[#This Row],[Order Date]])</f>
        <v>2026</v>
      </c>
      <c r="C164" t="str">
        <f>TEXT(Retail_data[[#This Row],[Order Date]],"mmmm")</f>
        <v>March</v>
      </c>
      <c r="D164">
        <f>MONTH(Retail_data[[#This Row],[Order Date]])</f>
        <v>3</v>
      </c>
      <c r="E164" t="str">
        <f>"Q"&amp;ROUNDUP(MONTH(Retail_data[[#This Row],[Order Date]])/3,0)</f>
        <v>Q1</v>
      </c>
      <c r="F164" s="1">
        <v>46084</v>
      </c>
      <c r="G164" s="1">
        <v>46088</v>
      </c>
      <c r="H164" t="s">
        <v>647</v>
      </c>
      <c r="I164" t="s">
        <v>648</v>
      </c>
      <c r="J164" t="s">
        <v>33</v>
      </c>
      <c r="K164" t="s">
        <v>22</v>
      </c>
      <c r="L164" t="s">
        <v>85</v>
      </c>
      <c r="M164" t="s">
        <v>86</v>
      </c>
      <c r="N164" t="s">
        <v>87</v>
      </c>
      <c r="O164" t="s">
        <v>37</v>
      </c>
      <c r="P164" t="s">
        <v>38</v>
      </c>
      <c r="Q164" t="s">
        <v>649</v>
      </c>
      <c r="R164">
        <v>25452.9</v>
      </c>
      <c r="S164">
        <v>5</v>
      </c>
      <c r="T164">
        <v>0.3</v>
      </c>
      <c r="U164" t="str">
        <f>IF(Retail_data[[#This Row],[Sales]]&gt;30000,"High",IF(Retail_data[[#This Row],[Sales]]&gt;10000,"Medium","Low"))</f>
        <v>Medium</v>
      </c>
      <c r="V164" s="3">
        <f>Retail_data[[#This Row],[Profit]]/Retail_data[[#This Row],[Sales]]</f>
        <v>0.16281956083589685</v>
      </c>
      <c r="W164">
        <v>4144.2299999999996</v>
      </c>
      <c r="X164" t="s">
        <v>29</v>
      </c>
    </row>
    <row r="165" spans="1:24" ht="13.8" x14ac:dyDescent="0.25">
      <c r="A165" t="s">
        <v>650</v>
      </c>
      <c r="B165">
        <f>YEAR(Retail_data[[#This Row],[Order Date]])</f>
        <v>2026</v>
      </c>
      <c r="C165" t="str">
        <f>TEXT(Retail_data[[#This Row],[Order Date]],"mmmm")</f>
        <v>March</v>
      </c>
      <c r="D165">
        <f>MONTH(Retail_data[[#This Row],[Order Date]])</f>
        <v>3</v>
      </c>
      <c r="E165" t="str">
        <f>"Q"&amp;ROUNDUP(MONTH(Retail_data[[#This Row],[Order Date]])/3,0)</f>
        <v>Q1</v>
      </c>
      <c r="F165" s="1">
        <v>46085</v>
      </c>
      <c r="G165" s="1">
        <v>46089</v>
      </c>
      <c r="H165" t="s">
        <v>651</v>
      </c>
      <c r="I165" t="s">
        <v>652</v>
      </c>
      <c r="J165" t="s">
        <v>33</v>
      </c>
      <c r="K165" t="s">
        <v>22</v>
      </c>
      <c r="L165" t="s">
        <v>85</v>
      </c>
      <c r="M165" t="s">
        <v>86</v>
      </c>
      <c r="N165" t="s">
        <v>87</v>
      </c>
      <c r="O165" t="s">
        <v>26</v>
      </c>
      <c r="P165" t="s">
        <v>92</v>
      </c>
      <c r="Q165" t="s">
        <v>653</v>
      </c>
      <c r="R165">
        <v>19631.599999999999</v>
      </c>
      <c r="S165">
        <v>1</v>
      </c>
      <c r="T165">
        <v>0.2</v>
      </c>
      <c r="U165" t="str">
        <f>IF(Retail_data[[#This Row],[Sales]]&gt;30000,"High",IF(Retail_data[[#This Row],[Sales]]&gt;10000,"Medium","Low"))</f>
        <v>Medium</v>
      </c>
      <c r="V165" s="3">
        <f>Retail_data[[#This Row],[Profit]]/Retail_data[[#This Row],[Sales]]</f>
        <v>-2.234509668086147E-2</v>
      </c>
      <c r="W165">
        <v>-438.67</v>
      </c>
      <c r="X165" t="s">
        <v>81</v>
      </c>
    </row>
    <row r="166" spans="1:24" ht="13.8" x14ac:dyDescent="0.25">
      <c r="A166" t="s">
        <v>654</v>
      </c>
      <c r="B166">
        <f>YEAR(Retail_data[[#This Row],[Order Date]])</f>
        <v>2026</v>
      </c>
      <c r="C166" t="str">
        <f>TEXT(Retail_data[[#This Row],[Order Date]],"mmmm")</f>
        <v>March</v>
      </c>
      <c r="D166">
        <f>MONTH(Retail_data[[#This Row],[Order Date]])</f>
        <v>3</v>
      </c>
      <c r="E166" t="str">
        <f>"Q"&amp;ROUNDUP(MONTH(Retail_data[[#This Row],[Order Date]])/3,0)</f>
        <v>Q1</v>
      </c>
      <c r="F166" s="1">
        <v>46086</v>
      </c>
      <c r="G166" s="1">
        <v>46090</v>
      </c>
      <c r="H166" t="s">
        <v>655</v>
      </c>
      <c r="I166" t="s">
        <v>656</v>
      </c>
      <c r="J166" t="s">
        <v>21</v>
      </c>
      <c r="K166" t="s">
        <v>22</v>
      </c>
      <c r="L166" t="s">
        <v>45</v>
      </c>
      <c r="M166" t="s">
        <v>45</v>
      </c>
      <c r="N166" t="s">
        <v>25</v>
      </c>
      <c r="O166" t="s">
        <v>26</v>
      </c>
      <c r="P166" t="s">
        <v>92</v>
      </c>
      <c r="Q166" t="s">
        <v>631</v>
      </c>
      <c r="R166">
        <v>18211.14</v>
      </c>
      <c r="S166">
        <v>3</v>
      </c>
      <c r="T166">
        <v>0</v>
      </c>
      <c r="U166" t="str">
        <f>IF(Retail_data[[#This Row],[Sales]]&gt;30000,"High",IF(Retail_data[[#This Row],[Sales]]&gt;10000,"Medium","Low"))</f>
        <v>Medium</v>
      </c>
      <c r="V166" s="3">
        <f>Retail_data[[#This Row],[Profit]]/Retail_data[[#This Row],[Sales]]</f>
        <v>0.15284051410290625</v>
      </c>
      <c r="W166">
        <v>2783.4</v>
      </c>
      <c r="X166" t="s">
        <v>29</v>
      </c>
    </row>
    <row r="167" spans="1:24" ht="13.8" x14ac:dyDescent="0.25">
      <c r="A167" t="s">
        <v>657</v>
      </c>
      <c r="B167">
        <f>YEAR(Retail_data[[#This Row],[Order Date]])</f>
        <v>2026</v>
      </c>
      <c r="C167" t="str">
        <f>TEXT(Retail_data[[#This Row],[Order Date]],"mmmm")</f>
        <v>March</v>
      </c>
      <c r="D167">
        <f>MONTH(Retail_data[[#This Row],[Order Date]])</f>
        <v>3</v>
      </c>
      <c r="E167" t="str">
        <f>"Q"&amp;ROUNDUP(MONTH(Retail_data[[#This Row],[Order Date]])/3,0)</f>
        <v>Q1</v>
      </c>
      <c r="F167" s="1">
        <v>46087</v>
      </c>
      <c r="G167" s="1">
        <v>46091</v>
      </c>
      <c r="H167" t="s">
        <v>658</v>
      </c>
      <c r="I167" t="s">
        <v>659</v>
      </c>
      <c r="J167" t="s">
        <v>44</v>
      </c>
      <c r="K167" t="s">
        <v>22</v>
      </c>
      <c r="L167" t="s">
        <v>45</v>
      </c>
      <c r="M167" t="s">
        <v>45</v>
      </c>
      <c r="N167" t="s">
        <v>25</v>
      </c>
      <c r="O167" t="s">
        <v>26</v>
      </c>
      <c r="P167" t="s">
        <v>27</v>
      </c>
      <c r="Q167" t="s">
        <v>660</v>
      </c>
      <c r="R167">
        <v>18878.080000000002</v>
      </c>
      <c r="S167">
        <v>1</v>
      </c>
      <c r="T167">
        <v>0.2</v>
      </c>
      <c r="U167" t="str">
        <f>IF(Retail_data[[#This Row],[Sales]]&gt;30000,"High",IF(Retail_data[[#This Row],[Sales]]&gt;10000,"Medium","Low"))</f>
        <v>Medium</v>
      </c>
      <c r="V167" s="3">
        <f>Retail_data[[#This Row],[Profit]]/Retail_data[[#This Row],[Sales]]</f>
        <v>-1.479970420720751E-2</v>
      </c>
      <c r="W167">
        <v>-279.39</v>
      </c>
      <c r="X167" t="s">
        <v>48</v>
      </c>
    </row>
    <row r="168" spans="1:24" ht="13.8" x14ac:dyDescent="0.25">
      <c r="A168" t="s">
        <v>661</v>
      </c>
      <c r="B168">
        <f>YEAR(Retail_data[[#This Row],[Order Date]])</f>
        <v>2026</v>
      </c>
      <c r="C168" t="str">
        <f>TEXT(Retail_data[[#This Row],[Order Date]],"mmmm")</f>
        <v>March</v>
      </c>
      <c r="D168">
        <f>MONTH(Retail_data[[#This Row],[Order Date]])</f>
        <v>3</v>
      </c>
      <c r="E168" t="str">
        <f>"Q"&amp;ROUNDUP(MONTH(Retail_data[[#This Row],[Order Date]])/3,0)</f>
        <v>Q1</v>
      </c>
      <c r="F168" s="1">
        <v>46088</v>
      </c>
      <c r="G168" s="1">
        <v>46092</v>
      </c>
      <c r="H168" t="s">
        <v>662</v>
      </c>
      <c r="I168" t="s">
        <v>663</v>
      </c>
      <c r="J168" t="s">
        <v>44</v>
      </c>
      <c r="K168" t="s">
        <v>22</v>
      </c>
      <c r="L168" t="s">
        <v>23</v>
      </c>
      <c r="M168" t="s">
        <v>24</v>
      </c>
      <c r="N168" t="s">
        <v>25</v>
      </c>
      <c r="O168" t="s">
        <v>37</v>
      </c>
      <c r="P168" t="s">
        <v>38</v>
      </c>
      <c r="Q168" t="s">
        <v>664</v>
      </c>
      <c r="R168">
        <v>18044.830000000002</v>
      </c>
      <c r="S168">
        <v>5</v>
      </c>
      <c r="T168">
        <v>0.2</v>
      </c>
      <c r="U168" t="str">
        <f>IF(Retail_data[[#This Row],[Sales]]&gt;30000,"High",IF(Retail_data[[#This Row],[Sales]]&gt;10000,"Medium","Low"))</f>
        <v>Medium</v>
      </c>
      <c r="V168" s="3">
        <f>Retail_data[[#This Row],[Profit]]/Retail_data[[#This Row],[Sales]]</f>
        <v>-2.7101945543404952E-2</v>
      </c>
      <c r="W168">
        <v>-489.05</v>
      </c>
      <c r="X168" t="s">
        <v>40</v>
      </c>
    </row>
    <row r="169" spans="1:24" ht="13.8" x14ac:dyDescent="0.25">
      <c r="A169" t="s">
        <v>665</v>
      </c>
      <c r="B169">
        <f>YEAR(Retail_data[[#This Row],[Order Date]])</f>
        <v>2026</v>
      </c>
      <c r="C169" t="str">
        <f>TEXT(Retail_data[[#This Row],[Order Date]],"mmmm")</f>
        <v>March</v>
      </c>
      <c r="D169">
        <f>MONTH(Retail_data[[#This Row],[Order Date]])</f>
        <v>3</v>
      </c>
      <c r="E169" t="str">
        <f>"Q"&amp;ROUNDUP(MONTH(Retail_data[[#This Row],[Order Date]])/3,0)</f>
        <v>Q1</v>
      </c>
      <c r="F169" s="1">
        <v>46089</v>
      </c>
      <c r="G169" s="1">
        <v>46093</v>
      </c>
      <c r="H169" t="s">
        <v>666</v>
      </c>
      <c r="I169" t="s">
        <v>667</v>
      </c>
      <c r="J169" t="s">
        <v>21</v>
      </c>
      <c r="K169" t="s">
        <v>22</v>
      </c>
      <c r="L169" t="s">
        <v>45</v>
      </c>
      <c r="M169" t="s">
        <v>45</v>
      </c>
      <c r="N169" t="s">
        <v>25</v>
      </c>
      <c r="O169" t="s">
        <v>26</v>
      </c>
      <c r="P169" t="s">
        <v>92</v>
      </c>
      <c r="Q169" t="s">
        <v>246</v>
      </c>
      <c r="R169">
        <v>7733.9</v>
      </c>
      <c r="S169">
        <v>3</v>
      </c>
      <c r="T169">
        <v>0</v>
      </c>
      <c r="U169" t="str">
        <f>IF(Retail_data[[#This Row],[Sales]]&gt;30000,"High",IF(Retail_data[[#This Row],[Sales]]&gt;10000,"Medium","Low"))</f>
        <v>Low</v>
      </c>
      <c r="V169" s="3">
        <f>Retail_data[[#This Row],[Profit]]/Retail_data[[#This Row],[Sales]]</f>
        <v>8.187460401608504E-2</v>
      </c>
      <c r="W169">
        <v>633.21</v>
      </c>
      <c r="X169" t="s">
        <v>40</v>
      </c>
    </row>
    <row r="170" spans="1:24" ht="13.8" x14ac:dyDescent="0.25">
      <c r="A170" t="s">
        <v>668</v>
      </c>
      <c r="B170">
        <f>YEAR(Retail_data[[#This Row],[Order Date]])</f>
        <v>2026</v>
      </c>
      <c r="C170" t="str">
        <f>TEXT(Retail_data[[#This Row],[Order Date]],"mmmm")</f>
        <v>March</v>
      </c>
      <c r="D170">
        <f>MONTH(Retail_data[[#This Row],[Order Date]])</f>
        <v>3</v>
      </c>
      <c r="E170" t="str">
        <f>"Q"&amp;ROUNDUP(MONTH(Retail_data[[#This Row],[Order Date]])/3,0)</f>
        <v>Q1</v>
      </c>
      <c r="F170" s="1">
        <v>46090</v>
      </c>
      <c r="G170" s="1">
        <v>46094</v>
      </c>
      <c r="H170" t="s">
        <v>669</v>
      </c>
      <c r="I170" t="s">
        <v>670</v>
      </c>
      <c r="J170" t="s">
        <v>33</v>
      </c>
      <c r="K170" t="s">
        <v>22</v>
      </c>
      <c r="L170" t="s">
        <v>34</v>
      </c>
      <c r="M170" t="s">
        <v>35</v>
      </c>
      <c r="N170" t="s">
        <v>36</v>
      </c>
      <c r="O170" t="s">
        <v>26</v>
      </c>
      <c r="P170" t="s">
        <v>70</v>
      </c>
      <c r="Q170" t="s">
        <v>71</v>
      </c>
      <c r="R170">
        <v>34034.57</v>
      </c>
      <c r="S170">
        <v>2</v>
      </c>
      <c r="T170">
        <v>0.1</v>
      </c>
      <c r="U170" t="str">
        <f>IF(Retail_data[[#This Row],[Sales]]&gt;30000,"High",IF(Retail_data[[#This Row],[Sales]]&gt;10000,"Medium","Low"))</f>
        <v>High</v>
      </c>
      <c r="V170" s="3">
        <f>Retail_data[[#This Row],[Profit]]/Retail_data[[#This Row],[Sales]]</f>
        <v>9.4590000696350804E-2</v>
      </c>
      <c r="W170">
        <v>3219.33</v>
      </c>
      <c r="X170" t="s">
        <v>40</v>
      </c>
    </row>
    <row r="171" spans="1:24" ht="13.8" x14ac:dyDescent="0.25">
      <c r="A171" t="s">
        <v>671</v>
      </c>
      <c r="B171">
        <f>YEAR(Retail_data[[#This Row],[Order Date]])</f>
        <v>2026</v>
      </c>
      <c r="C171" t="str">
        <f>TEXT(Retail_data[[#This Row],[Order Date]],"mmmm")</f>
        <v>March</v>
      </c>
      <c r="D171">
        <f>MONTH(Retail_data[[#This Row],[Order Date]])</f>
        <v>3</v>
      </c>
      <c r="E171" t="str">
        <f>"Q"&amp;ROUNDUP(MONTH(Retail_data[[#This Row],[Order Date]])/3,0)</f>
        <v>Q1</v>
      </c>
      <c r="F171" s="1">
        <v>46091</v>
      </c>
      <c r="G171" s="1">
        <v>46095</v>
      </c>
      <c r="H171" t="s">
        <v>672</v>
      </c>
      <c r="I171" t="s">
        <v>673</v>
      </c>
      <c r="J171" t="s">
        <v>33</v>
      </c>
      <c r="K171" t="s">
        <v>22</v>
      </c>
      <c r="L171" t="s">
        <v>67</v>
      </c>
      <c r="M171" t="s">
        <v>68</v>
      </c>
      <c r="N171" t="s">
        <v>69</v>
      </c>
      <c r="O171" t="s">
        <v>57</v>
      </c>
      <c r="P171" t="s">
        <v>58</v>
      </c>
      <c r="Q171" t="s">
        <v>309</v>
      </c>
      <c r="R171">
        <v>31505.69</v>
      </c>
      <c r="S171">
        <v>4</v>
      </c>
      <c r="T171">
        <v>0.1</v>
      </c>
      <c r="U171" t="str">
        <f>IF(Retail_data[[#This Row],[Sales]]&gt;30000,"High",IF(Retail_data[[#This Row],[Sales]]&gt;10000,"Medium","Low"))</f>
        <v>High</v>
      </c>
      <c r="V171" s="3">
        <f>Retail_data[[#This Row],[Profit]]/Retail_data[[#This Row],[Sales]]</f>
        <v>5.55956717659572E-2</v>
      </c>
      <c r="W171">
        <v>1751.58</v>
      </c>
      <c r="X171" t="s">
        <v>48</v>
      </c>
    </row>
    <row r="172" spans="1:24" ht="13.8" x14ac:dyDescent="0.25">
      <c r="A172" t="s">
        <v>674</v>
      </c>
      <c r="B172">
        <f>YEAR(Retail_data[[#This Row],[Order Date]])</f>
        <v>2026</v>
      </c>
      <c r="C172" t="str">
        <f>TEXT(Retail_data[[#This Row],[Order Date]],"mmmm")</f>
        <v>March</v>
      </c>
      <c r="D172">
        <f>MONTH(Retail_data[[#This Row],[Order Date]])</f>
        <v>3</v>
      </c>
      <c r="E172" t="str">
        <f>"Q"&amp;ROUNDUP(MONTH(Retail_data[[#This Row],[Order Date]])/3,0)</f>
        <v>Q1</v>
      </c>
      <c r="F172" s="1">
        <v>46092</v>
      </c>
      <c r="G172" s="1">
        <v>46096</v>
      </c>
      <c r="H172" t="s">
        <v>675</v>
      </c>
      <c r="I172" t="s">
        <v>676</v>
      </c>
      <c r="J172" t="s">
        <v>33</v>
      </c>
      <c r="K172" t="s">
        <v>22</v>
      </c>
      <c r="L172" t="s">
        <v>34</v>
      </c>
      <c r="M172" t="s">
        <v>35</v>
      </c>
      <c r="N172" t="s">
        <v>36</v>
      </c>
      <c r="O172" t="s">
        <v>26</v>
      </c>
      <c r="P172" t="s">
        <v>70</v>
      </c>
      <c r="Q172" t="s">
        <v>677</v>
      </c>
      <c r="R172">
        <v>45099.38</v>
      </c>
      <c r="S172">
        <v>2</v>
      </c>
      <c r="T172">
        <v>0.1</v>
      </c>
      <c r="U172" t="str">
        <f>IF(Retail_data[[#This Row],[Sales]]&gt;30000,"High",IF(Retail_data[[#This Row],[Sales]]&gt;10000,"Medium","Low"))</f>
        <v>High</v>
      </c>
      <c r="V172" s="3">
        <f>Retail_data[[#This Row],[Profit]]/Retail_data[[#This Row],[Sales]]</f>
        <v>0.1358085188754258</v>
      </c>
      <c r="W172">
        <v>6124.88</v>
      </c>
      <c r="X172" t="s">
        <v>29</v>
      </c>
    </row>
    <row r="173" spans="1:24" ht="13.8" x14ac:dyDescent="0.25">
      <c r="A173" t="s">
        <v>678</v>
      </c>
      <c r="B173">
        <f>YEAR(Retail_data[[#This Row],[Order Date]])</f>
        <v>2026</v>
      </c>
      <c r="C173" t="str">
        <f>TEXT(Retail_data[[#This Row],[Order Date]],"mmmm")</f>
        <v>March</v>
      </c>
      <c r="D173">
        <f>MONTH(Retail_data[[#This Row],[Order Date]])</f>
        <v>3</v>
      </c>
      <c r="E173" t="str">
        <f>"Q"&amp;ROUNDUP(MONTH(Retail_data[[#This Row],[Order Date]])/3,0)</f>
        <v>Q1</v>
      </c>
      <c r="F173" s="1">
        <v>46093</v>
      </c>
      <c r="G173" s="1">
        <v>46097</v>
      </c>
      <c r="H173" t="s">
        <v>679</v>
      </c>
      <c r="I173" t="s">
        <v>680</v>
      </c>
      <c r="J173" t="s">
        <v>33</v>
      </c>
      <c r="K173" t="s">
        <v>22</v>
      </c>
      <c r="L173" t="s">
        <v>85</v>
      </c>
      <c r="M173" t="s">
        <v>86</v>
      </c>
      <c r="N173" t="s">
        <v>87</v>
      </c>
      <c r="O173" t="s">
        <v>57</v>
      </c>
      <c r="P173" t="s">
        <v>149</v>
      </c>
      <c r="Q173" t="s">
        <v>681</v>
      </c>
      <c r="R173">
        <v>28825.4</v>
      </c>
      <c r="S173">
        <v>6</v>
      </c>
      <c r="T173">
        <v>0</v>
      </c>
      <c r="U173" t="str">
        <f>IF(Retail_data[[#This Row],[Sales]]&gt;30000,"High",IF(Retail_data[[#This Row],[Sales]]&gt;10000,"Medium","Low"))</f>
        <v>Medium</v>
      </c>
      <c r="V173" s="3">
        <f>Retail_data[[#This Row],[Profit]]/Retail_data[[#This Row],[Sales]]</f>
        <v>0.26121337431570768</v>
      </c>
      <c r="W173">
        <v>7529.58</v>
      </c>
      <c r="X173" t="s">
        <v>29</v>
      </c>
    </row>
    <row r="174" spans="1:24" ht="13.8" x14ac:dyDescent="0.25">
      <c r="A174" t="s">
        <v>682</v>
      </c>
      <c r="B174">
        <f>YEAR(Retail_data[[#This Row],[Order Date]])</f>
        <v>2026</v>
      </c>
      <c r="C174" t="str">
        <f>TEXT(Retail_data[[#This Row],[Order Date]],"mmmm")</f>
        <v>March</v>
      </c>
      <c r="D174">
        <f>MONTH(Retail_data[[#This Row],[Order Date]])</f>
        <v>3</v>
      </c>
      <c r="E174" t="str">
        <f>"Q"&amp;ROUNDUP(MONTH(Retail_data[[#This Row],[Order Date]])/3,0)</f>
        <v>Q1</v>
      </c>
      <c r="F174" s="1">
        <v>46094</v>
      </c>
      <c r="G174" s="1">
        <v>46098</v>
      </c>
      <c r="H174" t="s">
        <v>683</v>
      </c>
      <c r="I174" t="s">
        <v>684</v>
      </c>
      <c r="J174" t="s">
        <v>33</v>
      </c>
      <c r="K174" t="s">
        <v>22</v>
      </c>
      <c r="L174" t="s">
        <v>34</v>
      </c>
      <c r="M174" t="s">
        <v>35</v>
      </c>
      <c r="N174" t="s">
        <v>36</v>
      </c>
      <c r="O174" t="s">
        <v>37</v>
      </c>
      <c r="P174" t="s">
        <v>46</v>
      </c>
      <c r="Q174" t="s">
        <v>685</v>
      </c>
      <c r="R174">
        <v>26751.8</v>
      </c>
      <c r="S174">
        <v>4</v>
      </c>
      <c r="T174">
        <v>0</v>
      </c>
      <c r="U174" t="str">
        <f>IF(Retail_data[[#This Row],[Sales]]&gt;30000,"High",IF(Retail_data[[#This Row],[Sales]]&gt;10000,"Medium","Low"))</f>
        <v>Medium</v>
      </c>
      <c r="V174" s="3">
        <f>Retail_data[[#This Row],[Profit]]/Retail_data[[#This Row],[Sales]]</f>
        <v>9.0650348761578667E-2</v>
      </c>
      <c r="W174">
        <v>2425.06</v>
      </c>
      <c r="X174" t="s">
        <v>81</v>
      </c>
    </row>
    <row r="175" spans="1:24" ht="13.8" x14ac:dyDescent="0.25">
      <c r="A175" t="s">
        <v>686</v>
      </c>
      <c r="B175">
        <f>YEAR(Retail_data[[#This Row],[Order Date]])</f>
        <v>2026</v>
      </c>
      <c r="C175" t="str">
        <f>TEXT(Retail_data[[#This Row],[Order Date]],"mmmm")</f>
        <v>March</v>
      </c>
      <c r="D175">
        <f>MONTH(Retail_data[[#This Row],[Order Date]])</f>
        <v>3</v>
      </c>
      <c r="E175" t="str">
        <f>"Q"&amp;ROUNDUP(MONTH(Retail_data[[#This Row],[Order Date]])/3,0)</f>
        <v>Q1</v>
      </c>
      <c r="F175" s="1">
        <v>46095</v>
      </c>
      <c r="G175" s="1">
        <v>46099</v>
      </c>
      <c r="H175" t="s">
        <v>687</v>
      </c>
      <c r="I175" t="s">
        <v>688</v>
      </c>
      <c r="J175" t="s">
        <v>44</v>
      </c>
      <c r="K175" t="s">
        <v>22</v>
      </c>
      <c r="L175" t="s">
        <v>23</v>
      </c>
      <c r="M175" t="s">
        <v>24</v>
      </c>
      <c r="N175" t="s">
        <v>25</v>
      </c>
      <c r="O175" t="s">
        <v>26</v>
      </c>
      <c r="P175" t="s">
        <v>27</v>
      </c>
      <c r="Q175" t="s">
        <v>168</v>
      </c>
      <c r="R175">
        <v>41618.18</v>
      </c>
      <c r="S175">
        <v>4</v>
      </c>
      <c r="T175">
        <v>0</v>
      </c>
      <c r="U175" t="str">
        <f>IF(Retail_data[[#This Row],[Sales]]&gt;30000,"High",IF(Retail_data[[#This Row],[Sales]]&gt;10000,"Medium","Low"))</f>
        <v>High</v>
      </c>
      <c r="V175" s="3">
        <f>Retail_data[[#This Row],[Profit]]/Retail_data[[#This Row],[Sales]]</f>
        <v>0.15183532773417771</v>
      </c>
      <c r="W175">
        <v>6319.11</v>
      </c>
      <c r="X175" t="s">
        <v>40</v>
      </c>
    </row>
    <row r="176" spans="1:24" ht="13.8" x14ac:dyDescent="0.25">
      <c r="A176" t="s">
        <v>689</v>
      </c>
      <c r="B176">
        <f>YEAR(Retail_data[[#This Row],[Order Date]])</f>
        <v>2026</v>
      </c>
      <c r="C176" t="str">
        <f>TEXT(Retail_data[[#This Row],[Order Date]],"mmmm")</f>
        <v>March</v>
      </c>
      <c r="D176">
        <f>MONTH(Retail_data[[#This Row],[Order Date]])</f>
        <v>3</v>
      </c>
      <c r="E176" t="str">
        <f>"Q"&amp;ROUNDUP(MONTH(Retail_data[[#This Row],[Order Date]])/3,0)</f>
        <v>Q1</v>
      </c>
      <c r="F176" s="1">
        <v>46096</v>
      </c>
      <c r="G176" s="1">
        <v>46100</v>
      </c>
      <c r="H176" t="s">
        <v>690</v>
      </c>
      <c r="I176" t="s">
        <v>691</v>
      </c>
      <c r="J176" t="s">
        <v>33</v>
      </c>
      <c r="K176" t="s">
        <v>22</v>
      </c>
      <c r="L176" t="s">
        <v>34</v>
      </c>
      <c r="M176" t="s">
        <v>35</v>
      </c>
      <c r="N176" t="s">
        <v>36</v>
      </c>
      <c r="O176" t="s">
        <v>57</v>
      </c>
      <c r="P176" t="s">
        <v>149</v>
      </c>
      <c r="Q176" t="s">
        <v>407</v>
      </c>
      <c r="R176">
        <v>45043.16</v>
      </c>
      <c r="S176">
        <v>8</v>
      </c>
      <c r="T176">
        <v>0.3</v>
      </c>
      <c r="U176" t="str">
        <f>IF(Retail_data[[#This Row],[Sales]]&gt;30000,"High",IF(Retail_data[[#This Row],[Sales]]&gt;10000,"Medium","Low"))</f>
        <v>High</v>
      </c>
      <c r="V176" s="3">
        <f>Retail_data[[#This Row],[Profit]]/Retail_data[[#This Row],[Sales]]</f>
        <v>-6.9178760992790023E-2</v>
      </c>
      <c r="W176">
        <v>-3116.03</v>
      </c>
      <c r="X176" t="s">
        <v>81</v>
      </c>
    </row>
    <row r="177" spans="1:24" ht="13.8" x14ac:dyDescent="0.25">
      <c r="A177" t="s">
        <v>692</v>
      </c>
      <c r="B177">
        <f>YEAR(Retail_data[[#This Row],[Order Date]])</f>
        <v>2026</v>
      </c>
      <c r="C177" t="str">
        <f>TEXT(Retail_data[[#This Row],[Order Date]],"mmmm")</f>
        <v>March</v>
      </c>
      <c r="D177">
        <f>MONTH(Retail_data[[#This Row],[Order Date]])</f>
        <v>3</v>
      </c>
      <c r="E177" t="str">
        <f>"Q"&amp;ROUNDUP(MONTH(Retail_data[[#This Row],[Order Date]])/3,0)</f>
        <v>Q1</v>
      </c>
      <c r="F177" s="1">
        <v>46097</v>
      </c>
      <c r="G177" s="1">
        <v>46101</v>
      </c>
      <c r="H177" t="s">
        <v>693</v>
      </c>
      <c r="I177" t="s">
        <v>694</v>
      </c>
      <c r="J177" t="s">
        <v>44</v>
      </c>
      <c r="K177" t="s">
        <v>22</v>
      </c>
      <c r="L177" t="s">
        <v>85</v>
      </c>
      <c r="M177" t="s">
        <v>86</v>
      </c>
      <c r="N177" t="s">
        <v>87</v>
      </c>
      <c r="O177" t="s">
        <v>37</v>
      </c>
      <c r="P177" t="s">
        <v>38</v>
      </c>
      <c r="Q177" t="s">
        <v>695</v>
      </c>
      <c r="R177">
        <v>43987.08</v>
      </c>
      <c r="S177">
        <v>2</v>
      </c>
      <c r="T177">
        <v>0</v>
      </c>
      <c r="U177" t="str">
        <f>IF(Retail_data[[#This Row],[Sales]]&gt;30000,"High",IF(Retail_data[[#This Row],[Sales]]&gt;10000,"Medium","Low"))</f>
        <v>High</v>
      </c>
      <c r="V177" s="3">
        <f>Retail_data[[#This Row],[Profit]]/Retail_data[[#This Row],[Sales]]</f>
        <v>5.1496939555887765E-2</v>
      </c>
      <c r="W177">
        <v>2265.1999999999998</v>
      </c>
      <c r="X177" t="s">
        <v>81</v>
      </c>
    </row>
    <row r="178" spans="1:24" ht="13.8" x14ac:dyDescent="0.25">
      <c r="A178" t="s">
        <v>696</v>
      </c>
      <c r="B178">
        <f>YEAR(Retail_data[[#This Row],[Order Date]])</f>
        <v>2026</v>
      </c>
      <c r="C178" t="str">
        <f>TEXT(Retail_data[[#This Row],[Order Date]],"mmmm")</f>
        <v>March</v>
      </c>
      <c r="D178">
        <f>MONTH(Retail_data[[#This Row],[Order Date]])</f>
        <v>3</v>
      </c>
      <c r="E178" t="str">
        <f>"Q"&amp;ROUNDUP(MONTH(Retail_data[[#This Row],[Order Date]])/3,0)</f>
        <v>Q1</v>
      </c>
      <c r="F178" s="1">
        <v>46098</v>
      </c>
      <c r="G178" s="1">
        <v>46102</v>
      </c>
      <c r="H178" t="s">
        <v>697</v>
      </c>
      <c r="I178" t="s">
        <v>698</v>
      </c>
      <c r="J178" t="s">
        <v>33</v>
      </c>
      <c r="K178" t="s">
        <v>22</v>
      </c>
      <c r="L178" t="s">
        <v>67</v>
      </c>
      <c r="M178" t="s">
        <v>68</v>
      </c>
      <c r="N178" t="s">
        <v>69</v>
      </c>
      <c r="O178" t="s">
        <v>37</v>
      </c>
      <c r="P178" t="s">
        <v>52</v>
      </c>
      <c r="Q178" t="s">
        <v>198</v>
      </c>
      <c r="R178">
        <v>45617.62</v>
      </c>
      <c r="S178">
        <v>7</v>
      </c>
      <c r="T178">
        <v>0.1</v>
      </c>
      <c r="U178" t="str">
        <f>IF(Retail_data[[#This Row],[Sales]]&gt;30000,"High",IF(Retail_data[[#This Row],[Sales]]&gt;10000,"Medium","Low"))</f>
        <v>High</v>
      </c>
      <c r="V178" s="3">
        <f>Retail_data[[#This Row],[Profit]]/Retail_data[[#This Row],[Sales]]</f>
        <v>0.2297252684379413</v>
      </c>
      <c r="W178">
        <v>10479.52</v>
      </c>
      <c r="X178" t="s">
        <v>48</v>
      </c>
    </row>
    <row r="179" spans="1:24" ht="13.8" x14ac:dyDescent="0.25">
      <c r="A179" t="s">
        <v>699</v>
      </c>
      <c r="B179">
        <f>YEAR(Retail_data[[#This Row],[Order Date]])</f>
        <v>2026</v>
      </c>
      <c r="C179" t="str">
        <f>TEXT(Retail_data[[#This Row],[Order Date]],"mmmm")</f>
        <v>March</v>
      </c>
      <c r="D179">
        <f>MONTH(Retail_data[[#This Row],[Order Date]])</f>
        <v>3</v>
      </c>
      <c r="E179" t="str">
        <f>"Q"&amp;ROUNDUP(MONTH(Retail_data[[#This Row],[Order Date]])/3,0)</f>
        <v>Q1</v>
      </c>
      <c r="F179" s="1">
        <v>46099</v>
      </c>
      <c r="G179" s="1">
        <v>46103</v>
      </c>
      <c r="H179" t="s">
        <v>700</v>
      </c>
      <c r="I179" t="s">
        <v>701</v>
      </c>
      <c r="J179" t="s">
        <v>33</v>
      </c>
      <c r="K179" t="s">
        <v>22</v>
      </c>
      <c r="L179" t="s">
        <v>34</v>
      </c>
      <c r="M179" t="s">
        <v>35</v>
      </c>
      <c r="N179" t="s">
        <v>36</v>
      </c>
      <c r="O179" t="s">
        <v>37</v>
      </c>
      <c r="P179" t="s">
        <v>52</v>
      </c>
      <c r="Q179" t="s">
        <v>702</v>
      </c>
      <c r="R179">
        <v>19087.21</v>
      </c>
      <c r="S179">
        <v>2</v>
      </c>
      <c r="T179">
        <v>0.1</v>
      </c>
      <c r="U179" t="str">
        <f>IF(Retail_data[[#This Row],[Sales]]&gt;30000,"High",IF(Retail_data[[#This Row],[Sales]]&gt;10000,"Medium","Low"))</f>
        <v>Medium</v>
      </c>
      <c r="V179" s="3">
        <f>Retail_data[[#This Row],[Profit]]/Retail_data[[#This Row],[Sales]]</f>
        <v>0.12316257850152013</v>
      </c>
      <c r="W179">
        <v>2350.83</v>
      </c>
      <c r="X179" t="s">
        <v>48</v>
      </c>
    </row>
    <row r="180" spans="1:24" ht="13.8" x14ac:dyDescent="0.25">
      <c r="A180" t="s">
        <v>703</v>
      </c>
      <c r="B180">
        <f>YEAR(Retail_data[[#This Row],[Order Date]])</f>
        <v>2026</v>
      </c>
      <c r="C180" t="str">
        <f>TEXT(Retail_data[[#This Row],[Order Date]],"mmmm")</f>
        <v>March</v>
      </c>
      <c r="D180">
        <f>MONTH(Retail_data[[#This Row],[Order Date]])</f>
        <v>3</v>
      </c>
      <c r="E180" t="str">
        <f>"Q"&amp;ROUNDUP(MONTH(Retail_data[[#This Row],[Order Date]])/3,0)</f>
        <v>Q1</v>
      </c>
      <c r="F180" s="1">
        <v>46100</v>
      </c>
      <c r="G180" s="1">
        <v>46104</v>
      </c>
      <c r="H180" t="s">
        <v>704</v>
      </c>
      <c r="I180" t="s">
        <v>705</v>
      </c>
      <c r="J180" t="s">
        <v>44</v>
      </c>
      <c r="K180" t="s">
        <v>22</v>
      </c>
      <c r="L180" t="s">
        <v>67</v>
      </c>
      <c r="M180" t="s">
        <v>68</v>
      </c>
      <c r="N180" t="s">
        <v>69</v>
      </c>
      <c r="O180" t="s">
        <v>26</v>
      </c>
      <c r="P180" t="s">
        <v>27</v>
      </c>
      <c r="Q180" t="s">
        <v>214</v>
      </c>
      <c r="R180">
        <v>13928.69</v>
      </c>
      <c r="S180">
        <v>7</v>
      </c>
      <c r="T180">
        <v>0</v>
      </c>
      <c r="U180" t="str">
        <f>IF(Retail_data[[#This Row],[Sales]]&gt;30000,"High",IF(Retail_data[[#This Row],[Sales]]&gt;10000,"Medium","Low"))</f>
        <v>Medium</v>
      </c>
      <c r="V180" s="3">
        <f>Retail_data[[#This Row],[Profit]]/Retail_data[[#This Row],[Sales]]</f>
        <v>0.24033200537882601</v>
      </c>
      <c r="W180">
        <v>3347.51</v>
      </c>
      <c r="X180" t="s">
        <v>40</v>
      </c>
    </row>
    <row r="181" spans="1:24" ht="13.8" x14ac:dyDescent="0.25">
      <c r="A181" t="s">
        <v>706</v>
      </c>
      <c r="B181">
        <f>YEAR(Retail_data[[#This Row],[Order Date]])</f>
        <v>2026</v>
      </c>
      <c r="C181" t="str">
        <f>TEXT(Retail_data[[#This Row],[Order Date]],"mmmm")</f>
        <v>March</v>
      </c>
      <c r="D181">
        <f>MONTH(Retail_data[[#This Row],[Order Date]])</f>
        <v>3</v>
      </c>
      <c r="E181" t="str">
        <f>"Q"&amp;ROUNDUP(MONTH(Retail_data[[#This Row],[Order Date]])/3,0)</f>
        <v>Q1</v>
      </c>
      <c r="F181" s="1">
        <v>46101</v>
      </c>
      <c r="G181" s="1">
        <v>46105</v>
      </c>
      <c r="H181" t="s">
        <v>707</v>
      </c>
      <c r="I181" t="s">
        <v>708</v>
      </c>
      <c r="J181" t="s">
        <v>44</v>
      </c>
      <c r="K181" t="s">
        <v>22</v>
      </c>
      <c r="L181" t="s">
        <v>67</v>
      </c>
      <c r="M181" t="s">
        <v>68</v>
      </c>
      <c r="N181" t="s">
        <v>69</v>
      </c>
      <c r="O181" t="s">
        <v>57</v>
      </c>
      <c r="P181" t="s">
        <v>149</v>
      </c>
      <c r="Q181" t="s">
        <v>362</v>
      </c>
      <c r="R181">
        <v>9990.07</v>
      </c>
      <c r="S181">
        <v>5</v>
      </c>
      <c r="T181">
        <v>0.1</v>
      </c>
      <c r="U181" t="str">
        <f>IF(Retail_data[[#This Row],[Sales]]&gt;30000,"High",IF(Retail_data[[#This Row],[Sales]]&gt;10000,"Medium","Low"))</f>
        <v>Low</v>
      </c>
      <c r="V181" s="3">
        <f>Retail_data[[#This Row],[Profit]]/Retail_data[[#This Row],[Sales]]</f>
        <v>0.15458350141690699</v>
      </c>
      <c r="W181">
        <v>1544.3</v>
      </c>
      <c r="X181" t="s">
        <v>40</v>
      </c>
    </row>
    <row r="182" spans="1:24" ht="13.8" x14ac:dyDescent="0.25">
      <c r="A182" t="s">
        <v>709</v>
      </c>
      <c r="B182">
        <f>YEAR(Retail_data[[#This Row],[Order Date]])</f>
        <v>2026</v>
      </c>
      <c r="C182" t="str">
        <f>TEXT(Retail_data[[#This Row],[Order Date]],"mmmm")</f>
        <v>March</v>
      </c>
      <c r="D182">
        <f>MONTH(Retail_data[[#This Row],[Order Date]])</f>
        <v>3</v>
      </c>
      <c r="E182" t="str">
        <f>"Q"&amp;ROUNDUP(MONTH(Retail_data[[#This Row],[Order Date]])/3,0)</f>
        <v>Q1</v>
      </c>
      <c r="F182" s="1">
        <v>46102</v>
      </c>
      <c r="G182" s="1">
        <v>46106</v>
      </c>
      <c r="H182" t="s">
        <v>710</v>
      </c>
      <c r="I182" t="s">
        <v>711</v>
      </c>
      <c r="J182" t="s">
        <v>33</v>
      </c>
      <c r="K182" t="s">
        <v>22</v>
      </c>
      <c r="L182" t="s">
        <v>67</v>
      </c>
      <c r="M182" t="s">
        <v>68</v>
      </c>
      <c r="N182" t="s">
        <v>69</v>
      </c>
      <c r="O182" t="s">
        <v>37</v>
      </c>
      <c r="P182" t="s">
        <v>46</v>
      </c>
      <c r="Q182" t="s">
        <v>391</v>
      </c>
      <c r="R182">
        <v>36963.03</v>
      </c>
      <c r="S182">
        <v>3</v>
      </c>
      <c r="T182">
        <v>0.1</v>
      </c>
      <c r="U182" t="str">
        <f>IF(Retail_data[[#This Row],[Sales]]&gt;30000,"High",IF(Retail_data[[#This Row],[Sales]]&gt;10000,"Medium","Low"))</f>
        <v>High</v>
      </c>
      <c r="V182" s="3">
        <f>Retail_data[[#This Row],[Profit]]/Retail_data[[#This Row],[Sales]]</f>
        <v>0.10163723049760802</v>
      </c>
      <c r="W182">
        <v>3756.82</v>
      </c>
      <c r="X182" t="s">
        <v>29</v>
      </c>
    </row>
    <row r="183" spans="1:24" ht="13.8" x14ac:dyDescent="0.25">
      <c r="A183" t="s">
        <v>712</v>
      </c>
      <c r="B183">
        <f>YEAR(Retail_data[[#This Row],[Order Date]])</f>
        <v>2026</v>
      </c>
      <c r="C183" t="str">
        <f>TEXT(Retail_data[[#This Row],[Order Date]],"mmmm")</f>
        <v>March</v>
      </c>
      <c r="D183">
        <f>MONTH(Retail_data[[#This Row],[Order Date]])</f>
        <v>3</v>
      </c>
      <c r="E183" t="str">
        <f>"Q"&amp;ROUNDUP(MONTH(Retail_data[[#This Row],[Order Date]])/3,0)</f>
        <v>Q1</v>
      </c>
      <c r="F183" s="1">
        <v>46103</v>
      </c>
      <c r="G183" s="1">
        <v>46107</v>
      </c>
      <c r="H183" t="s">
        <v>713</v>
      </c>
      <c r="I183" t="s">
        <v>714</v>
      </c>
      <c r="J183" t="s">
        <v>44</v>
      </c>
      <c r="K183" t="s">
        <v>22</v>
      </c>
      <c r="L183" t="s">
        <v>85</v>
      </c>
      <c r="M183" t="s">
        <v>86</v>
      </c>
      <c r="N183" t="s">
        <v>87</v>
      </c>
      <c r="O183" t="s">
        <v>37</v>
      </c>
      <c r="P183" t="s">
        <v>38</v>
      </c>
      <c r="Q183" t="s">
        <v>715</v>
      </c>
      <c r="R183">
        <v>8571.14</v>
      </c>
      <c r="S183">
        <v>2</v>
      </c>
      <c r="T183">
        <v>0.1</v>
      </c>
      <c r="U183" t="str">
        <f>IF(Retail_data[[#This Row],[Sales]]&gt;30000,"High",IF(Retail_data[[#This Row],[Sales]]&gt;10000,"Medium","Low"))</f>
        <v>Low</v>
      </c>
      <c r="V183" s="3">
        <f>Retail_data[[#This Row],[Profit]]/Retail_data[[#This Row],[Sales]]</f>
        <v>0.19013106774594749</v>
      </c>
      <c r="W183">
        <v>1629.64</v>
      </c>
      <c r="X183" t="s">
        <v>81</v>
      </c>
    </row>
    <row r="184" spans="1:24" ht="13.8" x14ac:dyDescent="0.25">
      <c r="A184" t="s">
        <v>716</v>
      </c>
      <c r="B184">
        <f>YEAR(Retail_data[[#This Row],[Order Date]])</f>
        <v>2026</v>
      </c>
      <c r="C184" t="str">
        <f>TEXT(Retail_data[[#This Row],[Order Date]],"mmmm")</f>
        <v>March</v>
      </c>
      <c r="D184">
        <f>MONTH(Retail_data[[#This Row],[Order Date]])</f>
        <v>3</v>
      </c>
      <c r="E184" t="str">
        <f>"Q"&amp;ROUNDUP(MONTH(Retail_data[[#This Row],[Order Date]])/3,0)</f>
        <v>Q1</v>
      </c>
      <c r="F184" s="1">
        <v>46104</v>
      </c>
      <c r="G184" s="1">
        <v>46108</v>
      </c>
      <c r="H184" t="s">
        <v>717</v>
      </c>
      <c r="I184" t="s">
        <v>718</v>
      </c>
      <c r="J184" t="s">
        <v>33</v>
      </c>
      <c r="K184" t="s">
        <v>22</v>
      </c>
      <c r="L184" t="s">
        <v>34</v>
      </c>
      <c r="M184" t="s">
        <v>35</v>
      </c>
      <c r="N184" t="s">
        <v>36</v>
      </c>
      <c r="O184" t="s">
        <v>37</v>
      </c>
      <c r="P184" t="s">
        <v>46</v>
      </c>
      <c r="Q184" t="s">
        <v>391</v>
      </c>
      <c r="R184">
        <v>15062.05</v>
      </c>
      <c r="S184">
        <v>1</v>
      </c>
      <c r="T184">
        <v>0.2</v>
      </c>
      <c r="U184" t="str">
        <f>IF(Retail_data[[#This Row],[Sales]]&gt;30000,"High",IF(Retail_data[[#This Row],[Sales]]&gt;10000,"Medium","Low"))</f>
        <v>Medium</v>
      </c>
      <c r="V184" s="3">
        <f>Retail_data[[#This Row],[Profit]]/Retail_data[[#This Row],[Sales]]</f>
        <v>1.1639185900989574E-2</v>
      </c>
      <c r="W184">
        <v>175.31</v>
      </c>
      <c r="X184" t="s">
        <v>40</v>
      </c>
    </row>
    <row r="185" spans="1:24" ht="13.8" x14ac:dyDescent="0.25">
      <c r="A185" t="s">
        <v>719</v>
      </c>
      <c r="B185">
        <f>YEAR(Retail_data[[#This Row],[Order Date]])</f>
        <v>2026</v>
      </c>
      <c r="C185" t="str">
        <f>TEXT(Retail_data[[#This Row],[Order Date]],"mmmm")</f>
        <v>March</v>
      </c>
      <c r="D185">
        <f>MONTH(Retail_data[[#This Row],[Order Date]])</f>
        <v>3</v>
      </c>
      <c r="E185" t="str">
        <f>"Q"&amp;ROUNDUP(MONTH(Retail_data[[#This Row],[Order Date]])/3,0)</f>
        <v>Q1</v>
      </c>
      <c r="F185" s="1">
        <v>46105</v>
      </c>
      <c r="G185" s="1">
        <v>46109</v>
      </c>
      <c r="H185" t="s">
        <v>720</v>
      </c>
      <c r="I185" t="s">
        <v>721</v>
      </c>
      <c r="J185" t="s">
        <v>21</v>
      </c>
      <c r="K185" t="s">
        <v>22</v>
      </c>
      <c r="L185" t="s">
        <v>67</v>
      </c>
      <c r="M185" t="s">
        <v>68</v>
      </c>
      <c r="N185" t="s">
        <v>69</v>
      </c>
      <c r="O185" t="s">
        <v>26</v>
      </c>
      <c r="P185" t="s">
        <v>27</v>
      </c>
      <c r="Q185" t="s">
        <v>403</v>
      </c>
      <c r="R185">
        <v>20555.88</v>
      </c>
      <c r="S185">
        <v>6</v>
      </c>
      <c r="T185">
        <v>0.3</v>
      </c>
      <c r="U185" t="str">
        <f>IF(Retail_data[[#This Row],[Sales]]&gt;30000,"High",IF(Retail_data[[#This Row],[Sales]]&gt;10000,"Medium","Low"))</f>
        <v>Medium</v>
      </c>
      <c r="V185" s="3">
        <f>Retail_data[[#This Row],[Profit]]/Retail_data[[#This Row],[Sales]]</f>
        <v>0.1191663893737461</v>
      </c>
      <c r="W185">
        <v>2449.5700000000002</v>
      </c>
      <c r="X185" t="s">
        <v>40</v>
      </c>
    </row>
    <row r="186" spans="1:24" ht="13.8" x14ac:dyDescent="0.25">
      <c r="A186" t="s">
        <v>722</v>
      </c>
      <c r="B186">
        <f>YEAR(Retail_data[[#This Row],[Order Date]])</f>
        <v>2026</v>
      </c>
      <c r="C186" t="str">
        <f>TEXT(Retail_data[[#This Row],[Order Date]],"mmmm")</f>
        <v>March</v>
      </c>
      <c r="D186">
        <f>MONTH(Retail_data[[#This Row],[Order Date]])</f>
        <v>3</v>
      </c>
      <c r="E186" t="str">
        <f>"Q"&amp;ROUNDUP(MONTH(Retail_data[[#This Row],[Order Date]])/3,0)</f>
        <v>Q1</v>
      </c>
      <c r="F186" s="1">
        <v>46106</v>
      </c>
      <c r="G186" s="1">
        <v>46110</v>
      </c>
      <c r="H186" t="s">
        <v>723</v>
      </c>
      <c r="I186" t="s">
        <v>724</v>
      </c>
      <c r="J186" t="s">
        <v>21</v>
      </c>
      <c r="K186" t="s">
        <v>22</v>
      </c>
      <c r="L186" t="s">
        <v>85</v>
      </c>
      <c r="M186" t="s">
        <v>86</v>
      </c>
      <c r="N186" t="s">
        <v>87</v>
      </c>
      <c r="O186" t="s">
        <v>37</v>
      </c>
      <c r="P186" t="s">
        <v>38</v>
      </c>
      <c r="Q186" t="s">
        <v>383</v>
      </c>
      <c r="R186">
        <v>15834.85</v>
      </c>
      <c r="S186">
        <v>2</v>
      </c>
      <c r="T186">
        <v>0</v>
      </c>
      <c r="U186" t="str">
        <f>IF(Retail_data[[#This Row],[Sales]]&gt;30000,"High",IF(Retail_data[[#This Row],[Sales]]&gt;10000,"Medium","Low"))</f>
        <v>Medium</v>
      </c>
      <c r="V186" s="3">
        <f>Retail_data[[#This Row],[Profit]]/Retail_data[[#This Row],[Sales]]</f>
        <v>0.27678632888849591</v>
      </c>
      <c r="W186">
        <v>4382.87</v>
      </c>
      <c r="X186" t="s">
        <v>29</v>
      </c>
    </row>
    <row r="187" spans="1:24" ht="13.8" x14ac:dyDescent="0.25">
      <c r="A187" t="s">
        <v>725</v>
      </c>
      <c r="B187">
        <f>YEAR(Retail_data[[#This Row],[Order Date]])</f>
        <v>2026</v>
      </c>
      <c r="C187" t="str">
        <f>TEXT(Retail_data[[#This Row],[Order Date]],"mmmm")</f>
        <v>March</v>
      </c>
      <c r="D187">
        <f>MONTH(Retail_data[[#This Row],[Order Date]])</f>
        <v>3</v>
      </c>
      <c r="E187" t="str">
        <f>"Q"&amp;ROUNDUP(MONTH(Retail_data[[#This Row],[Order Date]])/3,0)</f>
        <v>Q1</v>
      </c>
      <c r="F187" s="1">
        <v>46107</v>
      </c>
      <c r="G187" s="1">
        <v>46111</v>
      </c>
      <c r="H187" t="s">
        <v>726</v>
      </c>
      <c r="I187" t="s">
        <v>727</v>
      </c>
      <c r="J187" t="s">
        <v>21</v>
      </c>
      <c r="K187" t="s">
        <v>22</v>
      </c>
      <c r="L187" t="s">
        <v>67</v>
      </c>
      <c r="M187" t="s">
        <v>68</v>
      </c>
      <c r="N187" t="s">
        <v>69</v>
      </c>
      <c r="O187" t="s">
        <v>26</v>
      </c>
      <c r="P187" t="s">
        <v>70</v>
      </c>
      <c r="Q187" t="s">
        <v>117</v>
      </c>
      <c r="R187">
        <v>37457.03</v>
      </c>
      <c r="S187">
        <v>6</v>
      </c>
      <c r="T187">
        <v>0.1</v>
      </c>
      <c r="U187" t="str">
        <f>IF(Retail_data[[#This Row],[Sales]]&gt;30000,"High",IF(Retail_data[[#This Row],[Sales]]&gt;10000,"Medium","Low"))</f>
        <v>High</v>
      </c>
      <c r="V187" s="3">
        <f>Retail_data[[#This Row],[Profit]]/Retail_data[[#This Row],[Sales]]</f>
        <v>0.23381218425486486</v>
      </c>
      <c r="W187">
        <v>8757.91</v>
      </c>
      <c r="X187" t="s">
        <v>29</v>
      </c>
    </row>
    <row r="188" spans="1:24" ht="13.8" x14ac:dyDescent="0.25">
      <c r="A188" t="s">
        <v>728</v>
      </c>
      <c r="B188">
        <f>YEAR(Retail_data[[#This Row],[Order Date]])</f>
        <v>2026</v>
      </c>
      <c r="C188" t="str">
        <f>TEXT(Retail_data[[#This Row],[Order Date]],"mmmm")</f>
        <v>March</v>
      </c>
      <c r="D188">
        <f>MONTH(Retail_data[[#This Row],[Order Date]])</f>
        <v>3</v>
      </c>
      <c r="E188" t="str">
        <f>"Q"&amp;ROUNDUP(MONTH(Retail_data[[#This Row],[Order Date]])/3,0)</f>
        <v>Q1</v>
      </c>
      <c r="F188" s="1">
        <v>46108</v>
      </c>
      <c r="G188" s="1">
        <v>46112</v>
      </c>
      <c r="H188" t="s">
        <v>729</v>
      </c>
      <c r="I188" t="s">
        <v>730</v>
      </c>
      <c r="J188" t="s">
        <v>44</v>
      </c>
      <c r="K188" t="s">
        <v>22</v>
      </c>
      <c r="L188" t="s">
        <v>67</v>
      </c>
      <c r="M188" t="s">
        <v>68</v>
      </c>
      <c r="N188" t="s">
        <v>69</v>
      </c>
      <c r="O188" t="s">
        <v>57</v>
      </c>
      <c r="P188" t="s">
        <v>58</v>
      </c>
      <c r="Q188" t="s">
        <v>731</v>
      </c>
      <c r="R188">
        <v>14426.57</v>
      </c>
      <c r="S188">
        <v>7</v>
      </c>
      <c r="T188">
        <v>0</v>
      </c>
      <c r="U188" t="str">
        <f>IF(Retail_data[[#This Row],[Sales]]&gt;30000,"High",IF(Retail_data[[#This Row],[Sales]]&gt;10000,"Medium","Low"))</f>
        <v>Medium</v>
      </c>
      <c r="V188" s="3">
        <f>Retail_data[[#This Row],[Profit]]/Retail_data[[#This Row],[Sales]]</f>
        <v>0.12990683163080344</v>
      </c>
      <c r="W188">
        <v>1874.11</v>
      </c>
      <c r="X188" t="s">
        <v>81</v>
      </c>
    </row>
    <row r="189" spans="1:24" ht="13.8" x14ac:dyDescent="0.25">
      <c r="A189" t="s">
        <v>732</v>
      </c>
      <c r="B189">
        <f>YEAR(Retail_data[[#This Row],[Order Date]])</f>
        <v>2026</v>
      </c>
      <c r="C189" t="str">
        <f>TEXT(Retail_data[[#This Row],[Order Date]],"mmmm")</f>
        <v>March</v>
      </c>
      <c r="D189">
        <f>MONTH(Retail_data[[#This Row],[Order Date]])</f>
        <v>3</v>
      </c>
      <c r="E189" t="str">
        <f>"Q"&amp;ROUNDUP(MONTH(Retail_data[[#This Row],[Order Date]])/3,0)</f>
        <v>Q1</v>
      </c>
      <c r="F189" s="1">
        <v>46109</v>
      </c>
      <c r="G189" s="1">
        <v>46113</v>
      </c>
      <c r="H189" t="s">
        <v>733</v>
      </c>
      <c r="I189" t="s">
        <v>734</v>
      </c>
      <c r="J189" t="s">
        <v>21</v>
      </c>
      <c r="K189" t="s">
        <v>22</v>
      </c>
      <c r="L189" t="s">
        <v>23</v>
      </c>
      <c r="M189" t="s">
        <v>24</v>
      </c>
      <c r="N189" t="s">
        <v>25</v>
      </c>
      <c r="O189" t="s">
        <v>26</v>
      </c>
      <c r="P189" t="s">
        <v>70</v>
      </c>
      <c r="Q189" t="s">
        <v>117</v>
      </c>
      <c r="R189">
        <v>19283.169999999998</v>
      </c>
      <c r="S189">
        <v>8</v>
      </c>
      <c r="T189">
        <v>0.3</v>
      </c>
      <c r="U189" t="str">
        <f>IF(Retail_data[[#This Row],[Sales]]&gt;30000,"High",IF(Retail_data[[#This Row],[Sales]]&gt;10000,"Medium","Low"))</f>
        <v>Medium</v>
      </c>
      <c r="V189" s="3">
        <f>Retail_data[[#This Row],[Profit]]/Retail_data[[#This Row],[Sales]]</f>
        <v>6.2538991255068552E-2</v>
      </c>
      <c r="W189">
        <v>1205.95</v>
      </c>
      <c r="X189" t="s">
        <v>48</v>
      </c>
    </row>
    <row r="190" spans="1:24" ht="13.8" x14ac:dyDescent="0.25">
      <c r="A190" t="s">
        <v>735</v>
      </c>
      <c r="B190">
        <f>YEAR(Retail_data[[#This Row],[Order Date]])</f>
        <v>2026</v>
      </c>
      <c r="C190" t="str">
        <f>TEXT(Retail_data[[#This Row],[Order Date]],"mmmm")</f>
        <v>March</v>
      </c>
      <c r="D190">
        <f>MONTH(Retail_data[[#This Row],[Order Date]])</f>
        <v>3</v>
      </c>
      <c r="E190" t="str">
        <f>"Q"&amp;ROUNDUP(MONTH(Retail_data[[#This Row],[Order Date]])/3,0)</f>
        <v>Q1</v>
      </c>
      <c r="F190" s="1">
        <v>46110</v>
      </c>
      <c r="G190" s="1">
        <v>46114</v>
      </c>
      <c r="H190" t="s">
        <v>736</v>
      </c>
      <c r="I190" t="s">
        <v>737</v>
      </c>
      <c r="J190" t="s">
        <v>44</v>
      </c>
      <c r="K190" t="s">
        <v>22</v>
      </c>
      <c r="L190" t="s">
        <v>23</v>
      </c>
      <c r="M190" t="s">
        <v>24</v>
      </c>
      <c r="N190" t="s">
        <v>25</v>
      </c>
      <c r="O190" t="s">
        <v>37</v>
      </c>
      <c r="P190" t="s">
        <v>52</v>
      </c>
      <c r="Q190" t="s">
        <v>358</v>
      </c>
      <c r="R190">
        <v>22326.89</v>
      </c>
      <c r="S190">
        <v>1</v>
      </c>
      <c r="T190">
        <v>0.1</v>
      </c>
      <c r="U190" t="str">
        <f>IF(Retail_data[[#This Row],[Sales]]&gt;30000,"High",IF(Retail_data[[#This Row],[Sales]]&gt;10000,"Medium","Low"))</f>
        <v>Medium</v>
      </c>
      <c r="V190" s="3">
        <f>Retail_data[[#This Row],[Profit]]/Retail_data[[#This Row],[Sales]]</f>
        <v>6.7121305295990613E-2</v>
      </c>
      <c r="W190">
        <v>1498.61</v>
      </c>
      <c r="X190" t="s">
        <v>29</v>
      </c>
    </row>
    <row r="191" spans="1:24" ht="13.8" x14ac:dyDescent="0.25">
      <c r="A191" t="s">
        <v>738</v>
      </c>
      <c r="B191">
        <f>YEAR(Retail_data[[#This Row],[Order Date]])</f>
        <v>2026</v>
      </c>
      <c r="C191" t="str">
        <f>TEXT(Retail_data[[#This Row],[Order Date]],"mmmm")</f>
        <v>March</v>
      </c>
      <c r="D191">
        <f>MONTH(Retail_data[[#This Row],[Order Date]])</f>
        <v>3</v>
      </c>
      <c r="E191" t="str">
        <f>"Q"&amp;ROUNDUP(MONTH(Retail_data[[#This Row],[Order Date]])/3,0)</f>
        <v>Q1</v>
      </c>
      <c r="F191" s="1">
        <v>46111</v>
      </c>
      <c r="G191" s="1">
        <v>46115</v>
      </c>
      <c r="H191" t="s">
        <v>739</v>
      </c>
      <c r="I191" t="s">
        <v>740</v>
      </c>
      <c r="J191" t="s">
        <v>21</v>
      </c>
      <c r="K191" t="s">
        <v>22</v>
      </c>
      <c r="L191" t="s">
        <v>67</v>
      </c>
      <c r="M191" t="s">
        <v>68</v>
      </c>
      <c r="N191" t="s">
        <v>69</v>
      </c>
      <c r="O191" t="s">
        <v>37</v>
      </c>
      <c r="P191" t="s">
        <v>46</v>
      </c>
      <c r="Q191" t="s">
        <v>741</v>
      </c>
      <c r="R191">
        <v>34818.239999999998</v>
      </c>
      <c r="S191">
        <v>6</v>
      </c>
      <c r="T191">
        <v>0.1</v>
      </c>
      <c r="U191" t="str">
        <f>IF(Retail_data[[#This Row],[Sales]]&gt;30000,"High",IF(Retail_data[[#This Row],[Sales]]&gt;10000,"Medium","Low"))</f>
        <v>High</v>
      </c>
      <c r="V191" s="3">
        <f>Retail_data[[#This Row],[Profit]]/Retail_data[[#This Row],[Sales]]</f>
        <v>0.1507034818531896</v>
      </c>
      <c r="W191">
        <v>5247.23</v>
      </c>
      <c r="X191" t="s">
        <v>40</v>
      </c>
    </row>
    <row r="192" spans="1:24" ht="13.8" x14ac:dyDescent="0.25">
      <c r="A192" t="s">
        <v>742</v>
      </c>
      <c r="B192">
        <f>YEAR(Retail_data[[#This Row],[Order Date]])</f>
        <v>2026</v>
      </c>
      <c r="C192" t="str">
        <f>TEXT(Retail_data[[#This Row],[Order Date]],"mmmm")</f>
        <v>March</v>
      </c>
      <c r="D192">
        <f>MONTH(Retail_data[[#This Row],[Order Date]])</f>
        <v>3</v>
      </c>
      <c r="E192" t="str">
        <f>"Q"&amp;ROUNDUP(MONTH(Retail_data[[#This Row],[Order Date]])/3,0)</f>
        <v>Q1</v>
      </c>
      <c r="F192" s="1">
        <v>46112</v>
      </c>
      <c r="G192" s="1">
        <v>46116</v>
      </c>
      <c r="H192" t="s">
        <v>743</v>
      </c>
      <c r="I192" t="s">
        <v>744</v>
      </c>
      <c r="J192" t="s">
        <v>21</v>
      </c>
      <c r="K192" t="s">
        <v>22</v>
      </c>
      <c r="L192" t="s">
        <v>34</v>
      </c>
      <c r="M192" t="s">
        <v>35</v>
      </c>
      <c r="N192" t="s">
        <v>36</v>
      </c>
      <c r="O192" t="s">
        <v>26</v>
      </c>
      <c r="P192" t="s">
        <v>27</v>
      </c>
      <c r="Q192" t="s">
        <v>577</v>
      </c>
      <c r="R192">
        <v>28810</v>
      </c>
      <c r="S192">
        <v>6</v>
      </c>
      <c r="T192">
        <v>0.1</v>
      </c>
      <c r="U192" t="str">
        <f>IF(Retail_data[[#This Row],[Sales]]&gt;30000,"High",IF(Retail_data[[#This Row],[Sales]]&gt;10000,"Medium","Low"))</f>
        <v>Medium</v>
      </c>
      <c r="V192" s="3">
        <f>Retail_data[[#This Row],[Profit]]/Retail_data[[#This Row],[Sales]]</f>
        <v>8.5717459215550157E-2</v>
      </c>
      <c r="W192">
        <v>2469.52</v>
      </c>
      <c r="X192" t="s">
        <v>29</v>
      </c>
    </row>
    <row r="193" spans="1:24" ht="13.8" x14ac:dyDescent="0.25">
      <c r="A193" t="s">
        <v>745</v>
      </c>
      <c r="B193">
        <f>YEAR(Retail_data[[#This Row],[Order Date]])</f>
        <v>2026</v>
      </c>
      <c r="C193" t="str">
        <f>TEXT(Retail_data[[#This Row],[Order Date]],"mmmm")</f>
        <v>April</v>
      </c>
      <c r="D193">
        <f>MONTH(Retail_data[[#This Row],[Order Date]])</f>
        <v>4</v>
      </c>
      <c r="E193" t="str">
        <f>"Q"&amp;ROUNDUP(MONTH(Retail_data[[#This Row],[Order Date]])/3,0)</f>
        <v>Q2</v>
      </c>
      <c r="F193" s="1">
        <v>46113</v>
      </c>
      <c r="G193" s="1">
        <v>46117</v>
      </c>
      <c r="H193" t="s">
        <v>746</v>
      </c>
      <c r="I193" t="s">
        <v>747</v>
      </c>
      <c r="J193" t="s">
        <v>21</v>
      </c>
      <c r="K193" t="s">
        <v>22</v>
      </c>
      <c r="L193" t="s">
        <v>34</v>
      </c>
      <c r="M193" t="s">
        <v>35</v>
      </c>
      <c r="N193" t="s">
        <v>36</v>
      </c>
      <c r="O193" t="s">
        <v>57</v>
      </c>
      <c r="P193" t="s">
        <v>58</v>
      </c>
      <c r="Q193" t="s">
        <v>481</v>
      </c>
      <c r="R193">
        <v>17376.2</v>
      </c>
      <c r="S193">
        <v>3</v>
      </c>
      <c r="T193">
        <v>0.1</v>
      </c>
      <c r="U193" t="str">
        <f>IF(Retail_data[[#This Row],[Sales]]&gt;30000,"High",IF(Retail_data[[#This Row],[Sales]]&gt;10000,"Medium","Low"))</f>
        <v>Medium</v>
      </c>
      <c r="V193" s="3">
        <f>Retail_data[[#This Row],[Profit]]/Retail_data[[#This Row],[Sales]]</f>
        <v>9.6107319206731046E-2</v>
      </c>
      <c r="W193">
        <v>1669.98</v>
      </c>
      <c r="X193" t="s">
        <v>29</v>
      </c>
    </row>
    <row r="194" spans="1:24" ht="13.8" x14ac:dyDescent="0.25">
      <c r="A194" t="s">
        <v>748</v>
      </c>
      <c r="B194">
        <f>YEAR(Retail_data[[#This Row],[Order Date]])</f>
        <v>2026</v>
      </c>
      <c r="C194" t="str">
        <f>TEXT(Retail_data[[#This Row],[Order Date]],"mmmm")</f>
        <v>April</v>
      </c>
      <c r="D194">
        <f>MONTH(Retail_data[[#This Row],[Order Date]])</f>
        <v>4</v>
      </c>
      <c r="E194" t="str">
        <f>"Q"&amp;ROUNDUP(MONTH(Retail_data[[#This Row],[Order Date]])/3,0)</f>
        <v>Q2</v>
      </c>
      <c r="F194" s="1">
        <v>46114</v>
      </c>
      <c r="G194" s="1">
        <v>46118</v>
      </c>
      <c r="H194" t="s">
        <v>749</v>
      </c>
      <c r="I194" t="s">
        <v>750</v>
      </c>
      <c r="J194" t="s">
        <v>21</v>
      </c>
      <c r="K194" t="s">
        <v>22</v>
      </c>
      <c r="L194" t="s">
        <v>67</v>
      </c>
      <c r="M194" t="s">
        <v>68</v>
      </c>
      <c r="N194" t="s">
        <v>69</v>
      </c>
      <c r="O194" t="s">
        <v>57</v>
      </c>
      <c r="P194" t="s">
        <v>149</v>
      </c>
      <c r="Q194" t="s">
        <v>210</v>
      </c>
      <c r="R194">
        <v>12640.64</v>
      </c>
      <c r="S194">
        <v>7</v>
      </c>
      <c r="T194">
        <v>0.3</v>
      </c>
      <c r="U194" t="str">
        <f>IF(Retail_data[[#This Row],[Sales]]&gt;30000,"High",IF(Retail_data[[#This Row],[Sales]]&gt;10000,"Medium","Low"))</f>
        <v>Medium</v>
      </c>
      <c r="V194" s="3">
        <f>Retail_data[[#This Row],[Profit]]/Retail_data[[#This Row],[Sales]]</f>
        <v>8.0458742595311633E-2</v>
      </c>
      <c r="W194">
        <v>1017.05</v>
      </c>
      <c r="X194" t="s">
        <v>81</v>
      </c>
    </row>
    <row r="195" spans="1:24" ht="13.8" x14ac:dyDescent="0.25">
      <c r="A195" t="s">
        <v>751</v>
      </c>
      <c r="B195">
        <f>YEAR(Retail_data[[#This Row],[Order Date]])</f>
        <v>2026</v>
      </c>
      <c r="C195" t="str">
        <f>TEXT(Retail_data[[#This Row],[Order Date]],"mmmm")</f>
        <v>April</v>
      </c>
      <c r="D195">
        <f>MONTH(Retail_data[[#This Row],[Order Date]])</f>
        <v>4</v>
      </c>
      <c r="E195" t="str">
        <f>"Q"&amp;ROUNDUP(MONTH(Retail_data[[#This Row],[Order Date]])/3,0)</f>
        <v>Q2</v>
      </c>
      <c r="F195" s="1">
        <v>46115</v>
      </c>
      <c r="G195" s="1">
        <v>46119</v>
      </c>
      <c r="H195" t="s">
        <v>752</v>
      </c>
      <c r="I195" t="s">
        <v>753</v>
      </c>
      <c r="J195" t="s">
        <v>44</v>
      </c>
      <c r="K195" t="s">
        <v>22</v>
      </c>
      <c r="L195" t="s">
        <v>85</v>
      </c>
      <c r="M195" t="s">
        <v>86</v>
      </c>
      <c r="N195" t="s">
        <v>87</v>
      </c>
      <c r="O195" t="s">
        <v>26</v>
      </c>
      <c r="P195" t="s">
        <v>92</v>
      </c>
      <c r="Q195" t="s">
        <v>415</v>
      </c>
      <c r="R195">
        <v>36786.35</v>
      </c>
      <c r="S195">
        <v>3</v>
      </c>
      <c r="T195">
        <v>0.1</v>
      </c>
      <c r="U195" t="str">
        <f>IF(Retail_data[[#This Row],[Sales]]&gt;30000,"High",IF(Retail_data[[#This Row],[Sales]]&gt;10000,"Medium","Low"))</f>
        <v>High</v>
      </c>
      <c r="V195" s="3">
        <f>Retail_data[[#This Row],[Profit]]/Retail_data[[#This Row],[Sales]]</f>
        <v>0.14992870996986654</v>
      </c>
      <c r="W195">
        <v>5515.33</v>
      </c>
      <c r="X195" t="s">
        <v>81</v>
      </c>
    </row>
    <row r="196" spans="1:24" ht="13.8" x14ac:dyDescent="0.25">
      <c r="A196" t="s">
        <v>754</v>
      </c>
      <c r="B196">
        <f>YEAR(Retail_data[[#This Row],[Order Date]])</f>
        <v>2026</v>
      </c>
      <c r="C196" t="str">
        <f>TEXT(Retail_data[[#This Row],[Order Date]],"mmmm")</f>
        <v>April</v>
      </c>
      <c r="D196">
        <f>MONTH(Retail_data[[#This Row],[Order Date]])</f>
        <v>4</v>
      </c>
      <c r="E196" t="str">
        <f>"Q"&amp;ROUNDUP(MONTH(Retail_data[[#This Row],[Order Date]])/3,0)</f>
        <v>Q2</v>
      </c>
      <c r="F196" s="1">
        <v>46116</v>
      </c>
      <c r="G196" s="1">
        <v>46120</v>
      </c>
      <c r="H196" t="s">
        <v>755</v>
      </c>
      <c r="I196" t="s">
        <v>756</v>
      </c>
      <c r="J196" t="s">
        <v>21</v>
      </c>
      <c r="K196" t="s">
        <v>22</v>
      </c>
      <c r="L196" t="s">
        <v>23</v>
      </c>
      <c r="M196" t="s">
        <v>24</v>
      </c>
      <c r="N196" t="s">
        <v>25</v>
      </c>
      <c r="O196" t="s">
        <v>57</v>
      </c>
      <c r="P196" t="s">
        <v>58</v>
      </c>
      <c r="Q196" t="s">
        <v>63</v>
      </c>
      <c r="R196">
        <v>48938.49</v>
      </c>
      <c r="S196">
        <v>2</v>
      </c>
      <c r="T196">
        <v>0.2</v>
      </c>
      <c r="U196" t="str">
        <f>IF(Retail_data[[#This Row],[Sales]]&gt;30000,"High",IF(Retail_data[[#This Row],[Sales]]&gt;10000,"Medium","Low"))</f>
        <v>High</v>
      </c>
      <c r="V196" s="3">
        <f>Retail_data[[#This Row],[Profit]]/Retail_data[[#This Row],[Sales]]</f>
        <v>8.4080035979859621E-2</v>
      </c>
      <c r="W196">
        <v>4114.75</v>
      </c>
      <c r="X196" t="s">
        <v>40</v>
      </c>
    </row>
    <row r="197" spans="1:24" ht="13.8" x14ac:dyDescent="0.25">
      <c r="A197" t="s">
        <v>757</v>
      </c>
      <c r="B197">
        <f>YEAR(Retail_data[[#This Row],[Order Date]])</f>
        <v>2026</v>
      </c>
      <c r="C197" t="str">
        <f>TEXT(Retail_data[[#This Row],[Order Date]],"mmmm")</f>
        <v>April</v>
      </c>
      <c r="D197">
        <f>MONTH(Retail_data[[#This Row],[Order Date]])</f>
        <v>4</v>
      </c>
      <c r="E197" t="str">
        <f>"Q"&amp;ROUNDUP(MONTH(Retail_data[[#This Row],[Order Date]])/3,0)</f>
        <v>Q2</v>
      </c>
      <c r="F197" s="1">
        <v>46117</v>
      </c>
      <c r="G197" s="1">
        <v>46121</v>
      </c>
      <c r="H197" t="s">
        <v>758</v>
      </c>
      <c r="I197" t="s">
        <v>759</v>
      </c>
      <c r="J197" t="s">
        <v>21</v>
      </c>
      <c r="K197" t="s">
        <v>22</v>
      </c>
      <c r="L197" t="s">
        <v>85</v>
      </c>
      <c r="M197" t="s">
        <v>86</v>
      </c>
      <c r="N197" t="s">
        <v>87</v>
      </c>
      <c r="O197" t="s">
        <v>26</v>
      </c>
      <c r="P197" t="s">
        <v>70</v>
      </c>
      <c r="Q197" t="s">
        <v>161</v>
      </c>
      <c r="R197">
        <v>24415.040000000001</v>
      </c>
      <c r="S197">
        <v>5</v>
      </c>
      <c r="T197">
        <v>0.3</v>
      </c>
      <c r="U197" t="str">
        <f>IF(Retail_data[[#This Row],[Sales]]&gt;30000,"High",IF(Retail_data[[#This Row],[Sales]]&gt;10000,"Medium","Low"))</f>
        <v>Medium</v>
      </c>
      <c r="V197" s="3">
        <f>Retail_data[[#This Row],[Profit]]/Retail_data[[#This Row],[Sales]]</f>
        <v>0.16236795024706083</v>
      </c>
      <c r="W197">
        <v>3964.22</v>
      </c>
      <c r="X197" t="s">
        <v>81</v>
      </c>
    </row>
    <row r="198" spans="1:24" ht="13.8" x14ac:dyDescent="0.25">
      <c r="A198" t="s">
        <v>760</v>
      </c>
      <c r="B198">
        <f>YEAR(Retail_data[[#This Row],[Order Date]])</f>
        <v>2026</v>
      </c>
      <c r="C198" t="str">
        <f>TEXT(Retail_data[[#This Row],[Order Date]],"mmmm")</f>
        <v>April</v>
      </c>
      <c r="D198">
        <f>MONTH(Retail_data[[#This Row],[Order Date]])</f>
        <v>4</v>
      </c>
      <c r="E198" t="str">
        <f>"Q"&amp;ROUNDUP(MONTH(Retail_data[[#This Row],[Order Date]])/3,0)</f>
        <v>Q2</v>
      </c>
      <c r="F198" s="1">
        <v>46118</v>
      </c>
      <c r="G198" s="1">
        <v>46122</v>
      </c>
      <c r="H198" t="s">
        <v>761</v>
      </c>
      <c r="I198" t="s">
        <v>762</v>
      </c>
      <c r="J198" t="s">
        <v>44</v>
      </c>
      <c r="K198" t="s">
        <v>22</v>
      </c>
      <c r="L198" t="s">
        <v>23</v>
      </c>
      <c r="M198" t="s">
        <v>24</v>
      </c>
      <c r="N198" t="s">
        <v>25</v>
      </c>
      <c r="O198" t="s">
        <v>37</v>
      </c>
      <c r="P198" t="s">
        <v>52</v>
      </c>
      <c r="Q198" t="s">
        <v>763</v>
      </c>
      <c r="R198">
        <v>23089.52</v>
      </c>
      <c r="S198">
        <v>3</v>
      </c>
      <c r="T198">
        <v>0.3</v>
      </c>
      <c r="U198" t="str">
        <f>IF(Retail_data[[#This Row],[Sales]]&gt;30000,"High",IF(Retail_data[[#This Row],[Sales]]&gt;10000,"Medium","Low"))</f>
        <v>Medium</v>
      </c>
      <c r="V198" s="3">
        <f>Retail_data[[#This Row],[Profit]]/Retail_data[[#This Row],[Sales]]</f>
        <v>-9.8455922860241352E-3</v>
      </c>
      <c r="W198">
        <v>-227.33</v>
      </c>
      <c r="X198" t="s">
        <v>81</v>
      </c>
    </row>
    <row r="199" spans="1:24" ht="13.8" x14ac:dyDescent="0.25">
      <c r="A199" t="s">
        <v>764</v>
      </c>
      <c r="B199">
        <f>YEAR(Retail_data[[#This Row],[Order Date]])</f>
        <v>2026</v>
      </c>
      <c r="C199" t="str">
        <f>TEXT(Retail_data[[#This Row],[Order Date]],"mmmm")</f>
        <v>April</v>
      </c>
      <c r="D199">
        <f>MONTH(Retail_data[[#This Row],[Order Date]])</f>
        <v>4</v>
      </c>
      <c r="E199" t="str">
        <f>"Q"&amp;ROUNDUP(MONTH(Retail_data[[#This Row],[Order Date]])/3,0)</f>
        <v>Q2</v>
      </c>
      <c r="F199" s="1">
        <v>46119</v>
      </c>
      <c r="G199" s="1">
        <v>46123</v>
      </c>
      <c r="H199" t="s">
        <v>765</v>
      </c>
      <c r="I199" t="s">
        <v>766</v>
      </c>
      <c r="J199" t="s">
        <v>21</v>
      </c>
      <c r="K199" t="s">
        <v>22</v>
      </c>
      <c r="L199" t="s">
        <v>34</v>
      </c>
      <c r="M199" t="s">
        <v>35</v>
      </c>
      <c r="N199" t="s">
        <v>36</v>
      </c>
      <c r="O199" t="s">
        <v>26</v>
      </c>
      <c r="P199" t="s">
        <v>92</v>
      </c>
      <c r="Q199" t="s">
        <v>767</v>
      </c>
      <c r="R199">
        <v>1574.42</v>
      </c>
      <c r="S199">
        <v>2</v>
      </c>
      <c r="T199">
        <v>0.1</v>
      </c>
      <c r="U199" t="str">
        <f>IF(Retail_data[[#This Row],[Sales]]&gt;30000,"High",IF(Retail_data[[#This Row],[Sales]]&gt;10000,"Medium","Low"))</f>
        <v>Low</v>
      </c>
      <c r="V199" s="3">
        <f>Retail_data[[#This Row],[Profit]]/Retail_data[[#This Row],[Sales]]</f>
        <v>0.21816923057379861</v>
      </c>
      <c r="W199">
        <v>343.49</v>
      </c>
      <c r="X199" t="s">
        <v>48</v>
      </c>
    </row>
    <row r="200" spans="1:24" ht="13.8" x14ac:dyDescent="0.25">
      <c r="A200" t="s">
        <v>768</v>
      </c>
      <c r="B200">
        <f>YEAR(Retail_data[[#This Row],[Order Date]])</f>
        <v>2026</v>
      </c>
      <c r="C200" t="str">
        <f>TEXT(Retail_data[[#This Row],[Order Date]],"mmmm")</f>
        <v>April</v>
      </c>
      <c r="D200">
        <f>MONTH(Retail_data[[#This Row],[Order Date]])</f>
        <v>4</v>
      </c>
      <c r="E200" t="str">
        <f>"Q"&amp;ROUNDUP(MONTH(Retail_data[[#This Row],[Order Date]])/3,0)</f>
        <v>Q2</v>
      </c>
      <c r="F200" s="1">
        <v>46120</v>
      </c>
      <c r="G200" s="1">
        <v>46124</v>
      </c>
      <c r="H200" t="s">
        <v>769</v>
      </c>
      <c r="I200" t="s">
        <v>770</v>
      </c>
      <c r="J200" t="s">
        <v>21</v>
      </c>
      <c r="K200" t="s">
        <v>22</v>
      </c>
      <c r="L200" t="s">
        <v>34</v>
      </c>
      <c r="M200" t="s">
        <v>35</v>
      </c>
      <c r="N200" t="s">
        <v>36</v>
      </c>
      <c r="O200" t="s">
        <v>26</v>
      </c>
      <c r="P200" t="s">
        <v>27</v>
      </c>
      <c r="Q200" t="s">
        <v>493</v>
      </c>
      <c r="R200">
        <v>44797.02</v>
      </c>
      <c r="S200">
        <v>8</v>
      </c>
      <c r="T200">
        <v>0</v>
      </c>
      <c r="U200" t="str">
        <f>IF(Retail_data[[#This Row],[Sales]]&gt;30000,"High",IF(Retail_data[[#This Row],[Sales]]&gt;10000,"Medium","Low"))</f>
        <v>High</v>
      </c>
      <c r="V200" s="3">
        <f>Retail_data[[#This Row],[Profit]]/Retail_data[[#This Row],[Sales]]</f>
        <v>0.26815355128533103</v>
      </c>
      <c r="W200">
        <v>12012.48</v>
      </c>
      <c r="X200" t="s">
        <v>29</v>
      </c>
    </row>
    <row r="201" spans="1:24" ht="13.8" x14ac:dyDescent="0.25">
      <c r="A201" t="s">
        <v>771</v>
      </c>
      <c r="B201">
        <f>YEAR(Retail_data[[#This Row],[Order Date]])</f>
        <v>2026</v>
      </c>
      <c r="C201" t="str">
        <f>TEXT(Retail_data[[#This Row],[Order Date]],"mmmm")</f>
        <v>April</v>
      </c>
      <c r="D201">
        <f>MONTH(Retail_data[[#This Row],[Order Date]])</f>
        <v>4</v>
      </c>
      <c r="E201" t="str">
        <f>"Q"&amp;ROUNDUP(MONTH(Retail_data[[#This Row],[Order Date]])/3,0)</f>
        <v>Q2</v>
      </c>
      <c r="F201" s="1">
        <v>46121</v>
      </c>
      <c r="G201" s="1">
        <v>46125</v>
      </c>
      <c r="H201" t="s">
        <v>772</v>
      </c>
      <c r="I201" t="s">
        <v>773</v>
      </c>
      <c r="J201" t="s">
        <v>44</v>
      </c>
      <c r="K201" t="s">
        <v>22</v>
      </c>
      <c r="L201" t="s">
        <v>34</v>
      </c>
      <c r="M201" t="s">
        <v>35</v>
      </c>
      <c r="N201" t="s">
        <v>36</v>
      </c>
      <c r="O201" t="s">
        <v>57</v>
      </c>
      <c r="P201" t="s">
        <v>149</v>
      </c>
      <c r="Q201" t="s">
        <v>774</v>
      </c>
      <c r="R201">
        <v>44779.040000000001</v>
      </c>
      <c r="S201">
        <v>4</v>
      </c>
      <c r="T201">
        <v>0.3</v>
      </c>
      <c r="U201" t="str">
        <f>IF(Retail_data[[#This Row],[Sales]]&gt;30000,"High",IF(Retail_data[[#This Row],[Sales]]&gt;10000,"Medium","Low"))</f>
        <v>High</v>
      </c>
      <c r="V201" s="3">
        <f>Retail_data[[#This Row],[Profit]]/Retail_data[[#This Row],[Sales]]</f>
        <v>8.6520389896701674E-2</v>
      </c>
      <c r="W201">
        <v>3874.3</v>
      </c>
      <c r="X201" t="s">
        <v>48</v>
      </c>
    </row>
    <row r="202" spans="1:24" ht="13.8" x14ac:dyDescent="0.25">
      <c r="A202" t="s">
        <v>775</v>
      </c>
      <c r="B202">
        <f>YEAR(Retail_data[[#This Row],[Order Date]])</f>
        <v>2026</v>
      </c>
      <c r="C202" t="str">
        <f>TEXT(Retail_data[[#This Row],[Order Date]],"mmmm")</f>
        <v>April</v>
      </c>
      <c r="D202">
        <f>MONTH(Retail_data[[#This Row],[Order Date]])</f>
        <v>4</v>
      </c>
      <c r="E202" t="str">
        <f>"Q"&amp;ROUNDUP(MONTH(Retail_data[[#This Row],[Order Date]])/3,0)</f>
        <v>Q2</v>
      </c>
      <c r="F202" s="1">
        <v>46122</v>
      </c>
      <c r="G202" s="1">
        <v>46126</v>
      </c>
      <c r="H202" t="s">
        <v>776</v>
      </c>
      <c r="I202" t="s">
        <v>777</v>
      </c>
      <c r="J202" t="s">
        <v>33</v>
      </c>
      <c r="K202" t="s">
        <v>22</v>
      </c>
      <c r="L202" t="s">
        <v>45</v>
      </c>
      <c r="M202" t="s">
        <v>45</v>
      </c>
      <c r="N202" t="s">
        <v>25</v>
      </c>
      <c r="O202" t="s">
        <v>26</v>
      </c>
      <c r="P202" t="s">
        <v>70</v>
      </c>
      <c r="Q202" t="s">
        <v>778</v>
      </c>
      <c r="R202">
        <v>16574.5</v>
      </c>
      <c r="S202">
        <v>5</v>
      </c>
      <c r="T202">
        <v>0.3</v>
      </c>
      <c r="U202" t="str">
        <f>IF(Retail_data[[#This Row],[Sales]]&gt;30000,"High",IF(Retail_data[[#This Row],[Sales]]&gt;10000,"Medium","Low"))</f>
        <v>Medium</v>
      </c>
      <c r="V202" s="3">
        <f>Retail_data[[#This Row],[Profit]]/Retail_data[[#This Row],[Sales]]</f>
        <v>9.1478475972125856E-2</v>
      </c>
      <c r="W202">
        <v>1516.21</v>
      </c>
      <c r="X202" t="s">
        <v>81</v>
      </c>
    </row>
    <row r="203" spans="1:24" ht="13.8" x14ac:dyDescent="0.25">
      <c r="A203" t="s">
        <v>779</v>
      </c>
      <c r="B203">
        <f>YEAR(Retail_data[[#This Row],[Order Date]])</f>
        <v>2026</v>
      </c>
      <c r="C203" t="str">
        <f>TEXT(Retail_data[[#This Row],[Order Date]],"mmmm")</f>
        <v>April</v>
      </c>
      <c r="D203">
        <f>MONTH(Retail_data[[#This Row],[Order Date]])</f>
        <v>4</v>
      </c>
      <c r="E203" t="str">
        <f>"Q"&amp;ROUNDUP(MONTH(Retail_data[[#This Row],[Order Date]])/3,0)</f>
        <v>Q2</v>
      </c>
      <c r="F203" s="1">
        <v>46123</v>
      </c>
      <c r="G203" s="1">
        <v>46127</v>
      </c>
      <c r="H203" t="s">
        <v>780</v>
      </c>
      <c r="I203" t="s">
        <v>781</v>
      </c>
      <c r="J203" t="s">
        <v>33</v>
      </c>
      <c r="K203" t="s">
        <v>22</v>
      </c>
      <c r="L203" t="s">
        <v>34</v>
      </c>
      <c r="M203" t="s">
        <v>35</v>
      </c>
      <c r="N203" t="s">
        <v>36</v>
      </c>
      <c r="O203" t="s">
        <v>26</v>
      </c>
      <c r="P203" t="s">
        <v>92</v>
      </c>
      <c r="Q203" t="s">
        <v>296</v>
      </c>
      <c r="R203">
        <v>6776.15</v>
      </c>
      <c r="S203">
        <v>5</v>
      </c>
      <c r="T203">
        <v>0.3</v>
      </c>
      <c r="U203" t="str">
        <f>IF(Retail_data[[#This Row],[Sales]]&gt;30000,"High",IF(Retail_data[[#This Row],[Sales]]&gt;10000,"Medium","Low"))</f>
        <v>Low</v>
      </c>
      <c r="V203" s="3">
        <f>Retail_data[[#This Row],[Profit]]/Retail_data[[#This Row],[Sales]]</f>
        <v>2.6672963260848715E-2</v>
      </c>
      <c r="W203">
        <v>180.74</v>
      </c>
      <c r="X203" t="s">
        <v>40</v>
      </c>
    </row>
    <row r="204" spans="1:24" ht="13.8" x14ac:dyDescent="0.25">
      <c r="A204" t="s">
        <v>782</v>
      </c>
      <c r="B204">
        <f>YEAR(Retail_data[[#This Row],[Order Date]])</f>
        <v>2026</v>
      </c>
      <c r="C204" t="str">
        <f>TEXT(Retail_data[[#This Row],[Order Date]],"mmmm")</f>
        <v>April</v>
      </c>
      <c r="D204">
        <f>MONTH(Retail_data[[#This Row],[Order Date]])</f>
        <v>4</v>
      </c>
      <c r="E204" t="str">
        <f>"Q"&amp;ROUNDUP(MONTH(Retail_data[[#This Row],[Order Date]])/3,0)</f>
        <v>Q2</v>
      </c>
      <c r="F204" s="1">
        <v>46124</v>
      </c>
      <c r="G204" s="1">
        <v>46128</v>
      </c>
      <c r="H204" t="s">
        <v>783</v>
      </c>
      <c r="I204" t="s">
        <v>784</v>
      </c>
      <c r="J204" t="s">
        <v>33</v>
      </c>
      <c r="K204" t="s">
        <v>22</v>
      </c>
      <c r="L204" t="s">
        <v>23</v>
      </c>
      <c r="M204" t="s">
        <v>24</v>
      </c>
      <c r="N204" t="s">
        <v>25</v>
      </c>
      <c r="O204" t="s">
        <v>57</v>
      </c>
      <c r="P204" t="s">
        <v>149</v>
      </c>
      <c r="Q204" t="s">
        <v>157</v>
      </c>
      <c r="R204">
        <v>42676.47</v>
      </c>
      <c r="S204">
        <v>4</v>
      </c>
      <c r="T204">
        <v>0</v>
      </c>
      <c r="U204" t="str">
        <f>IF(Retail_data[[#This Row],[Sales]]&gt;30000,"High",IF(Retail_data[[#This Row],[Sales]]&gt;10000,"Medium","Low"))</f>
        <v>High</v>
      </c>
      <c r="V204" s="3">
        <f>Retail_data[[#This Row],[Profit]]/Retail_data[[#This Row],[Sales]]</f>
        <v>0.24859413161397839</v>
      </c>
      <c r="W204">
        <v>10609.12</v>
      </c>
      <c r="X204" t="s">
        <v>81</v>
      </c>
    </row>
    <row r="205" spans="1:24" ht="13.8" x14ac:dyDescent="0.25">
      <c r="A205" t="s">
        <v>785</v>
      </c>
      <c r="B205">
        <f>YEAR(Retail_data[[#This Row],[Order Date]])</f>
        <v>2026</v>
      </c>
      <c r="C205" t="str">
        <f>TEXT(Retail_data[[#This Row],[Order Date]],"mmmm")</f>
        <v>April</v>
      </c>
      <c r="D205">
        <f>MONTH(Retail_data[[#This Row],[Order Date]])</f>
        <v>4</v>
      </c>
      <c r="E205" t="str">
        <f>"Q"&amp;ROUNDUP(MONTH(Retail_data[[#This Row],[Order Date]])/3,0)</f>
        <v>Q2</v>
      </c>
      <c r="F205" s="1">
        <v>46125</v>
      </c>
      <c r="G205" s="1">
        <v>46129</v>
      </c>
      <c r="H205" t="s">
        <v>786</v>
      </c>
      <c r="I205" t="s">
        <v>787</v>
      </c>
      <c r="J205" t="s">
        <v>33</v>
      </c>
      <c r="K205" t="s">
        <v>22</v>
      </c>
      <c r="L205" t="s">
        <v>67</v>
      </c>
      <c r="M205" t="s">
        <v>68</v>
      </c>
      <c r="N205" t="s">
        <v>69</v>
      </c>
      <c r="O205" t="s">
        <v>57</v>
      </c>
      <c r="P205" t="s">
        <v>58</v>
      </c>
      <c r="Q205" t="s">
        <v>549</v>
      </c>
      <c r="R205">
        <v>7788.32</v>
      </c>
      <c r="S205">
        <v>7</v>
      </c>
      <c r="T205">
        <v>0.3</v>
      </c>
      <c r="U205" t="str">
        <f>IF(Retail_data[[#This Row],[Sales]]&gt;30000,"High",IF(Retail_data[[#This Row],[Sales]]&gt;10000,"Medium","Low"))</f>
        <v>Low</v>
      </c>
      <c r="V205" s="3">
        <f>Retail_data[[#This Row],[Profit]]/Retail_data[[#This Row],[Sales]]</f>
        <v>0.10179345481438873</v>
      </c>
      <c r="W205">
        <v>792.8</v>
      </c>
      <c r="X205" t="s">
        <v>40</v>
      </c>
    </row>
    <row r="206" spans="1:24" ht="13.8" x14ac:dyDescent="0.25">
      <c r="A206" t="s">
        <v>788</v>
      </c>
      <c r="B206">
        <f>YEAR(Retail_data[[#This Row],[Order Date]])</f>
        <v>2026</v>
      </c>
      <c r="C206" t="str">
        <f>TEXT(Retail_data[[#This Row],[Order Date]],"mmmm")</f>
        <v>April</v>
      </c>
      <c r="D206">
        <f>MONTH(Retail_data[[#This Row],[Order Date]])</f>
        <v>4</v>
      </c>
      <c r="E206" t="str">
        <f>"Q"&amp;ROUNDUP(MONTH(Retail_data[[#This Row],[Order Date]])/3,0)</f>
        <v>Q2</v>
      </c>
      <c r="F206" s="1">
        <v>46126</v>
      </c>
      <c r="G206" s="1">
        <v>46130</v>
      </c>
      <c r="H206" t="s">
        <v>789</v>
      </c>
      <c r="I206" t="s">
        <v>790</v>
      </c>
      <c r="J206" t="s">
        <v>33</v>
      </c>
      <c r="K206" t="s">
        <v>22</v>
      </c>
      <c r="L206" t="s">
        <v>67</v>
      </c>
      <c r="M206" t="s">
        <v>68</v>
      </c>
      <c r="N206" t="s">
        <v>69</v>
      </c>
      <c r="O206" t="s">
        <v>26</v>
      </c>
      <c r="P206" t="s">
        <v>70</v>
      </c>
      <c r="Q206" t="s">
        <v>507</v>
      </c>
      <c r="R206">
        <v>16817.07</v>
      </c>
      <c r="S206">
        <v>7</v>
      </c>
      <c r="T206">
        <v>0.3</v>
      </c>
      <c r="U206" t="str">
        <f>IF(Retail_data[[#This Row],[Sales]]&gt;30000,"High",IF(Retail_data[[#This Row],[Sales]]&gt;10000,"Medium","Low"))</f>
        <v>Medium</v>
      </c>
      <c r="V206" s="3">
        <f>Retail_data[[#This Row],[Profit]]/Retail_data[[#This Row],[Sales]]</f>
        <v>0.15246889024068996</v>
      </c>
      <c r="W206">
        <v>2564.08</v>
      </c>
      <c r="X206" t="s">
        <v>40</v>
      </c>
    </row>
    <row r="207" spans="1:24" ht="13.8" x14ac:dyDescent="0.25">
      <c r="A207" t="s">
        <v>791</v>
      </c>
      <c r="B207">
        <f>YEAR(Retail_data[[#This Row],[Order Date]])</f>
        <v>2026</v>
      </c>
      <c r="C207" t="str">
        <f>TEXT(Retail_data[[#This Row],[Order Date]],"mmmm")</f>
        <v>April</v>
      </c>
      <c r="D207">
        <f>MONTH(Retail_data[[#This Row],[Order Date]])</f>
        <v>4</v>
      </c>
      <c r="E207" t="str">
        <f>"Q"&amp;ROUNDUP(MONTH(Retail_data[[#This Row],[Order Date]])/3,0)</f>
        <v>Q2</v>
      </c>
      <c r="F207" s="1">
        <v>46127</v>
      </c>
      <c r="G207" s="1">
        <v>46131</v>
      </c>
      <c r="H207" t="s">
        <v>792</v>
      </c>
      <c r="I207" t="s">
        <v>793</v>
      </c>
      <c r="J207" t="s">
        <v>44</v>
      </c>
      <c r="K207" t="s">
        <v>22</v>
      </c>
      <c r="L207" t="s">
        <v>85</v>
      </c>
      <c r="M207" t="s">
        <v>86</v>
      </c>
      <c r="N207" t="s">
        <v>87</v>
      </c>
      <c r="O207" t="s">
        <v>37</v>
      </c>
      <c r="P207" t="s">
        <v>46</v>
      </c>
      <c r="Q207" t="s">
        <v>794</v>
      </c>
      <c r="R207">
        <v>48254.55</v>
      </c>
      <c r="S207">
        <v>4</v>
      </c>
      <c r="T207">
        <v>0</v>
      </c>
      <c r="U207" t="str">
        <f>IF(Retail_data[[#This Row],[Sales]]&gt;30000,"High",IF(Retail_data[[#This Row],[Sales]]&gt;10000,"Medium","Low"))</f>
        <v>High</v>
      </c>
      <c r="V207" s="3">
        <f>Retail_data[[#This Row],[Profit]]/Retail_data[[#This Row],[Sales]]</f>
        <v>0.28785575660740798</v>
      </c>
      <c r="W207">
        <v>13890.35</v>
      </c>
      <c r="X207" t="s">
        <v>81</v>
      </c>
    </row>
    <row r="208" spans="1:24" ht="13.8" x14ac:dyDescent="0.25">
      <c r="A208" t="s">
        <v>795</v>
      </c>
      <c r="B208">
        <f>YEAR(Retail_data[[#This Row],[Order Date]])</f>
        <v>2026</v>
      </c>
      <c r="C208" t="str">
        <f>TEXT(Retail_data[[#This Row],[Order Date]],"mmmm")</f>
        <v>April</v>
      </c>
      <c r="D208">
        <f>MONTH(Retail_data[[#This Row],[Order Date]])</f>
        <v>4</v>
      </c>
      <c r="E208" t="str">
        <f>"Q"&amp;ROUNDUP(MONTH(Retail_data[[#This Row],[Order Date]])/3,0)</f>
        <v>Q2</v>
      </c>
      <c r="F208" s="1">
        <v>46128</v>
      </c>
      <c r="G208" s="1">
        <v>46132</v>
      </c>
      <c r="H208" t="s">
        <v>796</v>
      </c>
      <c r="I208" t="s">
        <v>797</v>
      </c>
      <c r="J208" t="s">
        <v>21</v>
      </c>
      <c r="K208" t="s">
        <v>22</v>
      </c>
      <c r="L208" t="s">
        <v>34</v>
      </c>
      <c r="M208" t="s">
        <v>35</v>
      </c>
      <c r="N208" t="s">
        <v>36</v>
      </c>
      <c r="O208" t="s">
        <v>26</v>
      </c>
      <c r="P208" t="s">
        <v>27</v>
      </c>
      <c r="Q208" t="s">
        <v>214</v>
      </c>
      <c r="R208">
        <v>15668.27</v>
      </c>
      <c r="S208">
        <v>2</v>
      </c>
      <c r="T208">
        <v>0</v>
      </c>
      <c r="U208" t="str">
        <f>IF(Retail_data[[#This Row],[Sales]]&gt;30000,"High",IF(Retail_data[[#This Row],[Sales]]&gt;10000,"Medium","Low"))</f>
        <v>Medium</v>
      </c>
      <c r="V208" s="3">
        <f>Retail_data[[#This Row],[Profit]]/Retail_data[[#This Row],[Sales]]</f>
        <v>8.911704993595336E-2</v>
      </c>
      <c r="W208">
        <v>1396.31</v>
      </c>
      <c r="X208" t="s">
        <v>48</v>
      </c>
    </row>
    <row r="209" spans="1:24" ht="13.8" x14ac:dyDescent="0.25">
      <c r="A209" t="s">
        <v>798</v>
      </c>
      <c r="B209">
        <f>YEAR(Retail_data[[#This Row],[Order Date]])</f>
        <v>2026</v>
      </c>
      <c r="C209" t="str">
        <f>TEXT(Retail_data[[#This Row],[Order Date]],"mmmm")</f>
        <v>April</v>
      </c>
      <c r="D209">
        <f>MONTH(Retail_data[[#This Row],[Order Date]])</f>
        <v>4</v>
      </c>
      <c r="E209" t="str">
        <f>"Q"&amp;ROUNDUP(MONTH(Retail_data[[#This Row],[Order Date]])/3,0)</f>
        <v>Q2</v>
      </c>
      <c r="F209" s="1">
        <v>46129</v>
      </c>
      <c r="G209" s="1">
        <v>46133</v>
      </c>
      <c r="H209" t="s">
        <v>799</v>
      </c>
      <c r="I209" t="s">
        <v>800</v>
      </c>
      <c r="J209" t="s">
        <v>21</v>
      </c>
      <c r="K209" t="s">
        <v>22</v>
      </c>
      <c r="L209" t="s">
        <v>23</v>
      </c>
      <c r="M209" t="s">
        <v>24</v>
      </c>
      <c r="N209" t="s">
        <v>25</v>
      </c>
      <c r="O209" t="s">
        <v>57</v>
      </c>
      <c r="P209" t="s">
        <v>79</v>
      </c>
      <c r="Q209" t="s">
        <v>534</v>
      </c>
      <c r="R209">
        <v>6324.04</v>
      </c>
      <c r="S209">
        <v>1</v>
      </c>
      <c r="T209">
        <v>0.3</v>
      </c>
      <c r="U209" t="str">
        <f>IF(Retail_data[[#This Row],[Sales]]&gt;30000,"High",IF(Retail_data[[#This Row],[Sales]]&gt;10000,"Medium","Low"))</f>
        <v>Low</v>
      </c>
      <c r="V209" s="3">
        <f>Retail_data[[#This Row],[Profit]]/Retail_data[[#This Row],[Sales]]</f>
        <v>0.12923542545587946</v>
      </c>
      <c r="W209">
        <v>817.29</v>
      </c>
      <c r="X209" t="s">
        <v>40</v>
      </c>
    </row>
    <row r="210" spans="1:24" ht="13.8" x14ac:dyDescent="0.25">
      <c r="A210" t="s">
        <v>801</v>
      </c>
      <c r="B210">
        <f>YEAR(Retail_data[[#This Row],[Order Date]])</f>
        <v>2026</v>
      </c>
      <c r="C210" t="str">
        <f>TEXT(Retail_data[[#This Row],[Order Date]],"mmmm")</f>
        <v>April</v>
      </c>
      <c r="D210">
        <f>MONTH(Retail_data[[#This Row],[Order Date]])</f>
        <v>4</v>
      </c>
      <c r="E210" t="str">
        <f>"Q"&amp;ROUNDUP(MONTH(Retail_data[[#This Row],[Order Date]])/3,0)</f>
        <v>Q2</v>
      </c>
      <c r="F210" s="1">
        <v>46130</v>
      </c>
      <c r="G210" s="1">
        <v>46134</v>
      </c>
      <c r="H210" t="s">
        <v>802</v>
      </c>
      <c r="I210" t="s">
        <v>803</v>
      </c>
      <c r="J210" t="s">
        <v>21</v>
      </c>
      <c r="K210" t="s">
        <v>22</v>
      </c>
      <c r="L210" t="s">
        <v>34</v>
      </c>
      <c r="M210" t="s">
        <v>35</v>
      </c>
      <c r="N210" t="s">
        <v>36</v>
      </c>
      <c r="O210" t="s">
        <v>37</v>
      </c>
      <c r="P210" t="s">
        <v>52</v>
      </c>
      <c r="Q210" t="s">
        <v>184</v>
      </c>
      <c r="R210">
        <v>11477.57</v>
      </c>
      <c r="S210">
        <v>2</v>
      </c>
      <c r="T210">
        <v>0</v>
      </c>
      <c r="U210" t="str">
        <f>IF(Retail_data[[#This Row],[Sales]]&gt;30000,"High",IF(Retail_data[[#This Row],[Sales]]&gt;10000,"Medium","Low"))</f>
        <v>Medium</v>
      </c>
      <c r="V210" s="3">
        <f>Retail_data[[#This Row],[Profit]]/Retail_data[[#This Row],[Sales]]</f>
        <v>0.22824430606827056</v>
      </c>
      <c r="W210">
        <v>2619.69</v>
      </c>
      <c r="X210" t="s">
        <v>48</v>
      </c>
    </row>
    <row r="211" spans="1:24" ht="13.8" x14ac:dyDescent="0.25">
      <c r="A211" t="s">
        <v>804</v>
      </c>
      <c r="B211">
        <f>YEAR(Retail_data[[#This Row],[Order Date]])</f>
        <v>2026</v>
      </c>
      <c r="C211" t="str">
        <f>TEXT(Retail_data[[#This Row],[Order Date]],"mmmm")</f>
        <v>April</v>
      </c>
      <c r="D211">
        <f>MONTH(Retail_data[[#This Row],[Order Date]])</f>
        <v>4</v>
      </c>
      <c r="E211" t="str">
        <f>"Q"&amp;ROUNDUP(MONTH(Retail_data[[#This Row],[Order Date]])/3,0)</f>
        <v>Q2</v>
      </c>
      <c r="F211" s="1">
        <v>46131</v>
      </c>
      <c r="G211" s="1">
        <v>46135</v>
      </c>
      <c r="H211" t="s">
        <v>805</v>
      </c>
      <c r="I211" t="s">
        <v>806</v>
      </c>
      <c r="J211" t="s">
        <v>44</v>
      </c>
      <c r="K211" t="s">
        <v>22</v>
      </c>
      <c r="L211" t="s">
        <v>23</v>
      </c>
      <c r="M211" t="s">
        <v>24</v>
      </c>
      <c r="N211" t="s">
        <v>25</v>
      </c>
      <c r="O211" t="s">
        <v>26</v>
      </c>
      <c r="P211" t="s">
        <v>92</v>
      </c>
      <c r="Q211" t="s">
        <v>807</v>
      </c>
      <c r="R211">
        <v>633.74</v>
      </c>
      <c r="S211">
        <v>3</v>
      </c>
      <c r="T211">
        <v>0.2</v>
      </c>
      <c r="U211" t="str">
        <f>IF(Retail_data[[#This Row],[Sales]]&gt;30000,"High",IF(Retail_data[[#This Row],[Sales]]&gt;10000,"Medium","Low"))</f>
        <v>Low</v>
      </c>
      <c r="V211" s="3">
        <f>Retail_data[[#This Row],[Profit]]/Retail_data[[#This Row],[Sales]]</f>
        <v>6.4206141319784138E-2</v>
      </c>
      <c r="W211">
        <v>40.69</v>
      </c>
      <c r="X211" t="s">
        <v>48</v>
      </c>
    </row>
    <row r="212" spans="1:24" ht="13.8" x14ac:dyDescent="0.25">
      <c r="A212" t="s">
        <v>808</v>
      </c>
      <c r="B212">
        <f>YEAR(Retail_data[[#This Row],[Order Date]])</f>
        <v>2026</v>
      </c>
      <c r="C212" t="str">
        <f>TEXT(Retail_data[[#This Row],[Order Date]],"mmmm")</f>
        <v>April</v>
      </c>
      <c r="D212">
        <f>MONTH(Retail_data[[#This Row],[Order Date]])</f>
        <v>4</v>
      </c>
      <c r="E212" t="str">
        <f>"Q"&amp;ROUNDUP(MONTH(Retail_data[[#This Row],[Order Date]])/3,0)</f>
        <v>Q2</v>
      </c>
      <c r="F212" s="1">
        <v>46132</v>
      </c>
      <c r="G212" s="1">
        <v>46136</v>
      </c>
      <c r="H212" t="s">
        <v>809</v>
      </c>
      <c r="I212" t="s">
        <v>810</v>
      </c>
      <c r="J212" t="s">
        <v>44</v>
      </c>
      <c r="K212" t="s">
        <v>22</v>
      </c>
      <c r="L212" t="s">
        <v>45</v>
      </c>
      <c r="M212" t="s">
        <v>45</v>
      </c>
      <c r="N212" t="s">
        <v>25</v>
      </c>
      <c r="O212" t="s">
        <v>57</v>
      </c>
      <c r="P212" t="s">
        <v>58</v>
      </c>
      <c r="Q212" t="s">
        <v>59</v>
      </c>
      <c r="R212">
        <v>23971.64</v>
      </c>
      <c r="S212">
        <v>8</v>
      </c>
      <c r="T212">
        <v>0</v>
      </c>
      <c r="U212" t="str">
        <f>IF(Retail_data[[#This Row],[Sales]]&gt;30000,"High",IF(Retail_data[[#This Row],[Sales]]&gt;10000,"Medium","Low"))</f>
        <v>Medium</v>
      </c>
      <c r="V212" s="3">
        <f>Retail_data[[#This Row],[Profit]]/Retail_data[[#This Row],[Sales]]</f>
        <v>0.25616478472061149</v>
      </c>
      <c r="W212">
        <v>6140.69</v>
      </c>
      <c r="X212" t="s">
        <v>48</v>
      </c>
    </row>
    <row r="213" spans="1:24" ht="13.8" x14ac:dyDescent="0.25">
      <c r="A213" t="s">
        <v>811</v>
      </c>
      <c r="B213">
        <f>YEAR(Retail_data[[#This Row],[Order Date]])</f>
        <v>2026</v>
      </c>
      <c r="C213" t="str">
        <f>TEXT(Retail_data[[#This Row],[Order Date]],"mmmm")</f>
        <v>April</v>
      </c>
      <c r="D213">
        <f>MONTH(Retail_data[[#This Row],[Order Date]])</f>
        <v>4</v>
      </c>
      <c r="E213" t="str">
        <f>"Q"&amp;ROUNDUP(MONTH(Retail_data[[#This Row],[Order Date]])/3,0)</f>
        <v>Q2</v>
      </c>
      <c r="F213" s="1">
        <v>46133</v>
      </c>
      <c r="G213" s="1">
        <v>46137</v>
      </c>
      <c r="H213" t="s">
        <v>812</v>
      </c>
      <c r="I213" t="s">
        <v>813</v>
      </c>
      <c r="J213" t="s">
        <v>33</v>
      </c>
      <c r="K213" t="s">
        <v>22</v>
      </c>
      <c r="L213" t="s">
        <v>34</v>
      </c>
      <c r="M213" t="s">
        <v>35</v>
      </c>
      <c r="N213" t="s">
        <v>36</v>
      </c>
      <c r="O213" t="s">
        <v>57</v>
      </c>
      <c r="P213" t="s">
        <v>58</v>
      </c>
      <c r="Q213" t="s">
        <v>814</v>
      </c>
      <c r="R213">
        <v>40863.129999999997</v>
      </c>
      <c r="S213">
        <v>8</v>
      </c>
      <c r="T213">
        <v>0</v>
      </c>
      <c r="U213" t="str">
        <f>IF(Retail_data[[#This Row],[Sales]]&gt;30000,"High",IF(Retail_data[[#This Row],[Sales]]&gt;10000,"Medium","Low"))</f>
        <v>High</v>
      </c>
      <c r="V213" s="3">
        <f>Retail_data[[#This Row],[Profit]]/Retail_data[[#This Row],[Sales]]</f>
        <v>0.18165642230538875</v>
      </c>
      <c r="W213">
        <v>7423.05</v>
      </c>
      <c r="X213" t="s">
        <v>29</v>
      </c>
    </row>
    <row r="214" spans="1:24" ht="13.8" x14ac:dyDescent="0.25">
      <c r="A214" t="s">
        <v>815</v>
      </c>
      <c r="B214">
        <f>YEAR(Retail_data[[#This Row],[Order Date]])</f>
        <v>2026</v>
      </c>
      <c r="C214" t="str">
        <f>TEXT(Retail_data[[#This Row],[Order Date]],"mmmm")</f>
        <v>April</v>
      </c>
      <c r="D214">
        <f>MONTH(Retail_data[[#This Row],[Order Date]])</f>
        <v>4</v>
      </c>
      <c r="E214" t="str">
        <f>"Q"&amp;ROUNDUP(MONTH(Retail_data[[#This Row],[Order Date]])/3,0)</f>
        <v>Q2</v>
      </c>
      <c r="F214" s="1">
        <v>46134</v>
      </c>
      <c r="G214" s="1">
        <v>46138</v>
      </c>
      <c r="H214" t="s">
        <v>816</v>
      </c>
      <c r="I214" t="s">
        <v>817</v>
      </c>
      <c r="J214" t="s">
        <v>21</v>
      </c>
      <c r="K214" t="s">
        <v>22</v>
      </c>
      <c r="L214" t="s">
        <v>85</v>
      </c>
      <c r="M214" t="s">
        <v>86</v>
      </c>
      <c r="N214" t="s">
        <v>87</v>
      </c>
      <c r="O214" t="s">
        <v>37</v>
      </c>
      <c r="P214" t="s">
        <v>46</v>
      </c>
      <c r="Q214" t="s">
        <v>320</v>
      </c>
      <c r="R214">
        <v>41356.07</v>
      </c>
      <c r="S214">
        <v>4</v>
      </c>
      <c r="T214">
        <v>0.3</v>
      </c>
      <c r="U214" t="str">
        <f>IF(Retail_data[[#This Row],[Sales]]&gt;30000,"High",IF(Retail_data[[#This Row],[Sales]]&gt;10000,"Medium","Low"))</f>
        <v>High</v>
      </c>
      <c r="V214" s="3">
        <f>Retail_data[[#This Row],[Profit]]/Retail_data[[#This Row],[Sales]]</f>
        <v>0.15303726877336266</v>
      </c>
      <c r="W214">
        <v>6329.02</v>
      </c>
      <c r="X214" t="s">
        <v>40</v>
      </c>
    </row>
    <row r="215" spans="1:24" ht="13.8" x14ac:dyDescent="0.25">
      <c r="A215" t="s">
        <v>818</v>
      </c>
      <c r="B215">
        <f>YEAR(Retail_data[[#This Row],[Order Date]])</f>
        <v>2026</v>
      </c>
      <c r="C215" t="str">
        <f>TEXT(Retail_data[[#This Row],[Order Date]],"mmmm")</f>
        <v>April</v>
      </c>
      <c r="D215">
        <f>MONTH(Retail_data[[#This Row],[Order Date]])</f>
        <v>4</v>
      </c>
      <c r="E215" t="str">
        <f>"Q"&amp;ROUNDUP(MONTH(Retail_data[[#This Row],[Order Date]])/3,0)</f>
        <v>Q2</v>
      </c>
      <c r="F215" s="1">
        <v>46135</v>
      </c>
      <c r="G215" s="1">
        <v>46139</v>
      </c>
      <c r="H215" t="s">
        <v>819</v>
      </c>
      <c r="I215" t="s">
        <v>820</v>
      </c>
      <c r="J215" t="s">
        <v>21</v>
      </c>
      <c r="K215" t="s">
        <v>22</v>
      </c>
      <c r="L215" t="s">
        <v>34</v>
      </c>
      <c r="M215" t="s">
        <v>35</v>
      </c>
      <c r="N215" t="s">
        <v>36</v>
      </c>
      <c r="O215" t="s">
        <v>57</v>
      </c>
      <c r="P215" t="s">
        <v>58</v>
      </c>
      <c r="Q215" t="s">
        <v>309</v>
      </c>
      <c r="R215">
        <v>13462.96</v>
      </c>
      <c r="S215">
        <v>4</v>
      </c>
      <c r="T215">
        <v>0.3</v>
      </c>
      <c r="U215" t="str">
        <f>IF(Retail_data[[#This Row],[Sales]]&gt;30000,"High",IF(Retail_data[[#This Row],[Sales]]&gt;10000,"Medium","Low"))</f>
        <v>Medium</v>
      </c>
      <c r="V215" s="3">
        <f>Retail_data[[#This Row],[Profit]]/Retail_data[[#This Row],[Sales]]</f>
        <v>0.17974279058988515</v>
      </c>
      <c r="W215">
        <v>2419.87</v>
      </c>
      <c r="X215" t="s">
        <v>48</v>
      </c>
    </row>
    <row r="216" spans="1:24" ht="13.8" x14ac:dyDescent="0.25">
      <c r="A216" t="s">
        <v>821</v>
      </c>
      <c r="B216">
        <f>YEAR(Retail_data[[#This Row],[Order Date]])</f>
        <v>2026</v>
      </c>
      <c r="C216" t="str">
        <f>TEXT(Retail_data[[#This Row],[Order Date]],"mmmm")</f>
        <v>April</v>
      </c>
      <c r="D216">
        <f>MONTH(Retail_data[[#This Row],[Order Date]])</f>
        <v>4</v>
      </c>
      <c r="E216" t="str">
        <f>"Q"&amp;ROUNDUP(MONTH(Retail_data[[#This Row],[Order Date]])/3,0)</f>
        <v>Q2</v>
      </c>
      <c r="F216" s="1">
        <v>46136</v>
      </c>
      <c r="G216" s="1">
        <v>46140</v>
      </c>
      <c r="H216" t="s">
        <v>822</v>
      </c>
      <c r="I216" t="s">
        <v>823</v>
      </c>
      <c r="J216" t="s">
        <v>33</v>
      </c>
      <c r="K216" t="s">
        <v>22</v>
      </c>
      <c r="L216" t="s">
        <v>85</v>
      </c>
      <c r="M216" t="s">
        <v>86</v>
      </c>
      <c r="N216" t="s">
        <v>87</v>
      </c>
      <c r="O216" t="s">
        <v>57</v>
      </c>
      <c r="P216" t="s">
        <v>79</v>
      </c>
      <c r="Q216" t="s">
        <v>824</v>
      </c>
      <c r="R216">
        <v>28459.47</v>
      </c>
      <c r="S216">
        <v>5</v>
      </c>
      <c r="T216">
        <v>0</v>
      </c>
      <c r="U216" t="str">
        <f>IF(Retail_data[[#This Row],[Sales]]&gt;30000,"High",IF(Retail_data[[#This Row],[Sales]]&gt;10000,"Medium","Low"))</f>
        <v>Medium</v>
      </c>
      <c r="V216" s="3">
        <f>Retail_data[[#This Row],[Profit]]/Retail_data[[#This Row],[Sales]]</f>
        <v>0.19025898936276747</v>
      </c>
      <c r="W216">
        <v>5414.67</v>
      </c>
      <c r="X216" t="s">
        <v>81</v>
      </c>
    </row>
    <row r="217" spans="1:24" ht="13.8" x14ac:dyDescent="0.25">
      <c r="A217" t="s">
        <v>825</v>
      </c>
      <c r="B217">
        <f>YEAR(Retail_data[[#This Row],[Order Date]])</f>
        <v>2026</v>
      </c>
      <c r="C217" t="str">
        <f>TEXT(Retail_data[[#This Row],[Order Date]],"mmmm")</f>
        <v>April</v>
      </c>
      <c r="D217">
        <f>MONTH(Retail_data[[#This Row],[Order Date]])</f>
        <v>4</v>
      </c>
      <c r="E217" t="str">
        <f>"Q"&amp;ROUNDUP(MONTH(Retail_data[[#This Row],[Order Date]])/3,0)</f>
        <v>Q2</v>
      </c>
      <c r="F217" s="1">
        <v>46137</v>
      </c>
      <c r="G217" s="1">
        <v>46141</v>
      </c>
      <c r="H217" t="s">
        <v>826</v>
      </c>
      <c r="I217" t="s">
        <v>827</v>
      </c>
      <c r="J217" t="s">
        <v>21</v>
      </c>
      <c r="K217" t="s">
        <v>22</v>
      </c>
      <c r="L217" t="s">
        <v>85</v>
      </c>
      <c r="M217" t="s">
        <v>86</v>
      </c>
      <c r="N217" t="s">
        <v>87</v>
      </c>
      <c r="O217" t="s">
        <v>26</v>
      </c>
      <c r="P217" t="s">
        <v>27</v>
      </c>
      <c r="Q217" t="s">
        <v>660</v>
      </c>
      <c r="R217">
        <v>2749.87</v>
      </c>
      <c r="S217">
        <v>6</v>
      </c>
      <c r="T217">
        <v>0.1</v>
      </c>
      <c r="U217" t="str">
        <f>IF(Retail_data[[#This Row],[Sales]]&gt;30000,"High",IF(Retail_data[[#This Row],[Sales]]&gt;10000,"Medium","Low"))</f>
        <v>Low</v>
      </c>
      <c r="V217" s="3">
        <f>Retail_data[[#This Row],[Profit]]/Retail_data[[#This Row],[Sales]]</f>
        <v>0.22917447006585767</v>
      </c>
      <c r="W217">
        <v>630.20000000000005</v>
      </c>
      <c r="X217" t="s">
        <v>29</v>
      </c>
    </row>
    <row r="218" spans="1:24" ht="13.8" x14ac:dyDescent="0.25">
      <c r="A218" t="s">
        <v>828</v>
      </c>
      <c r="B218">
        <f>YEAR(Retail_data[[#This Row],[Order Date]])</f>
        <v>2026</v>
      </c>
      <c r="C218" t="str">
        <f>TEXT(Retail_data[[#This Row],[Order Date]],"mmmm")</f>
        <v>April</v>
      </c>
      <c r="D218">
        <f>MONTH(Retail_data[[#This Row],[Order Date]])</f>
        <v>4</v>
      </c>
      <c r="E218" t="str">
        <f>"Q"&amp;ROUNDUP(MONTH(Retail_data[[#This Row],[Order Date]])/3,0)</f>
        <v>Q2</v>
      </c>
      <c r="F218" s="1">
        <v>46138</v>
      </c>
      <c r="G218" s="1">
        <v>46142</v>
      </c>
      <c r="H218" t="s">
        <v>829</v>
      </c>
      <c r="I218" t="s">
        <v>830</v>
      </c>
      <c r="J218" t="s">
        <v>21</v>
      </c>
      <c r="K218" t="s">
        <v>22</v>
      </c>
      <c r="L218" t="s">
        <v>45</v>
      </c>
      <c r="M218" t="s">
        <v>45</v>
      </c>
      <c r="N218" t="s">
        <v>25</v>
      </c>
      <c r="O218" t="s">
        <v>26</v>
      </c>
      <c r="P218" t="s">
        <v>92</v>
      </c>
      <c r="Q218" t="s">
        <v>831</v>
      </c>
      <c r="R218">
        <v>34858.230000000003</v>
      </c>
      <c r="S218">
        <v>8</v>
      </c>
      <c r="T218">
        <v>0.1</v>
      </c>
      <c r="U218" t="str">
        <f>IF(Retail_data[[#This Row],[Sales]]&gt;30000,"High",IF(Retail_data[[#This Row],[Sales]]&gt;10000,"Medium","Low"))</f>
        <v>High</v>
      </c>
      <c r="V218" s="3">
        <f>Retail_data[[#This Row],[Profit]]/Retail_data[[#This Row],[Sales]]</f>
        <v>9.9195512795686988E-2</v>
      </c>
      <c r="W218">
        <v>3457.78</v>
      </c>
      <c r="X218" t="s">
        <v>40</v>
      </c>
    </row>
    <row r="219" spans="1:24" ht="13.8" x14ac:dyDescent="0.25">
      <c r="A219" t="s">
        <v>832</v>
      </c>
      <c r="B219">
        <f>YEAR(Retail_data[[#This Row],[Order Date]])</f>
        <v>2026</v>
      </c>
      <c r="C219" t="str">
        <f>TEXT(Retail_data[[#This Row],[Order Date]],"mmmm")</f>
        <v>April</v>
      </c>
      <c r="D219">
        <f>MONTH(Retail_data[[#This Row],[Order Date]])</f>
        <v>4</v>
      </c>
      <c r="E219" t="str">
        <f>"Q"&amp;ROUNDUP(MONTH(Retail_data[[#This Row],[Order Date]])/3,0)</f>
        <v>Q2</v>
      </c>
      <c r="F219" s="1">
        <v>46139</v>
      </c>
      <c r="G219" s="1">
        <v>46143</v>
      </c>
      <c r="H219" t="s">
        <v>833</v>
      </c>
      <c r="I219" t="s">
        <v>834</v>
      </c>
      <c r="J219" t="s">
        <v>21</v>
      </c>
      <c r="K219" t="s">
        <v>22</v>
      </c>
      <c r="L219" t="s">
        <v>23</v>
      </c>
      <c r="M219" t="s">
        <v>24</v>
      </c>
      <c r="N219" t="s">
        <v>25</v>
      </c>
      <c r="O219" t="s">
        <v>57</v>
      </c>
      <c r="P219" t="s">
        <v>149</v>
      </c>
      <c r="Q219" t="s">
        <v>835</v>
      </c>
      <c r="R219">
        <v>38234.57</v>
      </c>
      <c r="S219">
        <v>6</v>
      </c>
      <c r="T219">
        <v>0.1</v>
      </c>
      <c r="U219" t="str">
        <f>IF(Retail_data[[#This Row],[Sales]]&gt;30000,"High",IF(Retail_data[[#This Row],[Sales]]&gt;10000,"Medium","Low"))</f>
        <v>High</v>
      </c>
      <c r="V219" s="3">
        <f>Retail_data[[#This Row],[Profit]]/Retail_data[[#This Row],[Sales]]</f>
        <v>0.1384888073803367</v>
      </c>
      <c r="W219">
        <v>5295.06</v>
      </c>
      <c r="X219" t="s">
        <v>48</v>
      </c>
    </row>
    <row r="220" spans="1:24" ht="13.8" x14ac:dyDescent="0.25">
      <c r="A220" t="s">
        <v>836</v>
      </c>
      <c r="B220">
        <f>YEAR(Retail_data[[#This Row],[Order Date]])</f>
        <v>2026</v>
      </c>
      <c r="C220" t="str">
        <f>TEXT(Retail_data[[#This Row],[Order Date]],"mmmm")</f>
        <v>April</v>
      </c>
      <c r="D220">
        <f>MONTH(Retail_data[[#This Row],[Order Date]])</f>
        <v>4</v>
      </c>
      <c r="E220" t="str">
        <f>"Q"&amp;ROUNDUP(MONTH(Retail_data[[#This Row],[Order Date]])/3,0)</f>
        <v>Q2</v>
      </c>
      <c r="F220" s="1">
        <v>46140</v>
      </c>
      <c r="G220" s="1">
        <v>46144</v>
      </c>
      <c r="H220" t="s">
        <v>837</v>
      </c>
      <c r="I220" t="s">
        <v>838</v>
      </c>
      <c r="J220" t="s">
        <v>21</v>
      </c>
      <c r="K220" t="s">
        <v>22</v>
      </c>
      <c r="L220" t="s">
        <v>34</v>
      </c>
      <c r="M220" t="s">
        <v>35</v>
      </c>
      <c r="N220" t="s">
        <v>36</v>
      </c>
      <c r="O220" t="s">
        <v>26</v>
      </c>
      <c r="P220" t="s">
        <v>27</v>
      </c>
      <c r="Q220" t="s">
        <v>839</v>
      </c>
      <c r="R220">
        <v>10193.719999999999</v>
      </c>
      <c r="S220">
        <v>1</v>
      </c>
      <c r="T220">
        <v>0.3</v>
      </c>
      <c r="U220" t="str">
        <f>IF(Retail_data[[#This Row],[Sales]]&gt;30000,"High",IF(Retail_data[[#This Row],[Sales]]&gt;10000,"Medium","Low"))</f>
        <v>Medium</v>
      </c>
      <c r="V220" s="3">
        <f>Retail_data[[#This Row],[Profit]]/Retail_data[[#This Row],[Sales]]</f>
        <v>4.6612031721491275E-2</v>
      </c>
      <c r="W220">
        <v>475.15</v>
      </c>
      <c r="X220" t="s">
        <v>48</v>
      </c>
    </row>
    <row r="221" spans="1:24" ht="13.8" x14ac:dyDescent="0.25">
      <c r="A221" t="s">
        <v>840</v>
      </c>
      <c r="B221">
        <f>YEAR(Retail_data[[#This Row],[Order Date]])</f>
        <v>2026</v>
      </c>
      <c r="C221" t="str">
        <f>TEXT(Retail_data[[#This Row],[Order Date]],"mmmm")</f>
        <v>April</v>
      </c>
      <c r="D221">
        <f>MONTH(Retail_data[[#This Row],[Order Date]])</f>
        <v>4</v>
      </c>
      <c r="E221" t="str">
        <f>"Q"&amp;ROUNDUP(MONTH(Retail_data[[#This Row],[Order Date]])/3,0)</f>
        <v>Q2</v>
      </c>
      <c r="F221" s="1">
        <v>46141</v>
      </c>
      <c r="G221" s="1">
        <v>46145</v>
      </c>
      <c r="H221" t="s">
        <v>841</v>
      </c>
      <c r="I221" t="s">
        <v>842</v>
      </c>
      <c r="J221" t="s">
        <v>33</v>
      </c>
      <c r="K221" t="s">
        <v>22</v>
      </c>
      <c r="L221" t="s">
        <v>23</v>
      </c>
      <c r="M221" t="s">
        <v>24</v>
      </c>
      <c r="N221" t="s">
        <v>25</v>
      </c>
      <c r="O221" t="s">
        <v>26</v>
      </c>
      <c r="P221" t="s">
        <v>92</v>
      </c>
      <c r="Q221" t="s">
        <v>246</v>
      </c>
      <c r="R221">
        <v>10402.469999999999</v>
      </c>
      <c r="S221">
        <v>4</v>
      </c>
      <c r="T221">
        <v>0.2</v>
      </c>
      <c r="U221" t="str">
        <f>IF(Retail_data[[#This Row],[Sales]]&gt;30000,"High",IF(Retail_data[[#This Row],[Sales]]&gt;10000,"Medium","Low"))</f>
        <v>Medium</v>
      </c>
      <c r="V221" s="3">
        <f>Retail_data[[#This Row],[Profit]]/Retail_data[[#This Row],[Sales]]</f>
        <v>7.6179022866684556E-2</v>
      </c>
      <c r="W221">
        <v>792.45</v>
      </c>
      <c r="X221" t="s">
        <v>48</v>
      </c>
    </row>
    <row r="222" spans="1:24" ht="13.8" x14ac:dyDescent="0.25">
      <c r="A222" t="s">
        <v>843</v>
      </c>
      <c r="B222">
        <f>YEAR(Retail_data[[#This Row],[Order Date]])</f>
        <v>2026</v>
      </c>
      <c r="C222" t="str">
        <f>TEXT(Retail_data[[#This Row],[Order Date]],"mmmm")</f>
        <v>April</v>
      </c>
      <c r="D222">
        <f>MONTH(Retail_data[[#This Row],[Order Date]])</f>
        <v>4</v>
      </c>
      <c r="E222" t="str">
        <f>"Q"&amp;ROUNDUP(MONTH(Retail_data[[#This Row],[Order Date]])/3,0)</f>
        <v>Q2</v>
      </c>
      <c r="F222" s="1">
        <v>46142</v>
      </c>
      <c r="G222" s="1">
        <v>46146</v>
      </c>
      <c r="H222" t="s">
        <v>844</v>
      </c>
      <c r="I222" t="s">
        <v>845</v>
      </c>
      <c r="J222" t="s">
        <v>33</v>
      </c>
      <c r="K222" t="s">
        <v>22</v>
      </c>
      <c r="L222" t="s">
        <v>45</v>
      </c>
      <c r="M222" t="s">
        <v>45</v>
      </c>
      <c r="N222" t="s">
        <v>25</v>
      </c>
      <c r="O222" t="s">
        <v>26</v>
      </c>
      <c r="P222" t="s">
        <v>70</v>
      </c>
      <c r="Q222" t="s">
        <v>316</v>
      </c>
      <c r="R222">
        <v>11506.8</v>
      </c>
      <c r="S222">
        <v>8</v>
      </c>
      <c r="T222">
        <v>0.2</v>
      </c>
      <c r="U222" t="str">
        <f>IF(Retail_data[[#This Row],[Sales]]&gt;30000,"High",IF(Retail_data[[#This Row],[Sales]]&gt;10000,"Medium","Low"))</f>
        <v>Medium</v>
      </c>
      <c r="V222" s="3">
        <f>Retail_data[[#This Row],[Profit]]/Retail_data[[#This Row],[Sales]]</f>
        <v>0.11254214899016235</v>
      </c>
      <c r="W222">
        <v>1295</v>
      </c>
      <c r="X222" t="s">
        <v>40</v>
      </c>
    </row>
    <row r="223" spans="1:24" ht="13.8" x14ac:dyDescent="0.25">
      <c r="A223" t="s">
        <v>846</v>
      </c>
      <c r="B223">
        <f>YEAR(Retail_data[[#This Row],[Order Date]])</f>
        <v>2026</v>
      </c>
      <c r="C223" t="str">
        <f>TEXT(Retail_data[[#This Row],[Order Date]],"mmmm")</f>
        <v>May</v>
      </c>
      <c r="D223">
        <f>MONTH(Retail_data[[#This Row],[Order Date]])</f>
        <v>5</v>
      </c>
      <c r="E223" t="str">
        <f>"Q"&amp;ROUNDUP(MONTH(Retail_data[[#This Row],[Order Date]])/3,0)</f>
        <v>Q2</v>
      </c>
      <c r="F223" s="1">
        <v>46143</v>
      </c>
      <c r="G223" s="1">
        <v>46147</v>
      </c>
      <c r="H223" t="s">
        <v>847</v>
      </c>
      <c r="I223" t="s">
        <v>848</v>
      </c>
      <c r="J223" t="s">
        <v>33</v>
      </c>
      <c r="K223" t="s">
        <v>22</v>
      </c>
      <c r="L223" t="s">
        <v>67</v>
      </c>
      <c r="M223" t="s">
        <v>68</v>
      </c>
      <c r="N223" t="s">
        <v>69</v>
      </c>
      <c r="O223" t="s">
        <v>37</v>
      </c>
      <c r="P223" t="s">
        <v>46</v>
      </c>
      <c r="Q223" t="s">
        <v>849</v>
      </c>
      <c r="R223">
        <v>31895.919999999998</v>
      </c>
      <c r="S223">
        <v>7</v>
      </c>
      <c r="T223">
        <v>0.3</v>
      </c>
      <c r="U223" t="str">
        <f>IF(Retail_data[[#This Row],[Sales]]&gt;30000,"High",IF(Retail_data[[#This Row],[Sales]]&gt;10000,"Medium","Low"))</f>
        <v>High</v>
      </c>
      <c r="V223" s="3">
        <f>Retail_data[[#This Row],[Profit]]/Retail_data[[#This Row],[Sales]]</f>
        <v>-4.6674621707102355E-2</v>
      </c>
      <c r="W223">
        <v>-1488.73</v>
      </c>
      <c r="X223" t="s">
        <v>48</v>
      </c>
    </row>
    <row r="224" spans="1:24" ht="13.8" x14ac:dyDescent="0.25">
      <c r="A224" t="s">
        <v>850</v>
      </c>
      <c r="B224">
        <f>YEAR(Retail_data[[#This Row],[Order Date]])</f>
        <v>2026</v>
      </c>
      <c r="C224" t="str">
        <f>TEXT(Retail_data[[#This Row],[Order Date]],"mmmm")</f>
        <v>May</v>
      </c>
      <c r="D224">
        <f>MONTH(Retail_data[[#This Row],[Order Date]])</f>
        <v>5</v>
      </c>
      <c r="E224" t="str">
        <f>"Q"&amp;ROUNDUP(MONTH(Retail_data[[#This Row],[Order Date]])/3,0)</f>
        <v>Q2</v>
      </c>
      <c r="F224" s="1">
        <v>46144</v>
      </c>
      <c r="G224" s="1">
        <v>46148</v>
      </c>
      <c r="H224" t="s">
        <v>851</v>
      </c>
      <c r="I224" t="s">
        <v>852</v>
      </c>
      <c r="J224" t="s">
        <v>21</v>
      </c>
      <c r="K224" t="s">
        <v>22</v>
      </c>
      <c r="L224" t="s">
        <v>85</v>
      </c>
      <c r="M224" t="s">
        <v>86</v>
      </c>
      <c r="N224" t="s">
        <v>87</v>
      </c>
      <c r="O224" t="s">
        <v>26</v>
      </c>
      <c r="P224" t="s">
        <v>92</v>
      </c>
      <c r="Q224" t="s">
        <v>570</v>
      </c>
      <c r="R224">
        <v>42698.94</v>
      </c>
      <c r="S224">
        <v>5</v>
      </c>
      <c r="T224">
        <v>0.1</v>
      </c>
      <c r="U224" t="str">
        <f>IF(Retail_data[[#This Row],[Sales]]&gt;30000,"High",IF(Retail_data[[#This Row],[Sales]]&gt;10000,"Medium","Low"))</f>
        <v>High</v>
      </c>
      <c r="V224" s="3">
        <f>Retail_data[[#This Row],[Profit]]/Retail_data[[#This Row],[Sales]]</f>
        <v>0.15160516865289864</v>
      </c>
      <c r="W224">
        <v>6473.38</v>
      </c>
      <c r="X224" t="s">
        <v>48</v>
      </c>
    </row>
    <row r="225" spans="1:24" ht="13.8" x14ac:dyDescent="0.25">
      <c r="A225" t="s">
        <v>853</v>
      </c>
      <c r="B225">
        <f>YEAR(Retail_data[[#This Row],[Order Date]])</f>
        <v>2026</v>
      </c>
      <c r="C225" t="str">
        <f>TEXT(Retail_data[[#This Row],[Order Date]],"mmmm")</f>
        <v>May</v>
      </c>
      <c r="D225">
        <f>MONTH(Retail_data[[#This Row],[Order Date]])</f>
        <v>5</v>
      </c>
      <c r="E225" t="str">
        <f>"Q"&amp;ROUNDUP(MONTH(Retail_data[[#This Row],[Order Date]])/3,0)</f>
        <v>Q2</v>
      </c>
      <c r="F225" s="1">
        <v>46145</v>
      </c>
      <c r="G225" s="1">
        <v>46149</v>
      </c>
      <c r="H225" t="s">
        <v>854</v>
      </c>
      <c r="I225" t="s">
        <v>855</v>
      </c>
      <c r="J225" t="s">
        <v>33</v>
      </c>
      <c r="K225" t="s">
        <v>22</v>
      </c>
      <c r="L225" t="s">
        <v>34</v>
      </c>
      <c r="M225" t="s">
        <v>35</v>
      </c>
      <c r="N225" t="s">
        <v>36</v>
      </c>
      <c r="O225" t="s">
        <v>37</v>
      </c>
      <c r="P225" t="s">
        <v>52</v>
      </c>
      <c r="Q225" t="s">
        <v>856</v>
      </c>
      <c r="R225">
        <v>21042.54</v>
      </c>
      <c r="S225">
        <v>8</v>
      </c>
      <c r="T225">
        <v>0.2</v>
      </c>
      <c r="U225" t="str">
        <f>IF(Retail_data[[#This Row],[Sales]]&gt;30000,"High",IF(Retail_data[[#This Row],[Sales]]&gt;10000,"Medium","Low"))</f>
        <v>Medium</v>
      </c>
      <c r="V225" s="3">
        <f>Retail_data[[#This Row],[Profit]]/Retail_data[[#This Row],[Sales]]</f>
        <v>-1.9959567618738041E-2</v>
      </c>
      <c r="W225">
        <v>-420</v>
      </c>
      <c r="X225" t="s">
        <v>81</v>
      </c>
    </row>
    <row r="226" spans="1:24" ht="13.8" x14ac:dyDescent="0.25">
      <c r="A226" t="s">
        <v>857</v>
      </c>
      <c r="B226">
        <f>YEAR(Retail_data[[#This Row],[Order Date]])</f>
        <v>2026</v>
      </c>
      <c r="C226" t="str">
        <f>TEXT(Retail_data[[#This Row],[Order Date]],"mmmm")</f>
        <v>May</v>
      </c>
      <c r="D226">
        <f>MONTH(Retail_data[[#This Row],[Order Date]])</f>
        <v>5</v>
      </c>
      <c r="E226" t="str">
        <f>"Q"&amp;ROUNDUP(MONTH(Retail_data[[#This Row],[Order Date]])/3,0)</f>
        <v>Q2</v>
      </c>
      <c r="F226" s="1">
        <v>46146</v>
      </c>
      <c r="G226" s="1">
        <v>46150</v>
      </c>
      <c r="H226" t="s">
        <v>858</v>
      </c>
      <c r="I226" t="s">
        <v>859</v>
      </c>
      <c r="J226" t="s">
        <v>44</v>
      </c>
      <c r="K226" t="s">
        <v>22</v>
      </c>
      <c r="L226" t="s">
        <v>67</v>
      </c>
      <c r="M226" t="s">
        <v>68</v>
      </c>
      <c r="N226" t="s">
        <v>69</v>
      </c>
      <c r="O226" t="s">
        <v>26</v>
      </c>
      <c r="P226" t="s">
        <v>70</v>
      </c>
      <c r="Q226" t="s">
        <v>316</v>
      </c>
      <c r="R226">
        <v>9606.5</v>
      </c>
      <c r="S226">
        <v>8</v>
      </c>
      <c r="T226">
        <v>0.3</v>
      </c>
      <c r="U226" t="str">
        <f>IF(Retail_data[[#This Row],[Sales]]&gt;30000,"High",IF(Retail_data[[#This Row],[Sales]]&gt;10000,"Medium","Low"))</f>
        <v>Low</v>
      </c>
      <c r="V226" s="3">
        <f>Retail_data[[#This Row],[Profit]]/Retail_data[[#This Row],[Sales]]</f>
        <v>3.9260917087388748E-2</v>
      </c>
      <c r="W226">
        <v>377.16</v>
      </c>
      <c r="X226" t="s">
        <v>81</v>
      </c>
    </row>
    <row r="227" spans="1:24" ht="13.8" x14ac:dyDescent="0.25">
      <c r="A227" t="s">
        <v>860</v>
      </c>
      <c r="B227">
        <f>YEAR(Retail_data[[#This Row],[Order Date]])</f>
        <v>2026</v>
      </c>
      <c r="C227" t="str">
        <f>TEXT(Retail_data[[#This Row],[Order Date]],"mmmm")</f>
        <v>May</v>
      </c>
      <c r="D227">
        <f>MONTH(Retail_data[[#This Row],[Order Date]])</f>
        <v>5</v>
      </c>
      <c r="E227" t="str">
        <f>"Q"&amp;ROUNDUP(MONTH(Retail_data[[#This Row],[Order Date]])/3,0)</f>
        <v>Q2</v>
      </c>
      <c r="F227" s="1">
        <v>46147</v>
      </c>
      <c r="G227" s="1">
        <v>46151</v>
      </c>
      <c r="H227" t="s">
        <v>861</v>
      </c>
      <c r="I227" t="s">
        <v>862</v>
      </c>
      <c r="J227" t="s">
        <v>44</v>
      </c>
      <c r="K227" t="s">
        <v>22</v>
      </c>
      <c r="L227" t="s">
        <v>34</v>
      </c>
      <c r="M227" t="s">
        <v>35</v>
      </c>
      <c r="N227" t="s">
        <v>36</v>
      </c>
      <c r="O227" t="s">
        <v>57</v>
      </c>
      <c r="P227" t="s">
        <v>79</v>
      </c>
      <c r="Q227" t="s">
        <v>141</v>
      </c>
      <c r="R227">
        <v>13306</v>
      </c>
      <c r="S227">
        <v>6</v>
      </c>
      <c r="T227">
        <v>0.3</v>
      </c>
      <c r="U227" t="str">
        <f>IF(Retail_data[[#This Row],[Sales]]&gt;30000,"High",IF(Retail_data[[#This Row],[Sales]]&gt;10000,"Medium","Low"))</f>
        <v>Medium</v>
      </c>
      <c r="V227" s="3">
        <f>Retail_data[[#This Row],[Profit]]/Retail_data[[#This Row],[Sales]]</f>
        <v>3.1280625281827748E-2</v>
      </c>
      <c r="W227">
        <v>416.22</v>
      </c>
      <c r="X227" t="s">
        <v>48</v>
      </c>
    </row>
    <row r="228" spans="1:24" ht="13.8" x14ac:dyDescent="0.25">
      <c r="A228" t="s">
        <v>863</v>
      </c>
      <c r="B228">
        <f>YEAR(Retail_data[[#This Row],[Order Date]])</f>
        <v>2026</v>
      </c>
      <c r="C228" t="str">
        <f>TEXT(Retail_data[[#This Row],[Order Date]],"mmmm")</f>
        <v>May</v>
      </c>
      <c r="D228">
        <f>MONTH(Retail_data[[#This Row],[Order Date]])</f>
        <v>5</v>
      </c>
      <c r="E228" t="str">
        <f>"Q"&amp;ROUNDUP(MONTH(Retail_data[[#This Row],[Order Date]])/3,0)</f>
        <v>Q2</v>
      </c>
      <c r="F228" s="1">
        <v>46148</v>
      </c>
      <c r="G228" s="1">
        <v>46152</v>
      </c>
      <c r="H228" t="s">
        <v>864</v>
      </c>
      <c r="I228" t="s">
        <v>865</v>
      </c>
      <c r="J228" t="s">
        <v>44</v>
      </c>
      <c r="K228" t="s">
        <v>22</v>
      </c>
      <c r="L228" t="s">
        <v>85</v>
      </c>
      <c r="M228" t="s">
        <v>86</v>
      </c>
      <c r="N228" t="s">
        <v>87</v>
      </c>
      <c r="O228" t="s">
        <v>57</v>
      </c>
      <c r="P228" t="s">
        <v>79</v>
      </c>
      <c r="Q228" t="s">
        <v>866</v>
      </c>
      <c r="R228">
        <v>10978.41</v>
      </c>
      <c r="S228">
        <v>4</v>
      </c>
      <c r="T228">
        <v>0.1</v>
      </c>
      <c r="U228" t="str">
        <f>IF(Retail_data[[#This Row],[Sales]]&gt;30000,"High",IF(Retail_data[[#This Row],[Sales]]&gt;10000,"Medium","Low"))</f>
        <v>Medium</v>
      </c>
      <c r="V228" s="3">
        <f>Retail_data[[#This Row],[Profit]]/Retail_data[[#This Row],[Sales]]</f>
        <v>3.8539278456534237E-2</v>
      </c>
      <c r="W228">
        <v>423.1</v>
      </c>
      <c r="X228" t="s">
        <v>40</v>
      </c>
    </row>
    <row r="229" spans="1:24" ht="13.8" x14ac:dyDescent="0.25">
      <c r="A229" t="s">
        <v>867</v>
      </c>
      <c r="B229">
        <f>YEAR(Retail_data[[#This Row],[Order Date]])</f>
        <v>2026</v>
      </c>
      <c r="C229" t="str">
        <f>TEXT(Retail_data[[#This Row],[Order Date]],"mmmm")</f>
        <v>May</v>
      </c>
      <c r="D229">
        <f>MONTH(Retail_data[[#This Row],[Order Date]])</f>
        <v>5</v>
      </c>
      <c r="E229" t="str">
        <f>"Q"&amp;ROUNDUP(MONTH(Retail_data[[#This Row],[Order Date]])/3,0)</f>
        <v>Q2</v>
      </c>
      <c r="F229" s="1">
        <v>46149</v>
      </c>
      <c r="G229" s="1">
        <v>46153</v>
      </c>
      <c r="H229" t="s">
        <v>868</v>
      </c>
      <c r="I229" t="s">
        <v>869</v>
      </c>
      <c r="J229" t="s">
        <v>44</v>
      </c>
      <c r="K229" t="s">
        <v>22</v>
      </c>
      <c r="L229" t="s">
        <v>67</v>
      </c>
      <c r="M229" t="s">
        <v>68</v>
      </c>
      <c r="N229" t="s">
        <v>69</v>
      </c>
      <c r="O229" t="s">
        <v>57</v>
      </c>
      <c r="P229" t="s">
        <v>79</v>
      </c>
      <c r="Q229" t="s">
        <v>824</v>
      </c>
      <c r="R229">
        <v>38768.949999999997</v>
      </c>
      <c r="S229">
        <v>8</v>
      </c>
      <c r="T229">
        <v>0</v>
      </c>
      <c r="U229" t="str">
        <f>IF(Retail_data[[#This Row],[Sales]]&gt;30000,"High",IF(Retail_data[[#This Row],[Sales]]&gt;10000,"Medium","Low"))</f>
        <v>High</v>
      </c>
      <c r="V229" s="3">
        <f>Retail_data[[#This Row],[Profit]]/Retail_data[[#This Row],[Sales]]</f>
        <v>8.1374914719124461E-2</v>
      </c>
      <c r="W229">
        <v>3154.82</v>
      </c>
      <c r="X229" t="s">
        <v>29</v>
      </c>
    </row>
    <row r="230" spans="1:24" ht="13.8" x14ac:dyDescent="0.25">
      <c r="A230" t="s">
        <v>870</v>
      </c>
      <c r="B230">
        <f>YEAR(Retail_data[[#This Row],[Order Date]])</f>
        <v>2026</v>
      </c>
      <c r="C230" t="str">
        <f>TEXT(Retail_data[[#This Row],[Order Date]],"mmmm")</f>
        <v>May</v>
      </c>
      <c r="D230">
        <f>MONTH(Retail_data[[#This Row],[Order Date]])</f>
        <v>5</v>
      </c>
      <c r="E230" t="str">
        <f>"Q"&amp;ROUNDUP(MONTH(Retail_data[[#This Row],[Order Date]])/3,0)</f>
        <v>Q2</v>
      </c>
      <c r="F230" s="1">
        <v>46150</v>
      </c>
      <c r="G230" s="1">
        <v>46154</v>
      </c>
      <c r="H230" t="s">
        <v>871</v>
      </c>
      <c r="I230" t="s">
        <v>872</v>
      </c>
      <c r="J230" t="s">
        <v>44</v>
      </c>
      <c r="K230" t="s">
        <v>22</v>
      </c>
      <c r="L230" t="s">
        <v>67</v>
      </c>
      <c r="M230" t="s">
        <v>68</v>
      </c>
      <c r="N230" t="s">
        <v>69</v>
      </c>
      <c r="O230" t="s">
        <v>37</v>
      </c>
      <c r="P230" t="s">
        <v>46</v>
      </c>
      <c r="Q230" t="s">
        <v>47</v>
      </c>
      <c r="R230">
        <v>41103.120000000003</v>
      </c>
      <c r="S230">
        <v>8</v>
      </c>
      <c r="T230">
        <v>0</v>
      </c>
      <c r="U230" t="str">
        <f>IF(Retail_data[[#This Row],[Sales]]&gt;30000,"High",IF(Retail_data[[#This Row],[Sales]]&gt;10000,"Medium","Low"))</f>
        <v>High</v>
      </c>
      <c r="V230" s="3">
        <f>Retail_data[[#This Row],[Profit]]/Retail_data[[#This Row],[Sales]]</f>
        <v>7.3967377658922237E-2</v>
      </c>
      <c r="W230">
        <v>3040.29</v>
      </c>
      <c r="X230" t="s">
        <v>81</v>
      </c>
    </row>
    <row r="231" spans="1:24" ht="13.8" x14ac:dyDescent="0.25">
      <c r="A231" t="s">
        <v>873</v>
      </c>
      <c r="B231">
        <f>YEAR(Retail_data[[#This Row],[Order Date]])</f>
        <v>2026</v>
      </c>
      <c r="C231" t="str">
        <f>TEXT(Retail_data[[#This Row],[Order Date]],"mmmm")</f>
        <v>May</v>
      </c>
      <c r="D231">
        <f>MONTH(Retail_data[[#This Row],[Order Date]])</f>
        <v>5</v>
      </c>
      <c r="E231" t="str">
        <f>"Q"&amp;ROUNDUP(MONTH(Retail_data[[#This Row],[Order Date]])/3,0)</f>
        <v>Q2</v>
      </c>
      <c r="F231" s="1">
        <v>46151</v>
      </c>
      <c r="G231" s="1">
        <v>46155</v>
      </c>
      <c r="H231" t="s">
        <v>874</v>
      </c>
      <c r="I231" t="s">
        <v>875</v>
      </c>
      <c r="J231" t="s">
        <v>33</v>
      </c>
      <c r="K231" t="s">
        <v>22</v>
      </c>
      <c r="L231" t="s">
        <v>85</v>
      </c>
      <c r="M231" t="s">
        <v>86</v>
      </c>
      <c r="N231" t="s">
        <v>87</v>
      </c>
      <c r="O231" t="s">
        <v>57</v>
      </c>
      <c r="P231" t="s">
        <v>79</v>
      </c>
      <c r="Q231" t="s">
        <v>645</v>
      </c>
      <c r="R231">
        <v>49080.77</v>
      </c>
      <c r="S231">
        <v>6</v>
      </c>
      <c r="T231">
        <v>0</v>
      </c>
      <c r="U231" t="str">
        <f>IF(Retail_data[[#This Row],[Sales]]&gt;30000,"High",IF(Retail_data[[#This Row],[Sales]]&gt;10000,"Medium","Low"))</f>
        <v>High</v>
      </c>
      <c r="V231" s="3">
        <f>Retail_data[[#This Row],[Profit]]/Retail_data[[#This Row],[Sales]]</f>
        <v>0.28832717987105744</v>
      </c>
      <c r="W231">
        <v>14151.32</v>
      </c>
      <c r="X231" t="s">
        <v>81</v>
      </c>
    </row>
    <row r="232" spans="1:24" ht="13.8" x14ac:dyDescent="0.25">
      <c r="A232" t="s">
        <v>876</v>
      </c>
      <c r="B232">
        <f>YEAR(Retail_data[[#This Row],[Order Date]])</f>
        <v>2026</v>
      </c>
      <c r="C232" t="str">
        <f>TEXT(Retail_data[[#This Row],[Order Date]],"mmmm")</f>
        <v>May</v>
      </c>
      <c r="D232">
        <f>MONTH(Retail_data[[#This Row],[Order Date]])</f>
        <v>5</v>
      </c>
      <c r="E232" t="str">
        <f>"Q"&amp;ROUNDUP(MONTH(Retail_data[[#This Row],[Order Date]])/3,0)</f>
        <v>Q2</v>
      </c>
      <c r="F232" s="1">
        <v>46152</v>
      </c>
      <c r="G232" s="1">
        <v>46156</v>
      </c>
      <c r="H232" t="s">
        <v>877</v>
      </c>
      <c r="I232" t="s">
        <v>878</v>
      </c>
      <c r="J232" t="s">
        <v>33</v>
      </c>
      <c r="K232" t="s">
        <v>22</v>
      </c>
      <c r="L232" t="s">
        <v>45</v>
      </c>
      <c r="M232" t="s">
        <v>45</v>
      </c>
      <c r="N232" t="s">
        <v>25</v>
      </c>
      <c r="O232" t="s">
        <v>37</v>
      </c>
      <c r="P232" t="s">
        <v>52</v>
      </c>
      <c r="Q232" t="s">
        <v>206</v>
      </c>
      <c r="R232">
        <v>37232.43</v>
      </c>
      <c r="S232">
        <v>5</v>
      </c>
      <c r="T232">
        <v>0.3</v>
      </c>
      <c r="U232" t="str">
        <f>IF(Retail_data[[#This Row],[Sales]]&gt;30000,"High",IF(Retail_data[[#This Row],[Sales]]&gt;10000,"Medium","Low"))</f>
        <v>High</v>
      </c>
      <c r="V232" s="3">
        <f>Retail_data[[#This Row],[Profit]]/Retail_data[[#This Row],[Sales]]</f>
        <v>0.12882103048337162</v>
      </c>
      <c r="W232">
        <v>4796.32</v>
      </c>
      <c r="X232" t="s">
        <v>40</v>
      </c>
    </row>
    <row r="233" spans="1:24" ht="13.8" x14ac:dyDescent="0.25">
      <c r="A233" t="s">
        <v>879</v>
      </c>
      <c r="B233">
        <f>YEAR(Retail_data[[#This Row],[Order Date]])</f>
        <v>2026</v>
      </c>
      <c r="C233" t="str">
        <f>TEXT(Retail_data[[#This Row],[Order Date]],"mmmm")</f>
        <v>May</v>
      </c>
      <c r="D233">
        <f>MONTH(Retail_data[[#This Row],[Order Date]])</f>
        <v>5</v>
      </c>
      <c r="E233" t="str">
        <f>"Q"&amp;ROUNDUP(MONTH(Retail_data[[#This Row],[Order Date]])/3,0)</f>
        <v>Q2</v>
      </c>
      <c r="F233" s="1">
        <v>46153</v>
      </c>
      <c r="G233" s="1">
        <v>46157</v>
      </c>
      <c r="H233" t="s">
        <v>880</v>
      </c>
      <c r="I233" t="s">
        <v>881</v>
      </c>
      <c r="J233" t="s">
        <v>21</v>
      </c>
      <c r="K233" t="s">
        <v>22</v>
      </c>
      <c r="L233" t="s">
        <v>45</v>
      </c>
      <c r="M233" t="s">
        <v>45</v>
      </c>
      <c r="N233" t="s">
        <v>25</v>
      </c>
      <c r="O233" t="s">
        <v>37</v>
      </c>
      <c r="P233" t="s">
        <v>52</v>
      </c>
      <c r="Q233" t="s">
        <v>358</v>
      </c>
      <c r="R233">
        <v>24894.19</v>
      </c>
      <c r="S233">
        <v>8</v>
      </c>
      <c r="T233">
        <v>0.2</v>
      </c>
      <c r="U233" t="str">
        <f>IF(Retail_data[[#This Row],[Sales]]&gt;30000,"High",IF(Retail_data[[#This Row],[Sales]]&gt;10000,"Medium","Low"))</f>
        <v>Medium</v>
      </c>
      <c r="V233" s="3">
        <f>Retail_data[[#This Row],[Profit]]/Retail_data[[#This Row],[Sales]]</f>
        <v>-7.5692360345928113E-3</v>
      </c>
      <c r="W233">
        <v>-188.43</v>
      </c>
      <c r="X233" t="s">
        <v>48</v>
      </c>
    </row>
    <row r="234" spans="1:24" ht="13.8" x14ac:dyDescent="0.25">
      <c r="A234" t="s">
        <v>882</v>
      </c>
      <c r="B234">
        <f>YEAR(Retail_data[[#This Row],[Order Date]])</f>
        <v>2026</v>
      </c>
      <c r="C234" t="str">
        <f>TEXT(Retail_data[[#This Row],[Order Date]],"mmmm")</f>
        <v>May</v>
      </c>
      <c r="D234">
        <f>MONTH(Retail_data[[#This Row],[Order Date]])</f>
        <v>5</v>
      </c>
      <c r="E234" t="str">
        <f>"Q"&amp;ROUNDUP(MONTH(Retail_data[[#This Row],[Order Date]])/3,0)</f>
        <v>Q2</v>
      </c>
      <c r="F234" s="1">
        <v>46154</v>
      </c>
      <c r="G234" s="1">
        <v>46158</v>
      </c>
      <c r="H234" t="s">
        <v>883</v>
      </c>
      <c r="I234" t="s">
        <v>884</v>
      </c>
      <c r="J234" t="s">
        <v>21</v>
      </c>
      <c r="K234" t="s">
        <v>22</v>
      </c>
      <c r="L234" t="s">
        <v>45</v>
      </c>
      <c r="M234" t="s">
        <v>45</v>
      </c>
      <c r="N234" t="s">
        <v>25</v>
      </c>
      <c r="O234" t="s">
        <v>37</v>
      </c>
      <c r="P234" t="s">
        <v>38</v>
      </c>
      <c r="Q234" t="s">
        <v>885</v>
      </c>
      <c r="R234">
        <v>47658.559999999998</v>
      </c>
      <c r="S234">
        <v>2</v>
      </c>
      <c r="T234">
        <v>0.3</v>
      </c>
      <c r="U234" t="str">
        <f>IF(Retail_data[[#This Row],[Sales]]&gt;30000,"High",IF(Retail_data[[#This Row],[Sales]]&gt;10000,"Medium","Low"))</f>
        <v>High</v>
      </c>
      <c r="V234" s="3">
        <f>Retail_data[[#This Row],[Profit]]/Retail_data[[#This Row],[Sales]]</f>
        <v>0.14583550153424696</v>
      </c>
      <c r="W234">
        <v>6950.31</v>
      </c>
      <c r="X234" t="s">
        <v>81</v>
      </c>
    </row>
    <row r="235" spans="1:24" ht="13.8" x14ac:dyDescent="0.25">
      <c r="A235" t="s">
        <v>886</v>
      </c>
      <c r="B235">
        <f>YEAR(Retail_data[[#This Row],[Order Date]])</f>
        <v>2026</v>
      </c>
      <c r="C235" t="str">
        <f>TEXT(Retail_data[[#This Row],[Order Date]],"mmmm")</f>
        <v>May</v>
      </c>
      <c r="D235">
        <f>MONTH(Retail_data[[#This Row],[Order Date]])</f>
        <v>5</v>
      </c>
      <c r="E235" t="str">
        <f>"Q"&amp;ROUNDUP(MONTH(Retail_data[[#This Row],[Order Date]])/3,0)</f>
        <v>Q2</v>
      </c>
      <c r="F235" s="1">
        <v>46155</v>
      </c>
      <c r="G235" s="1">
        <v>46159</v>
      </c>
      <c r="H235" t="s">
        <v>887</v>
      </c>
      <c r="I235" t="s">
        <v>888</v>
      </c>
      <c r="J235" t="s">
        <v>44</v>
      </c>
      <c r="K235" t="s">
        <v>22</v>
      </c>
      <c r="L235" t="s">
        <v>34</v>
      </c>
      <c r="M235" t="s">
        <v>35</v>
      </c>
      <c r="N235" t="s">
        <v>36</v>
      </c>
      <c r="O235" t="s">
        <v>26</v>
      </c>
      <c r="P235" t="s">
        <v>27</v>
      </c>
      <c r="Q235" t="s">
        <v>889</v>
      </c>
      <c r="R235">
        <v>3605.59</v>
      </c>
      <c r="S235">
        <v>1</v>
      </c>
      <c r="T235">
        <v>0.2</v>
      </c>
      <c r="U235" t="str">
        <f>IF(Retail_data[[#This Row],[Sales]]&gt;30000,"High",IF(Retail_data[[#This Row],[Sales]]&gt;10000,"Medium","Low"))</f>
        <v>Low</v>
      </c>
      <c r="V235" s="3">
        <f>Retail_data[[#This Row],[Profit]]/Retail_data[[#This Row],[Sales]]</f>
        <v>-1.4804789230056662E-2</v>
      </c>
      <c r="W235">
        <v>-53.38</v>
      </c>
      <c r="X235" t="s">
        <v>81</v>
      </c>
    </row>
    <row r="236" spans="1:24" ht="13.8" x14ac:dyDescent="0.25">
      <c r="A236" t="s">
        <v>890</v>
      </c>
      <c r="B236">
        <f>YEAR(Retail_data[[#This Row],[Order Date]])</f>
        <v>2026</v>
      </c>
      <c r="C236" t="str">
        <f>TEXT(Retail_data[[#This Row],[Order Date]],"mmmm")</f>
        <v>May</v>
      </c>
      <c r="D236">
        <f>MONTH(Retail_data[[#This Row],[Order Date]])</f>
        <v>5</v>
      </c>
      <c r="E236" t="str">
        <f>"Q"&amp;ROUNDUP(MONTH(Retail_data[[#This Row],[Order Date]])/3,0)</f>
        <v>Q2</v>
      </c>
      <c r="F236" s="1">
        <v>46156</v>
      </c>
      <c r="G236" s="1">
        <v>46160</v>
      </c>
      <c r="H236" t="s">
        <v>891</v>
      </c>
      <c r="I236" t="s">
        <v>892</v>
      </c>
      <c r="J236" t="s">
        <v>33</v>
      </c>
      <c r="K236" t="s">
        <v>22</v>
      </c>
      <c r="L236" t="s">
        <v>23</v>
      </c>
      <c r="M236" t="s">
        <v>24</v>
      </c>
      <c r="N236" t="s">
        <v>25</v>
      </c>
      <c r="O236" t="s">
        <v>37</v>
      </c>
      <c r="P236" t="s">
        <v>38</v>
      </c>
      <c r="Q236" t="s">
        <v>39</v>
      </c>
      <c r="R236">
        <v>43982.67</v>
      </c>
      <c r="S236">
        <v>1</v>
      </c>
      <c r="T236">
        <v>0</v>
      </c>
      <c r="U236" t="str">
        <f>IF(Retail_data[[#This Row],[Sales]]&gt;30000,"High",IF(Retail_data[[#This Row],[Sales]]&gt;10000,"Medium","Low"))</f>
        <v>High</v>
      </c>
      <c r="V236" s="3">
        <f>Retail_data[[#This Row],[Profit]]/Retail_data[[#This Row],[Sales]]</f>
        <v>0.21027213673021669</v>
      </c>
      <c r="W236">
        <v>9248.33</v>
      </c>
      <c r="X236" t="s">
        <v>48</v>
      </c>
    </row>
    <row r="237" spans="1:24" ht="13.8" x14ac:dyDescent="0.25">
      <c r="A237" t="s">
        <v>893</v>
      </c>
      <c r="B237">
        <f>YEAR(Retail_data[[#This Row],[Order Date]])</f>
        <v>2026</v>
      </c>
      <c r="C237" t="str">
        <f>TEXT(Retail_data[[#This Row],[Order Date]],"mmmm")</f>
        <v>May</v>
      </c>
      <c r="D237">
        <f>MONTH(Retail_data[[#This Row],[Order Date]])</f>
        <v>5</v>
      </c>
      <c r="E237" t="str">
        <f>"Q"&amp;ROUNDUP(MONTH(Retail_data[[#This Row],[Order Date]])/3,0)</f>
        <v>Q2</v>
      </c>
      <c r="F237" s="1">
        <v>46157</v>
      </c>
      <c r="G237" s="1">
        <v>46161</v>
      </c>
      <c r="H237" t="s">
        <v>894</v>
      </c>
      <c r="I237" t="s">
        <v>895</v>
      </c>
      <c r="J237" t="s">
        <v>33</v>
      </c>
      <c r="K237" t="s">
        <v>22</v>
      </c>
      <c r="L237" t="s">
        <v>34</v>
      </c>
      <c r="M237" t="s">
        <v>35</v>
      </c>
      <c r="N237" t="s">
        <v>36</v>
      </c>
      <c r="O237" t="s">
        <v>57</v>
      </c>
      <c r="P237" t="s">
        <v>58</v>
      </c>
      <c r="Q237" t="s">
        <v>896</v>
      </c>
      <c r="R237">
        <v>23601.05</v>
      </c>
      <c r="S237">
        <v>8</v>
      </c>
      <c r="T237">
        <v>0.3</v>
      </c>
      <c r="U237" t="str">
        <f>IF(Retail_data[[#This Row],[Sales]]&gt;30000,"High",IF(Retail_data[[#This Row],[Sales]]&gt;10000,"Medium","Low"))</f>
        <v>Medium</v>
      </c>
      <c r="V237" s="3">
        <f>Retail_data[[#This Row],[Profit]]/Retail_data[[#This Row],[Sales]]</f>
        <v>1.1852015058652052E-2</v>
      </c>
      <c r="W237">
        <v>279.72000000000003</v>
      </c>
      <c r="X237" t="s">
        <v>29</v>
      </c>
    </row>
    <row r="238" spans="1:24" ht="13.8" x14ac:dyDescent="0.25">
      <c r="A238" t="s">
        <v>897</v>
      </c>
      <c r="B238">
        <f>YEAR(Retail_data[[#This Row],[Order Date]])</f>
        <v>2026</v>
      </c>
      <c r="C238" t="str">
        <f>TEXT(Retail_data[[#This Row],[Order Date]],"mmmm")</f>
        <v>May</v>
      </c>
      <c r="D238">
        <f>MONTH(Retail_data[[#This Row],[Order Date]])</f>
        <v>5</v>
      </c>
      <c r="E238" t="str">
        <f>"Q"&amp;ROUNDUP(MONTH(Retail_data[[#This Row],[Order Date]])/3,0)</f>
        <v>Q2</v>
      </c>
      <c r="F238" s="1">
        <v>46158</v>
      </c>
      <c r="G238" s="1">
        <v>46162</v>
      </c>
      <c r="H238" t="s">
        <v>898</v>
      </c>
      <c r="I238" t="s">
        <v>899</v>
      </c>
      <c r="J238" t="s">
        <v>33</v>
      </c>
      <c r="K238" t="s">
        <v>22</v>
      </c>
      <c r="L238" t="s">
        <v>23</v>
      </c>
      <c r="M238" t="s">
        <v>24</v>
      </c>
      <c r="N238" t="s">
        <v>25</v>
      </c>
      <c r="O238" t="s">
        <v>57</v>
      </c>
      <c r="P238" t="s">
        <v>79</v>
      </c>
      <c r="Q238" t="s">
        <v>370</v>
      </c>
      <c r="R238">
        <v>15279.39</v>
      </c>
      <c r="S238">
        <v>2</v>
      </c>
      <c r="T238">
        <v>0</v>
      </c>
      <c r="U238" t="str">
        <f>IF(Retail_data[[#This Row],[Sales]]&gt;30000,"High",IF(Retail_data[[#This Row],[Sales]]&gt;10000,"Medium","Low"))</f>
        <v>Medium</v>
      </c>
      <c r="V238" s="3">
        <f>Retail_data[[#This Row],[Profit]]/Retail_data[[#This Row],[Sales]]</f>
        <v>0.10170693987129067</v>
      </c>
      <c r="W238">
        <v>1554.02</v>
      </c>
      <c r="X238" t="s">
        <v>48</v>
      </c>
    </row>
    <row r="239" spans="1:24" ht="13.8" x14ac:dyDescent="0.25">
      <c r="A239" t="s">
        <v>900</v>
      </c>
      <c r="B239">
        <f>YEAR(Retail_data[[#This Row],[Order Date]])</f>
        <v>2026</v>
      </c>
      <c r="C239" t="str">
        <f>TEXT(Retail_data[[#This Row],[Order Date]],"mmmm")</f>
        <v>May</v>
      </c>
      <c r="D239">
        <f>MONTH(Retail_data[[#This Row],[Order Date]])</f>
        <v>5</v>
      </c>
      <c r="E239" t="str">
        <f>"Q"&amp;ROUNDUP(MONTH(Retail_data[[#This Row],[Order Date]])/3,0)</f>
        <v>Q2</v>
      </c>
      <c r="F239" s="1">
        <v>46159</v>
      </c>
      <c r="G239" s="1">
        <v>46163</v>
      </c>
      <c r="H239" t="s">
        <v>901</v>
      </c>
      <c r="I239" t="s">
        <v>902</v>
      </c>
      <c r="J239" t="s">
        <v>21</v>
      </c>
      <c r="K239" t="s">
        <v>22</v>
      </c>
      <c r="L239" t="s">
        <v>67</v>
      </c>
      <c r="M239" t="s">
        <v>68</v>
      </c>
      <c r="N239" t="s">
        <v>69</v>
      </c>
      <c r="O239" t="s">
        <v>57</v>
      </c>
      <c r="P239" t="s">
        <v>58</v>
      </c>
      <c r="Q239" t="s">
        <v>97</v>
      </c>
      <c r="R239">
        <v>11361.7</v>
      </c>
      <c r="S239">
        <v>1</v>
      </c>
      <c r="T239">
        <v>0.1</v>
      </c>
      <c r="U239" t="str">
        <f>IF(Retail_data[[#This Row],[Sales]]&gt;30000,"High",IF(Retail_data[[#This Row],[Sales]]&gt;10000,"Medium","Low"))</f>
        <v>Medium</v>
      </c>
      <c r="V239" s="3">
        <f>Retail_data[[#This Row],[Profit]]/Retail_data[[#This Row],[Sales]]</f>
        <v>3.9235325699499189E-2</v>
      </c>
      <c r="W239">
        <v>445.78</v>
      </c>
      <c r="X239" t="s">
        <v>29</v>
      </c>
    </row>
    <row r="240" spans="1:24" ht="13.8" x14ac:dyDescent="0.25">
      <c r="A240" t="s">
        <v>903</v>
      </c>
      <c r="B240">
        <f>YEAR(Retail_data[[#This Row],[Order Date]])</f>
        <v>2026</v>
      </c>
      <c r="C240" t="str">
        <f>TEXT(Retail_data[[#This Row],[Order Date]],"mmmm")</f>
        <v>May</v>
      </c>
      <c r="D240">
        <f>MONTH(Retail_data[[#This Row],[Order Date]])</f>
        <v>5</v>
      </c>
      <c r="E240" t="str">
        <f>"Q"&amp;ROUNDUP(MONTH(Retail_data[[#This Row],[Order Date]])/3,0)</f>
        <v>Q2</v>
      </c>
      <c r="F240" s="1">
        <v>46160</v>
      </c>
      <c r="G240" s="1">
        <v>46164</v>
      </c>
      <c r="H240" t="s">
        <v>904</v>
      </c>
      <c r="I240" t="s">
        <v>905</v>
      </c>
      <c r="J240" t="s">
        <v>33</v>
      </c>
      <c r="K240" t="s">
        <v>22</v>
      </c>
      <c r="L240" t="s">
        <v>45</v>
      </c>
      <c r="M240" t="s">
        <v>45</v>
      </c>
      <c r="N240" t="s">
        <v>25</v>
      </c>
      <c r="O240" t="s">
        <v>37</v>
      </c>
      <c r="P240" t="s">
        <v>38</v>
      </c>
      <c r="Q240" t="s">
        <v>39</v>
      </c>
      <c r="R240">
        <v>19270.86</v>
      </c>
      <c r="S240">
        <v>4</v>
      </c>
      <c r="T240">
        <v>0.3</v>
      </c>
      <c r="U240" t="str">
        <f>IF(Retail_data[[#This Row],[Sales]]&gt;30000,"High",IF(Retail_data[[#This Row],[Sales]]&gt;10000,"Medium","Low"))</f>
        <v>Medium</v>
      </c>
      <c r="V240" s="3">
        <f>Retail_data[[#This Row],[Profit]]/Retail_data[[#This Row],[Sales]]</f>
        <v>1.670709039451275E-2</v>
      </c>
      <c r="W240">
        <v>321.95999999999998</v>
      </c>
      <c r="X240" t="s">
        <v>40</v>
      </c>
    </row>
    <row r="241" spans="1:24" ht="13.8" x14ac:dyDescent="0.25">
      <c r="A241" t="s">
        <v>906</v>
      </c>
      <c r="B241">
        <f>YEAR(Retail_data[[#This Row],[Order Date]])</f>
        <v>2026</v>
      </c>
      <c r="C241" t="str">
        <f>TEXT(Retail_data[[#This Row],[Order Date]],"mmmm")</f>
        <v>May</v>
      </c>
      <c r="D241">
        <f>MONTH(Retail_data[[#This Row],[Order Date]])</f>
        <v>5</v>
      </c>
      <c r="E241" t="str">
        <f>"Q"&amp;ROUNDUP(MONTH(Retail_data[[#This Row],[Order Date]])/3,0)</f>
        <v>Q2</v>
      </c>
      <c r="F241" s="1">
        <v>46161</v>
      </c>
      <c r="G241" s="1">
        <v>46165</v>
      </c>
      <c r="H241" t="s">
        <v>907</v>
      </c>
      <c r="I241" t="s">
        <v>908</v>
      </c>
      <c r="J241" t="s">
        <v>44</v>
      </c>
      <c r="K241" t="s">
        <v>22</v>
      </c>
      <c r="L241" t="s">
        <v>85</v>
      </c>
      <c r="M241" t="s">
        <v>86</v>
      </c>
      <c r="N241" t="s">
        <v>87</v>
      </c>
      <c r="O241" t="s">
        <v>37</v>
      </c>
      <c r="P241" t="s">
        <v>46</v>
      </c>
      <c r="Q241" t="s">
        <v>581</v>
      </c>
      <c r="R241">
        <v>15096.14</v>
      </c>
      <c r="S241">
        <v>4</v>
      </c>
      <c r="T241">
        <v>0</v>
      </c>
      <c r="U241" t="str">
        <f>IF(Retail_data[[#This Row],[Sales]]&gt;30000,"High",IF(Retail_data[[#This Row],[Sales]]&gt;10000,"Medium","Low"))</f>
        <v>Medium</v>
      </c>
      <c r="V241" s="3">
        <f>Retail_data[[#This Row],[Profit]]/Retail_data[[#This Row],[Sales]]</f>
        <v>0.23415124661006062</v>
      </c>
      <c r="W241">
        <v>3534.78</v>
      </c>
      <c r="X241" t="s">
        <v>40</v>
      </c>
    </row>
    <row r="242" spans="1:24" ht="13.8" x14ac:dyDescent="0.25">
      <c r="A242" t="s">
        <v>909</v>
      </c>
      <c r="B242">
        <f>YEAR(Retail_data[[#This Row],[Order Date]])</f>
        <v>2026</v>
      </c>
      <c r="C242" t="str">
        <f>TEXT(Retail_data[[#This Row],[Order Date]],"mmmm")</f>
        <v>May</v>
      </c>
      <c r="D242">
        <f>MONTH(Retail_data[[#This Row],[Order Date]])</f>
        <v>5</v>
      </c>
      <c r="E242" t="str">
        <f>"Q"&amp;ROUNDUP(MONTH(Retail_data[[#This Row],[Order Date]])/3,0)</f>
        <v>Q2</v>
      </c>
      <c r="F242" s="1">
        <v>46162</v>
      </c>
      <c r="G242" s="1">
        <v>46166</v>
      </c>
      <c r="H242" t="s">
        <v>910</v>
      </c>
      <c r="I242" t="s">
        <v>911</v>
      </c>
      <c r="J242" t="s">
        <v>21</v>
      </c>
      <c r="K242" t="s">
        <v>22</v>
      </c>
      <c r="L242" t="s">
        <v>34</v>
      </c>
      <c r="M242" t="s">
        <v>35</v>
      </c>
      <c r="N242" t="s">
        <v>36</v>
      </c>
      <c r="O242" t="s">
        <v>37</v>
      </c>
      <c r="P242" t="s">
        <v>46</v>
      </c>
      <c r="Q242" t="s">
        <v>47</v>
      </c>
      <c r="R242">
        <v>2124.66</v>
      </c>
      <c r="S242">
        <v>7</v>
      </c>
      <c r="T242">
        <v>0.2</v>
      </c>
      <c r="U242" t="str">
        <f>IF(Retail_data[[#This Row],[Sales]]&gt;30000,"High",IF(Retail_data[[#This Row],[Sales]]&gt;10000,"Medium","Low"))</f>
        <v>Low</v>
      </c>
      <c r="V242" s="3">
        <f>Retail_data[[#This Row],[Profit]]/Retail_data[[#This Row],[Sales]]</f>
        <v>2.0012613782911151E-2</v>
      </c>
      <c r="W242">
        <v>42.52</v>
      </c>
      <c r="X242" t="s">
        <v>40</v>
      </c>
    </row>
    <row r="243" spans="1:24" ht="13.8" x14ac:dyDescent="0.25">
      <c r="A243" t="s">
        <v>912</v>
      </c>
      <c r="B243">
        <f>YEAR(Retail_data[[#This Row],[Order Date]])</f>
        <v>2026</v>
      </c>
      <c r="C243" t="str">
        <f>TEXT(Retail_data[[#This Row],[Order Date]],"mmmm")</f>
        <v>May</v>
      </c>
      <c r="D243">
        <f>MONTH(Retail_data[[#This Row],[Order Date]])</f>
        <v>5</v>
      </c>
      <c r="E243" t="str">
        <f>"Q"&amp;ROUNDUP(MONTH(Retail_data[[#This Row],[Order Date]])/3,0)</f>
        <v>Q2</v>
      </c>
      <c r="F243" s="1">
        <v>46163</v>
      </c>
      <c r="G243" s="1">
        <v>46167</v>
      </c>
      <c r="H243" t="s">
        <v>913</v>
      </c>
      <c r="I243" t="s">
        <v>914</v>
      </c>
      <c r="J243" t="s">
        <v>44</v>
      </c>
      <c r="K243" t="s">
        <v>22</v>
      </c>
      <c r="L243" t="s">
        <v>45</v>
      </c>
      <c r="M243" t="s">
        <v>45</v>
      </c>
      <c r="N243" t="s">
        <v>25</v>
      </c>
      <c r="O243" t="s">
        <v>26</v>
      </c>
      <c r="P243" t="s">
        <v>92</v>
      </c>
      <c r="Q243" t="s">
        <v>343</v>
      </c>
      <c r="R243">
        <v>31997.46</v>
      </c>
      <c r="S243">
        <v>1</v>
      </c>
      <c r="T243">
        <v>0.3</v>
      </c>
      <c r="U243" t="str">
        <f>IF(Retail_data[[#This Row],[Sales]]&gt;30000,"High",IF(Retail_data[[#This Row],[Sales]]&gt;10000,"Medium","Low"))</f>
        <v>High</v>
      </c>
      <c r="V243" s="3">
        <f>Retail_data[[#This Row],[Profit]]/Retail_data[[#This Row],[Sales]]</f>
        <v>0.13901759702176361</v>
      </c>
      <c r="W243">
        <v>4448.21</v>
      </c>
      <c r="X243" t="s">
        <v>40</v>
      </c>
    </row>
    <row r="244" spans="1:24" ht="13.8" x14ac:dyDescent="0.25">
      <c r="A244" t="s">
        <v>915</v>
      </c>
      <c r="B244">
        <f>YEAR(Retail_data[[#This Row],[Order Date]])</f>
        <v>2026</v>
      </c>
      <c r="C244" t="str">
        <f>TEXT(Retail_data[[#This Row],[Order Date]],"mmmm")</f>
        <v>May</v>
      </c>
      <c r="D244">
        <f>MONTH(Retail_data[[#This Row],[Order Date]])</f>
        <v>5</v>
      </c>
      <c r="E244" t="str">
        <f>"Q"&amp;ROUNDUP(MONTH(Retail_data[[#This Row],[Order Date]])/3,0)</f>
        <v>Q2</v>
      </c>
      <c r="F244" s="1">
        <v>46164</v>
      </c>
      <c r="G244" s="1">
        <v>46168</v>
      </c>
      <c r="H244" t="s">
        <v>916</v>
      </c>
      <c r="I244" t="s">
        <v>917</v>
      </c>
      <c r="J244" t="s">
        <v>33</v>
      </c>
      <c r="K244" t="s">
        <v>22</v>
      </c>
      <c r="L244" t="s">
        <v>34</v>
      </c>
      <c r="M244" t="s">
        <v>35</v>
      </c>
      <c r="N244" t="s">
        <v>36</v>
      </c>
      <c r="O244" t="s">
        <v>37</v>
      </c>
      <c r="P244" t="s">
        <v>46</v>
      </c>
      <c r="Q244" t="s">
        <v>105</v>
      </c>
      <c r="R244">
        <v>11384.55</v>
      </c>
      <c r="S244">
        <v>7</v>
      </c>
      <c r="T244">
        <v>0.1</v>
      </c>
      <c r="U244" t="str">
        <f>IF(Retail_data[[#This Row],[Sales]]&gt;30000,"High",IF(Retail_data[[#This Row],[Sales]]&gt;10000,"Medium","Low"))</f>
        <v>Medium</v>
      </c>
      <c r="V244" s="3">
        <f>Retail_data[[#This Row],[Profit]]/Retail_data[[#This Row],[Sales]]</f>
        <v>0.17849366026764343</v>
      </c>
      <c r="W244">
        <v>2032.07</v>
      </c>
      <c r="X244" t="s">
        <v>29</v>
      </c>
    </row>
    <row r="245" spans="1:24" ht="13.8" x14ac:dyDescent="0.25">
      <c r="A245" t="s">
        <v>918</v>
      </c>
      <c r="B245">
        <f>YEAR(Retail_data[[#This Row],[Order Date]])</f>
        <v>2026</v>
      </c>
      <c r="C245" t="str">
        <f>TEXT(Retail_data[[#This Row],[Order Date]],"mmmm")</f>
        <v>May</v>
      </c>
      <c r="D245">
        <f>MONTH(Retail_data[[#This Row],[Order Date]])</f>
        <v>5</v>
      </c>
      <c r="E245" t="str">
        <f>"Q"&amp;ROUNDUP(MONTH(Retail_data[[#This Row],[Order Date]])/3,0)</f>
        <v>Q2</v>
      </c>
      <c r="F245" s="1">
        <v>46165</v>
      </c>
      <c r="G245" s="1">
        <v>46169</v>
      </c>
      <c r="H245" t="s">
        <v>919</v>
      </c>
      <c r="I245" t="s">
        <v>920</v>
      </c>
      <c r="J245" t="s">
        <v>44</v>
      </c>
      <c r="K245" t="s">
        <v>22</v>
      </c>
      <c r="L245" t="s">
        <v>23</v>
      </c>
      <c r="M245" t="s">
        <v>24</v>
      </c>
      <c r="N245" t="s">
        <v>25</v>
      </c>
      <c r="O245" t="s">
        <v>26</v>
      </c>
      <c r="P245" t="s">
        <v>92</v>
      </c>
      <c r="Q245" t="s">
        <v>109</v>
      </c>
      <c r="R245">
        <v>34942.92</v>
      </c>
      <c r="S245">
        <v>1</v>
      </c>
      <c r="T245">
        <v>0</v>
      </c>
      <c r="U245" t="str">
        <f>IF(Retail_data[[#This Row],[Sales]]&gt;30000,"High",IF(Retail_data[[#This Row],[Sales]]&gt;10000,"Medium","Low"))</f>
        <v>High</v>
      </c>
      <c r="V245" s="3">
        <f>Retail_data[[#This Row],[Profit]]/Retail_data[[#This Row],[Sales]]</f>
        <v>0.10656894157671998</v>
      </c>
      <c r="W245">
        <v>3723.83</v>
      </c>
      <c r="X245" t="s">
        <v>29</v>
      </c>
    </row>
    <row r="246" spans="1:24" ht="13.8" x14ac:dyDescent="0.25">
      <c r="A246" t="s">
        <v>921</v>
      </c>
      <c r="B246">
        <f>YEAR(Retail_data[[#This Row],[Order Date]])</f>
        <v>2026</v>
      </c>
      <c r="C246" t="str">
        <f>TEXT(Retail_data[[#This Row],[Order Date]],"mmmm")</f>
        <v>May</v>
      </c>
      <c r="D246">
        <f>MONTH(Retail_data[[#This Row],[Order Date]])</f>
        <v>5</v>
      </c>
      <c r="E246" t="str">
        <f>"Q"&amp;ROUNDUP(MONTH(Retail_data[[#This Row],[Order Date]])/3,0)</f>
        <v>Q2</v>
      </c>
      <c r="F246" s="1">
        <v>46166</v>
      </c>
      <c r="G246" s="1">
        <v>46170</v>
      </c>
      <c r="H246" t="s">
        <v>922</v>
      </c>
      <c r="I246" t="s">
        <v>923</v>
      </c>
      <c r="J246" t="s">
        <v>21</v>
      </c>
      <c r="K246" t="s">
        <v>22</v>
      </c>
      <c r="L246" t="s">
        <v>23</v>
      </c>
      <c r="M246" t="s">
        <v>24</v>
      </c>
      <c r="N246" t="s">
        <v>25</v>
      </c>
      <c r="O246" t="s">
        <v>37</v>
      </c>
      <c r="P246" t="s">
        <v>52</v>
      </c>
      <c r="Q246" t="s">
        <v>198</v>
      </c>
      <c r="R246">
        <v>28325.59</v>
      </c>
      <c r="S246">
        <v>3</v>
      </c>
      <c r="T246">
        <v>0</v>
      </c>
      <c r="U246" t="str">
        <f>IF(Retail_data[[#This Row],[Sales]]&gt;30000,"High",IF(Retail_data[[#This Row],[Sales]]&gt;10000,"Medium","Low"))</f>
        <v>Medium</v>
      </c>
      <c r="V246" s="3">
        <f>Retail_data[[#This Row],[Profit]]/Retail_data[[#This Row],[Sales]]</f>
        <v>0.27319572160721101</v>
      </c>
      <c r="W246">
        <v>7738.43</v>
      </c>
      <c r="X246" t="s">
        <v>48</v>
      </c>
    </row>
    <row r="247" spans="1:24" ht="13.8" x14ac:dyDescent="0.25">
      <c r="A247" t="s">
        <v>924</v>
      </c>
      <c r="B247">
        <f>YEAR(Retail_data[[#This Row],[Order Date]])</f>
        <v>2026</v>
      </c>
      <c r="C247" t="str">
        <f>TEXT(Retail_data[[#This Row],[Order Date]],"mmmm")</f>
        <v>May</v>
      </c>
      <c r="D247">
        <f>MONTH(Retail_data[[#This Row],[Order Date]])</f>
        <v>5</v>
      </c>
      <c r="E247" t="str">
        <f>"Q"&amp;ROUNDUP(MONTH(Retail_data[[#This Row],[Order Date]])/3,0)</f>
        <v>Q2</v>
      </c>
      <c r="F247" s="1">
        <v>46167</v>
      </c>
      <c r="G247" s="1">
        <v>46171</v>
      </c>
      <c r="H247" t="s">
        <v>925</v>
      </c>
      <c r="I247" t="s">
        <v>926</v>
      </c>
      <c r="J247" t="s">
        <v>44</v>
      </c>
      <c r="K247" t="s">
        <v>22</v>
      </c>
      <c r="L247" t="s">
        <v>34</v>
      </c>
      <c r="M247" t="s">
        <v>35</v>
      </c>
      <c r="N247" t="s">
        <v>36</v>
      </c>
      <c r="O247" t="s">
        <v>26</v>
      </c>
      <c r="P247" t="s">
        <v>27</v>
      </c>
      <c r="Q247" t="s">
        <v>511</v>
      </c>
      <c r="R247">
        <v>8634.66</v>
      </c>
      <c r="S247">
        <v>4</v>
      </c>
      <c r="T247">
        <v>0.3</v>
      </c>
      <c r="U247" t="str">
        <f>IF(Retail_data[[#This Row],[Sales]]&gt;30000,"High",IF(Retail_data[[#This Row],[Sales]]&gt;10000,"Medium","Low"))</f>
        <v>Low</v>
      </c>
      <c r="V247" s="3">
        <f>Retail_data[[#This Row],[Profit]]/Retail_data[[#This Row],[Sales]]</f>
        <v>3.111529579624444E-2</v>
      </c>
      <c r="W247">
        <v>268.67</v>
      </c>
      <c r="X247" t="s">
        <v>48</v>
      </c>
    </row>
    <row r="248" spans="1:24" ht="13.8" x14ac:dyDescent="0.25">
      <c r="A248" t="s">
        <v>927</v>
      </c>
      <c r="B248">
        <f>YEAR(Retail_data[[#This Row],[Order Date]])</f>
        <v>2026</v>
      </c>
      <c r="C248" t="str">
        <f>TEXT(Retail_data[[#This Row],[Order Date]],"mmmm")</f>
        <v>May</v>
      </c>
      <c r="D248">
        <f>MONTH(Retail_data[[#This Row],[Order Date]])</f>
        <v>5</v>
      </c>
      <c r="E248" t="str">
        <f>"Q"&amp;ROUNDUP(MONTH(Retail_data[[#This Row],[Order Date]])/3,0)</f>
        <v>Q2</v>
      </c>
      <c r="F248" s="1">
        <v>46168</v>
      </c>
      <c r="G248" s="1">
        <v>46172</v>
      </c>
      <c r="H248" t="s">
        <v>928</v>
      </c>
      <c r="I248" t="s">
        <v>929</v>
      </c>
      <c r="J248" t="s">
        <v>21</v>
      </c>
      <c r="K248" t="s">
        <v>22</v>
      </c>
      <c r="L248" t="s">
        <v>67</v>
      </c>
      <c r="M248" t="s">
        <v>68</v>
      </c>
      <c r="N248" t="s">
        <v>69</v>
      </c>
      <c r="O248" t="s">
        <v>37</v>
      </c>
      <c r="P248" t="s">
        <v>38</v>
      </c>
      <c r="Q248" t="s">
        <v>930</v>
      </c>
      <c r="R248">
        <v>39290.1</v>
      </c>
      <c r="S248">
        <v>7</v>
      </c>
      <c r="T248">
        <v>0.1</v>
      </c>
      <c r="U248" t="str">
        <f>IF(Retail_data[[#This Row],[Sales]]&gt;30000,"High",IF(Retail_data[[#This Row],[Sales]]&gt;10000,"Medium","Low"))</f>
        <v>High</v>
      </c>
      <c r="V248" s="3">
        <f>Retail_data[[#This Row],[Profit]]/Retail_data[[#This Row],[Sales]]</f>
        <v>0.25537400006617444</v>
      </c>
      <c r="W248">
        <v>10033.67</v>
      </c>
      <c r="X248" t="s">
        <v>40</v>
      </c>
    </row>
    <row r="249" spans="1:24" ht="13.8" x14ac:dyDescent="0.25">
      <c r="A249" t="s">
        <v>931</v>
      </c>
      <c r="B249">
        <f>YEAR(Retail_data[[#This Row],[Order Date]])</f>
        <v>2026</v>
      </c>
      <c r="C249" t="str">
        <f>TEXT(Retail_data[[#This Row],[Order Date]],"mmmm")</f>
        <v>May</v>
      </c>
      <c r="D249">
        <f>MONTH(Retail_data[[#This Row],[Order Date]])</f>
        <v>5</v>
      </c>
      <c r="E249" t="str">
        <f>"Q"&amp;ROUNDUP(MONTH(Retail_data[[#This Row],[Order Date]])/3,0)</f>
        <v>Q2</v>
      </c>
      <c r="F249" s="1">
        <v>46169</v>
      </c>
      <c r="G249" s="1">
        <v>46173</v>
      </c>
      <c r="H249" t="s">
        <v>932</v>
      </c>
      <c r="I249" t="s">
        <v>933</v>
      </c>
      <c r="J249" t="s">
        <v>21</v>
      </c>
      <c r="K249" t="s">
        <v>22</v>
      </c>
      <c r="L249" t="s">
        <v>85</v>
      </c>
      <c r="M249" t="s">
        <v>86</v>
      </c>
      <c r="N249" t="s">
        <v>87</v>
      </c>
      <c r="O249" t="s">
        <v>57</v>
      </c>
      <c r="P249" t="s">
        <v>149</v>
      </c>
      <c r="Q249" t="s">
        <v>835</v>
      </c>
      <c r="R249">
        <v>45830.81</v>
      </c>
      <c r="S249">
        <v>2</v>
      </c>
      <c r="T249">
        <v>0.3</v>
      </c>
      <c r="U249" t="str">
        <f>IF(Retail_data[[#This Row],[Sales]]&gt;30000,"High",IF(Retail_data[[#This Row],[Sales]]&gt;10000,"Medium","Low"))</f>
        <v>High</v>
      </c>
      <c r="V249" s="3">
        <f>Retail_data[[#This Row],[Profit]]/Retail_data[[#This Row],[Sales]]</f>
        <v>0.16833523125600441</v>
      </c>
      <c r="W249">
        <v>7714.94</v>
      </c>
      <c r="X249" t="s">
        <v>29</v>
      </c>
    </row>
    <row r="250" spans="1:24" ht="13.8" x14ac:dyDescent="0.25">
      <c r="A250" t="s">
        <v>934</v>
      </c>
      <c r="B250">
        <f>YEAR(Retail_data[[#This Row],[Order Date]])</f>
        <v>2026</v>
      </c>
      <c r="C250" t="str">
        <f>TEXT(Retail_data[[#This Row],[Order Date]],"mmmm")</f>
        <v>May</v>
      </c>
      <c r="D250">
        <f>MONTH(Retail_data[[#This Row],[Order Date]])</f>
        <v>5</v>
      </c>
      <c r="E250" t="str">
        <f>"Q"&amp;ROUNDUP(MONTH(Retail_data[[#This Row],[Order Date]])/3,0)</f>
        <v>Q2</v>
      </c>
      <c r="F250" s="1">
        <v>46170</v>
      </c>
      <c r="G250" s="1">
        <v>46174</v>
      </c>
      <c r="H250" t="s">
        <v>935</v>
      </c>
      <c r="I250" t="s">
        <v>936</v>
      </c>
      <c r="J250" t="s">
        <v>33</v>
      </c>
      <c r="K250" t="s">
        <v>22</v>
      </c>
      <c r="L250" t="s">
        <v>85</v>
      </c>
      <c r="M250" t="s">
        <v>86</v>
      </c>
      <c r="N250" t="s">
        <v>87</v>
      </c>
      <c r="O250" t="s">
        <v>37</v>
      </c>
      <c r="P250" t="s">
        <v>38</v>
      </c>
      <c r="Q250" t="s">
        <v>664</v>
      </c>
      <c r="R250">
        <v>21508.59</v>
      </c>
      <c r="S250">
        <v>4</v>
      </c>
      <c r="T250">
        <v>0.3</v>
      </c>
      <c r="U250" t="str">
        <f>IF(Retail_data[[#This Row],[Sales]]&gt;30000,"High",IF(Retail_data[[#This Row],[Sales]]&gt;10000,"Medium","Low"))</f>
        <v>Medium</v>
      </c>
      <c r="V250" s="3">
        <f>Retail_data[[#This Row],[Profit]]/Retail_data[[#This Row],[Sales]]</f>
        <v>0.10938001979674168</v>
      </c>
      <c r="W250">
        <v>2352.61</v>
      </c>
      <c r="X250" t="s">
        <v>29</v>
      </c>
    </row>
    <row r="251" spans="1:24" ht="13.8" x14ac:dyDescent="0.25">
      <c r="A251" t="s">
        <v>937</v>
      </c>
      <c r="B251">
        <f>YEAR(Retail_data[[#This Row],[Order Date]])</f>
        <v>2026</v>
      </c>
      <c r="C251" t="str">
        <f>TEXT(Retail_data[[#This Row],[Order Date]],"mmmm")</f>
        <v>May</v>
      </c>
      <c r="D251">
        <f>MONTH(Retail_data[[#This Row],[Order Date]])</f>
        <v>5</v>
      </c>
      <c r="E251" t="str">
        <f>"Q"&amp;ROUNDUP(MONTH(Retail_data[[#This Row],[Order Date]])/3,0)</f>
        <v>Q2</v>
      </c>
      <c r="F251" s="1">
        <v>46171</v>
      </c>
      <c r="G251" s="1">
        <v>46175</v>
      </c>
      <c r="H251" t="s">
        <v>938</v>
      </c>
      <c r="I251" t="s">
        <v>939</v>
      </c>
      <c r="J251" t="s">
        <v>44</v>
      </c>
      <c r="K251" t="s">
        <v>22</v>
      </c>
      <c r="L251" t="s">
        <v>85</v>
      </c>
      <c r="M251" t="s">
        <v>86</v>
      </c>
      <c r="N251" t="s">
        <v>87</v>
      </c>
      <c r="O251" t="s">
        <v>57</v>
      </c>
      <c r="P251" t="s">
        <v>149</v>
      </c>
      <c r="Q251" t="s">
        <v>399</v>
      </c>
      <c r="R251">
        <v>21595.4</v>
      </c>
      <c r="S251">
        <v>2</v>
      </c>
      <c r="T251">
        <v>0.1</v>
      </c>
      <c r="U251" t="str">
        <f>IF(Retail_data[[#This Row],[Sales]]&gt;30000,"High",IF(Retail_data[[#This Row],[Sales]]&gt;10000,"Medium","Low"))</f>
        <v>Medium</v>
      </c>
      <c r="V251" s="3">
        <f>Retail_data[[#This Row],[Profit]]/Retail_data[[#This Row],[Sales]]</f>
        <v>6.6506293006844047E-2</v>
      </c>
      <c r="W251">
        <v>1436.23</v>
      </c>
      <c r="X251" t="s">
        <v>81</v>
      </c>
    </row>
    <row r="252" spans="1:24" ht="13.8" x14ac:dyDescent="0.25">
      <c r="A252" t="s">
        <v>940</v>
      </c>
      <c r="B252">
        <f>YEAR(Retail_data[[#This Row],[Order Date]])</f>
        <v>2026</v>
      </c>
      <c r="C252" t="str">
        <f>TEXT(Retail_data[[#This Row],[Order Date]],"mmmm")</f>
        <v>May</v>
      </c>
      <c r="D252">
        <f>MONTH(Retail_data[[#This Row],[Order Date]])</f>
        <v>5</v>
      </c>
      <c r="E252" t="str">
        <f>"Q"&amp;ROUNDUP(MONTH(Retail_data[[#This Row],[Order Date]])/3,0)</f>
        <v>Q2</v>
      </c>
      <c r="F252" s="1">
        <v>46172</v>
      </c>
      <c r="G252" s="1">
        <v>46176</v>
      </c>
      <c r="H252" t="s">
        <v>941</v>
      </c>
      <c r="I252" t="s">
        <v>942</v>
      </c>
      <c r="J252" t="s">
        <v>21</v>
      </c>
      <c r="K252" t="s">
        <v>22</v>
      </c>
      <c r="L252" t="s">
        <v>67</v>
      </c>
      <c r="M252" t="s">
        <v>68</v>
      </c>
      <c r="N252" t="s">
        <v>69</v>
      </c>
      <c r="O252" t="s">
        <v>37</v>
      </c>
      <c r="P252" t="s">
        <v>38</v>
      </c>
      <c r="Q252" t="s">
        <v>943</v>
      </c>
      <c r="R252">
        <v>43804.08</v>
      </c>
      <c r="S252">
        <v>4</v>
      </c>
      <c r="T252">
        <v>0</v>
      </c>
      <c r="U252" t="str">
        <f>IF(Retail_data[[#This Row],[Sales]]&gt;30000,"High",IF(Retail_data[[#This Row],[Sales]]&gt;10000,"Medium","Low"))</f>
        <v>High</v>
      </c>
      <c r="V252" s="3">
        <f>Retail_data[[#This Row],[Profit]]/Retail_data[[#This Row],[Sales]]</f>
        <v>6.7463350445894535E-2</v>
      </c>
      <c r="W252">
        <v>2955.17</v>
      </c>
      <c r="X252" t="s">
        <v>29</v>
      </c>
    </row>
    <row r="253" spans="1:24" ht="13.8" x14ac:dyDescent="0.25">
      <c r="A253" t="s">
        <v>944</v>
      </c>
      <c r="B253">
        <f>YEAR(Retail_data[[#This Row],[Order Date]])</f>
        <v>2026</v>
      </c>
      <c r="C253" t="str">
        <f>TEXT(Retail_data[[#This Row],[Order Date]],"mmmm")</f>
        <v>May</v>
      </c>
      <c r="D253">
        <f>MONTH(Retail_data[[#This Row],[Order Date]])</f>
        <v>5</v>
      </c>
      <c r="E253" t="str">
        <f>"Q"&amp;ROUNDUP(MONTH(Retail_data[[#This Row],[Order Date]])/3,0)</f>
        <v>Q2</v>
      </c>
      <c r="F253" s="1">
        <v>46173</v>
      </c>
      <c r="G253" s="1">
        <v>46177</v>
      </c>
      <c r="H253" t="s">
        <v>945</v>
      </c>
      <c r="I253" t="s">
        <v>946</v>
      </c>
      <c r="J253" t="s">
        <v>44</v>
      </c>
      <c r="K253" t="s">
        <v>22</v>
      </c>
      <c r="L253" t="s">
        <v>23</v>
      </c>
      <c r="M253" t="s">
        <v>24</v>
      </c>
      <c r="N253" t="s">
        <v>25</v>
      </c>
      <c r="O253" t="s">
        <v>37</v>
      </c>
      <c r="P253" t="s">
        <v>38</v>
      </c>
      <c r="Q253" t="s">
        <v>145</v>
      </c>
      <c r="R253">
        <v>4828.45</v>
      </c>
      <c r="S253">
        <v>3</v>
      </c>
      <c r="T253">
        <v>0</v>
      </c>
      <c r="U253" t="str">
        <f>IF(Retail_data[[#This Row],[Sales]]&gt;30000,"High",IF(Retail_data[[#This Row],[Sales]]&gt;10000,"Medium","Low"))</f>
        <v>Low</v>
      </c>
      <c r="V253" s="3">
        <f>Retail_data[[#This Row],[Profit]]/Retail_data[[#This Row],[Sales]]</f>
        <v>0.29127359711708728</v>
      </c>
      <c r="W253">
        <v>1406.4</v>
      </c>
      <c r="X253" t="s">
        <v>81</v>
      </c>
    </row>
    <row r="254" spans="1:24" ht="13.8" x14ac:dyDescent="0.25">
      <c r="A254" t="s">
        <v>947</v>
      </c>
      <c r="B254">
        <f>YEAR(Retail_data[[#This Row],[Order Date]])</f>
        <v>2026</v>
      </c>
      <c r="C254" t="str">
        <f>TEXT(Retail_data[[#This Row],[Order Date]],"mmmm")</f>
        <v>June</v>
      </c>
      <c r="D254">
        <f>MONTH(Retail_data[[#This Row],[Order Date]])</f>
        <v>6</v>
      </c>
      <c r="E254" t="str">
        <f>"Q"&amp;ROUNDUP(MONTH(Retail_data[[#This Row],[Order Date]])/3,0)</f>
        <v>Q2</v>
      </c>
      <c r="F254" s="1">
        <v>46174</v>
      </c>
      <c r="G254" s="1">
        <v>46178</v>
      </c>
      <c r="H254" t="s">
        <v>948</v>
      </c>
      <c r="I254" t="s">
        <v>949</v>
      </c>
      <c r="J254" t="s">
        <v>44</v>
      </c>
      <c r="K254" t="s">
        <v>22</v>
      </c>
      <c r="L254" t="s">
        <v>67</v>
      </c>
      <c r="M254" t="s">
        <v>68</v>
      </c>
      <c r="N254" t="s">
        <v>69</v>
      </c>
      <c r="O254" t="s">
        <v>26</v>
      </c>
      <c r="P254" t="s">
        <v>27</v>
      </c>
      <c r="Q254" t="s">
        <v>839</v>
      </c>
      <c r="R254">
        <v>23124.12</v>
      </c>
      <c r="S254">
        <v>4</v>
      </c>
      <c r="T254">
        <v>0.1</v>
      </c>
      <c r="U254" t="str">
        <f>IF(Retail_data[[#This Row],[Sales]]&gt;30000,"High",IF(Retail_data[[#This Row],[Sales]]&gt;10000,"Medium","Low"))</f>
        <v>Medium</v>
      </c>
      <c r="V254" s="3">
        <f>Retail_data[[#This Row],[Profit]]/Retail_data[[#This Row],[Sales]]</f>
        <v>0.18823678479440517</v>
      </c>
      <c r="W254">
        <v>4352.8100000000004</v>
      </c>
      <c r="X254" t="s">
        <v>40</v>
      </c>
    </row>
    <row r="255" spans="1:24" ht="13.8" x14ac:dyDescent="0.25">
      <c r="A255" t="s">
        <v>950</v>
      </c>
      <c r="B255">
        <f>YEAR(Retail_data[[#This Row],[Order Date]])</f>
        <v>2026</v>
      </c>
      <c r="C255" t="str">
        <f>TEXT(Retail_data[[#This Row],[Order Date]],"mmmm")</f>
        <v>June</v>
      </c>
      <c r="D255">
        <f>MONTH(Retail_data[[#This Row],[Order Date]])</f>
        <v>6</v>
      </c>
      <c r="E255" t="str">
        <f>"Q"&amp;ROUNDUP(MONTH(Retail_data[[#This Row],[Order Date]])/3,0)</f>
        <v>Q2</v>
      </c>
      <c r="F255" s="1">
        <v>46175</v>
      </c>
      <c r="G255" s="1">
        <v>46179</v>
      </c>
      <c r="H255" t="s">
        <v>951</v>
      </c>
      <c r="I255" t="s">
        <v>952</v>
      </c>
      <c r="J255" t="s">
        <v>21</v>
      </c>
      <c r="K255" t="s">
        <v>22</v>
      </c>
      <c r="L255" t="s">
        <v>45</v>
      </c>
      <c r="M255" t="s">
        <v>45</v>
      </c>
      <c r="N255" t="s">
        <v>25</v>
      </c>
      <c r="O255" t="s">
        <v>37</v>
      </c>
      <c r="P255" t="s">
        <v>38</v>
      </c>
      <c r="Q255" t="s">
        <v>649</v>
      </c>
      <c r="R255">
        <v>9095.2800000000007</v>
      </c>
      <c r="S255">
        <v>8</v>
      </c>
      <c r="T255">
        <v>0.1</v>
      </c>
      <c r="U255" t="str">
        <f>IF(Retail_data[[#This Row],[Sales]]&gt;30000,"High",IF(Retail_data[[#This Row],[Sales]]&gt;10000,"Medium","Low"))</f>
        <v>Low</v>
      </c>
      <c r="V255" s="3">
        <f>Retail_data[[#This Row],[Profit]]/Retail_data[[#This Row],[Sales]]</f>
        <v>3.5576694725176133E-2</v>
      </c>
      <c r="W255">
        <v>323.58</v>
      </c>
      <c r="X255" t="s">
        <v>81</v>
      </c>
    </row>
    <row r="256" spans="1:24" ht="13.8" x14ac:dyDescent="0.25">
      <c r="A256" t="s">
        <v>953</v>
      </c>
      <c r="B256">
        <f>YEAR(Retail_data[[#This Row],[Order Date]])</f>
        <v>2026</v>
      </c>
      <c r="C256" t="str">
        <f>TEXT(Retail_data[[#This Row],[Order Date]],"mmmm")</f>
        <v>June</v>
      </c>
      <c r="D256">
        <f>MONTH(Retail_data[[#This Row],[Order Date]])</f>
        <v>6</v>
      </c>
      <c r="E256" t="str">
        <f>"Q"&amp;ROUNDUP(MONTH(Retail_data[[#This Row],[Order Date]])/3,0)</f>
        <v>Q2</v>
      </c>
      <c r="F256" s="1">
        <v>46176</v>
      </c>
      <c r="G256" s="1">
        <v>46180</v>
      </c>
      <c r="H256" t="s">
        <v>954</v>
      </c>
      <c r="I256" t="s">
        <v>955</v>
      </c>
      <c r="J256" t="s">
        <v>44</v>
      </c>
      <c r="K256" t="s">
        <v>22</v>
      </c>
      <c r="L256" t="s">
        <v>23</v>
      </c>
      <c r="M256" t="s">
        <v>24</v>
      </c>
      <c r="N256" t="s">
        <v>25</v>
      </c>
      <c r="O256" t="s">
        <v>37</v>
      </c>
      <c r="P256" t="s">
        <v>52</v>
      </c>
      <c r="Q256" t="s">
        <v>328</v>
      </c>
      <c r="R256">
        <v>29487.94</v>
      </c>
      <c r="S256">
        <v>7</v>
      </c>
      <c r="T256">
        <v>0.3</v>
      </c>
      <c r="U256" t="str">
        <f>IF(Retail_data[[#This Row],[Sales]]&gt;30000,"High",IF(Retail_data[[#This Row],[Sales]]&gt;10000,"Medium","Low"))</f>
        <v>Medium</v>
      </c>
      <c r="V256" s="3">
        <f>Retail_data[[#This Row],[Profit]]/Retail_data[[#This Row],[Sales]]</f>
        <v>0.14381913419519982</v>
      </c>
      <c r="W256">
        <v>4240.93</v>
      </c>
      <c r="X256" t="s">
        <v>48</v>
      </c>
    </row>
    <row r="257" spans="1:24" ht="13.8" x14ac:dyDescent="0.25">
      <c r="A257" t="s">
        <v>956</v>
      </c>
      <c r="B257">
        <f>YEAR(Retail_data[[#This Row],[Order Date]])</f>
        <v>2026</v>
      </c>
      <c r="C257" t="str">
        <f>TEXT(Retail_data[[#This Row],[Order Date]],"mmmm")</f>
        <v>June</v>
      </c>
      <c r="D257">
        <f>MONTH(Retail_data[[#This Row],[Order Date]])</f>
        <v>6</v>
      </c>
      <c r="E257" t="str">
        <f>"Q"&amp;ROUNDUP(MONTH(Retail_data[[#This Row],[Order Date]])/3,0)</f>
        <v>Q2</v>
      </c>
      <c r="F257" s="1">
        <v>46177</v>
      </c>
      <c r="G257" s="1">
        <v>46181</v>
      </c>
      <c r="H257" t="s">
        <v>957</v>
      </c>
      <c r="I257" t="s">
        <v>958</v>
      </c>
      <c r="J257" t="s">
        <v>21</v>
      </c>
      <c r="K257" t="s">
        <v>22</v>
      </c>
      <c r="L257" t="s">
        <v>45</v>
      </c>
      <c r="M257" t="s">
        <v>45</v>
      </c>
      <c r="N257" t="s">
        <v>25</v>
      </c>
      <c r="O257" t="s">
        <v>26</v>
      </c>
      <c r="P257" t="s">
        <v>27</v>
      </c>
      <c r="Q257" t="s">
        <v>168</v>
      </c>
      <c r="R257">
        <v>12146.51</v>
      </c>
      <c r="S257">
        <v>2</v>
      </c>
      <c r="T257">
        <v>0.2</v>
      </c>
      <c r="U257" t="str">
        <f>IF(Retail_data[[#This Row],[Sales]]&gt;30000,"High",IF(Retail_data[[#This Row],[Sales]]&gt;10000,"Medium","Low"))</f>
        <v>Medium</v>
      </c>
      <c r="V257" s="3">
        <f>Retail_data[[#This Row],[Profit]]/Retail_data[[#This Row],[Sales]]</f>
        <v>0.18832487685763233</v>
      </c>
      <c r="W257">
        <v>2287.4899999999998</v>
      </c>
      <c r="X257" t="s">
        <v>40</v>
      </c>
    </row>
    <row r="258" spans="1:24" ht="13.8" x14ac:dyDescent="0.25">
      <c r="A258" t="s">
        <v>959</v>
      </c>
      <c r="B258">
        <f>YEAR(Retail_data[[#This Row],[Order Date]])</f>
        <v>2026</v>
      </c>
      <c r="C258" t="str">
        <f>TEXT(Retail_data[[#This Row],[Order Date]],"mmmm")</f>
        <v>June</v>
      </c>
      <c r="D258">
        <f>MONTH(Retail_data[[#This Row],[Order Date]])</f>
        <v>6</v>
      </c>
      <c r="E258" t="str">
        <f>"Q"&amp;ROUNDUP(MONTH(Retail_data[[#This Row],[Order Date]])/3,0)</f>
        <v>Q2</v>
      </c>
      <c r="F258" s="1">
        <v>46178</v>
      </c>
      <c r="G258" s="1">
        <v>46182</v>
      </c>
      <c r="H258" t="s">
        <v>960</v>
      </c>
      <c r="I258" t="s">
        <v>961</v>
      </c>
      <c r="J258" t="s">
        <v>33</v>
      </c>
      <c r="K258" t="s">
        <v>22</v>
      </c>
      <c r="L258" t="s">
        <v>34</v>
      </c>
      <c r="M258" t="s">
        <v>35</v>
      </c>
      <c r="N258" t="s">
        <v>36</v>
      </c>
      <c r="O258" t="s">
        <v>26</v>
      </c>
      <c r="P258" t="s">
        <v>70</v>
      </c>
      <c r="Q258" t="s">
        <v>316</v>
      </c>
      <c r="R258">
        <v>29299.4</v>
      </c>
      <c r="S258">
        <v>5</v>
      </c>
      <c r="T258">
        <v>0.2</v>
      </c>
      <c r="U258" t="str">
        <f>IF(Retail_data[[#This Row],[Sales]]&gt;30000,"High",IF(Retail_data[[#This Row],[Sales]]&gt;10000,"Medium","Low"))</f>
        <v>Medium</v>
      </c>
      <c r="V258" s="3">
        <f>Retail_data[[#This Row],[Profit]]/Retail_data[[#This Row],[Sales]]</f>
        <v>-1.6399994539137319E-2</v>
      </c>
      <c r="W258">
        <v>-480.51</v>
      </c>
      <c r="X258" t="s">
        <v>29</v>
      </c>
    </row>
    <row r="259" spans="1:24" ht="13.8" x14ac:dyDescent="0.25">
      <c r="A259" t="s">
        <v>962</v>
      </c>
      <c r="B259">
        <f>YEAR(Retail_data[[#This Row],[Order Date]])</f>
        <v>2026</v>
      </c>
      <c r="C259" t="str">
        <f>TEXT(Retail_data[[#This Row],[Order Date]],"mmmm")</f>
        <v>June</v>
      </c>
      <c r="D259">
        <f>MONTH(Retail_data[[#This Row],[Order Date]])</f>
        <v>6</v>
      </c>
      <c r="E259" t="str">
        <f>"Q"&amp;ROUNDUP(MONTH(Retail_data[[#This Row],[Order Date]])/3,0)</f>
        <v>Q2</v>
      </c>
      <c r="F259" s="1">
        <v>46179</v>
      </c>
      <c r="G259" s="1">
        <v>46183</v>
      </c>
      <c r="H259" t="s">
        <v>963</v>
      </c>
      <c r="I259" t="s">
        <v>964</v>
      </c>
      <c r="J259" t="s">
        <v>21</v>
      </c>
      <c r="K259" t="s">
        <v>22</v>
      </c>
      <c r="L259" t="s">
        <v>85</v>
      </c>
      <c r="M259" t="s">
        <v>86</v>
      </c>
      <c r="N259" t="s">
        <v>87</v>
      </c>
      <c r="O259" t="s">
        <v>26</v>
      </c>
      <c r="P259" t="s">
        <v>92</v>
      </c>
      <c r="Q259" t="s">
        <v>570</v>
      </c>
      <c r="R259">
        <v>23743.38</v>
      </c>
      <c r="S259">
        <v>3</v>
      </c>
      <c r="T259">
        <v>0</v>
      </c>
      <c r="U259" t="str">
        <f>IF(Retail_data[[#This Row],[Sales]]&gt;30000,"High",IF(Retail_data[[#This Row],[Sales]]&gt;10000,"Medium","Low"))</f>
        <v>Medium</v>
      </c>
      <c r="V259" s="3">
        <f>Retail_data[[#This Row],[Profit]]/Retail_data[[#This Row],[Sales]]</f>
        <v>6.5889523732509864E-2</v>
      </c>
      <c r="W259">
        <v>1564.44</v>
      </c>
      <c r="X259" t="s">
        <v>29</v>
      </c>
    </row>
    <row r="260" spans="1:24" ht="13.8" x14ac:dyDescent="0.25">
      <c r="A260" t="s">
        <v>965</v>
      </c>
      <c r="B260">
        <f>YEAR(Retail_data[[#This Row],[Order Date]])</f>
        <v>2026</v>
      </c>
      <c r="C260" t="str">
        <f>TEXT(Retail_data[[#This Row],[Order Date]],"mmmm")</f>
        <v>June</v>
      </c>
      <c r="D260">
        <f>MONTH(Retail_data[[#This Row],[Order Date]])</f>
        <v>6</v>
      </c>
      <c r="E260" t="str">
        <f>"Q"&amp;ROUNDUP(MONTH(Retail_data[[#This Row],[Order Date]])/3,0)</f>
        <v>Q2</v>
      </c>
      <c r="F260" s="1">
        <v>46180</v>
      </c>
      <c r="G260" s="1">
        <v>46184</v>
      </c>
      <c r="H260" t="s">
        <v>966</v>
      </c>
      <c r="I260" t="s">
        <v>967</v>
      </c>
      <c r="J260" t="s">
        <v>44</v>
      </c>
      <c r="K260" t="s">
        <v>22</v>
      </c>
      <c r="L260" t="s">
        <v>67</v>
      </c>
      <c r="M260" t="s">
        <v>68</v>
      </c>
      <c r="N260" t="s">
        <v>69</v>
      </c>
      <c r="O260" t="s">
        <v>37</v>
      </c>
      <c r="P260" t="s">
        <v>46</v>
      </c>
      <c r="Q260" t="s">
        <v>968</v>
      </c>
      <c r="R260">
        <v>13907.47</v>
      </c>
      <c r="S260">
        <v>5</v>
      </c>
      <c r="T260">
        <v>0.2</v>
      </c>
      <c r="U260" t="str">
        <f>IF(Retail_data[[#This Row],[Sales]]&gt;30000,"High",IF(Retail_data[[#This Row],[Sales]]&gt;10000,"Medium","Low"))</f>
        <v>Medium</v>
      </c>
      <c r="V260" s="3">
        <f>Retail_data[[#This Row],[Profit]]/Retail_data[[#This Row],[Sales]]</f>
        <v>5.3532382237747055E-2</v>
      </c>
      <c r="W260">
        <v>744.5</v>
      </c>
      <c r="X260" t="s">
        <v>81</v>
      </c>
    </row>
    <row r="261" spans="1:24" ht="13.8" x14ac:dyDescent="0.25">
      <c r="A261" t="s">
        <v>969</v>
      </c>
      <c r="B261">
        <f>YEAR(Retail_data[[#This Row],[Order Date]])</f>
        <v>2026</v>
      </c>
      <c r="C261" t="str">
        <f>TEXT(Retail_data[[#This Row],[Order Date]],"mmmm")</f>
        <v>June</v>
      </c>
      <c r="D261">
        <f>MONTH(Retail_data[[#This Row],[Order Date]])</f>
        <v>6</v>
      </c>
      <c r="E261" t="str">
        <f>"Q"&amp;ROUNDUP(MONTH(Retail_data[[#This Row],[Order Date]])/3,0)</f>
        <v>Q2</v>
      </c>
      <c r="F261" s="1">
        <v>46181</v>
      </c>
      <c r="G261" s="1">
        <v>46185</v>
      </c>
      <c r="H261" t="s">
        <v>970</v>
      </c>
      <c r="I261" t="s">
        <v>971</v>
      </c>
      <c r="J261" t="s">
        <v>33</v>
      </c>
      <c r="K261" t="s">
        <v>22</v>
      </c>
      <c r="L261" t="s">
        <v>23</v>
      </c>
      <c r="M261" t="s">
        <v>24</v>
      </c>
      <c r="N261" t="s">
        <v>25</v>
      </c>
      <c r="O261" t="s">
        <v>26</v>
      </c>
      <c r="P261" t="s">
        <v>70</v>
      </c>
      <c r="Q261" t="s">
        <v>117</v>
      </c>
      <c r="R261">
        <v>19260.16</v>
      </c>
      <c r="S261">
        <v>7</v>
      </c>
      <c r="T261">
        <v>0</v>
      </c>
      <c r="U261" t="str">
        <f>IF(Retail_data[[#This Row],[Sales]]&gt;30000,"High",IF(Retail_data[[#This Row],[Sales]]&gt;10000,"Medium","Low"))</f>
        <v>Medium</v>
      </c>
      <c r="V261" s="3">
        <f>Retail_data[[#This Row],[Profit]]/Retail_data[[#This Row],[Sales]]</f>
        <v>6.2502596032431718E-2</v>
      </c>
      <c r="W261">
        <v>1203.81</v>
      </c>
      <c r="X261" t="s">
        <v>29</v>
      </c>
    </row>
    <row r="262" spans="1:24" ht="13.8" x14ac:dyDescent="0.25">
      <c r="A262" t="s">
        <v>972</v>
      </c>
      <c r="B262">
        <f>YEAR(Retail_data[[#This Row],[Order Date]])</f>
        <v>2026</v>
      </c>
      <c r="C262" t="str">
        <f>TEXT(Retail_data[[#This Row],[Order Date]],"mmmm")</f>
        <v>June</v>
      </c>
      <c r="D262">
        <f>MONTH(Retail_data[[#This Row],[Order Date]])</f>
        <v>6</v>
      </c>
      <c r="E262" t="str">
        <f>"Q"&amp;ROUNDUP(MONTH(Retail_data[[#This Row],[Order Date]])/3,0)</f>
        <v>Q2</v>
      </c>
      <c r="F262" s="1">
        <v>46182</v>
      </c>
      <c r="G262" s="1">
        <v>46186</v>
      </c>
      <c r="H262" t="s">
        <v>973</v>
      </c>
      <c r="I262" t="s">
        <v>974</v>
      </c>
      <c r="J262" t="s">
        <v>44</v>
      </c>
      <c r="K262" t="s">
        <v>22</v>
      </c>
      <c r="L262" t="s">
        <v>34</v>
      </c>
      <c r="M262" t="s">
        <v>35</v>
      </c>
      <c r="N262" t="s">
        <v>36</v>
      </c>
      <c r="O262" t="s">
        <v>37</v>
      </c>
      <c r="P262" t="s">
        <v>52</v>
      </c>
      <c r="Q262" t="s">
        <v>184</v>
      </c>
      <c r="R262">
        <v>41964.94</v>
      </c>
      <c r="S262">
        <v>4</v>
      </c>
      <c r="T262">
        <v>0.1</v>
      </c>
      <c r="U262" t="str">
        <f>IF(Retail_data[[#This Row],[Sales]]&gt;30000,"High",IF(Retail_data[[#This Row],[Sales]]&gt;10000,"Medium","Low"))</f>
        <v>High</v>
      </c>
      <c r="V262" s="3">
        <f>Retail_data[[#This Row],[Profit]]/Retail_data[[#This Row],[Sales]]</f>
        <v>0.17621876738058007</v>
      </c>
      <c r="W262">
        <v>7395.01</v>
      </c>
      <c r="X262" t="s">
        <v>81</v>
      </c>
    </row>
    <row r="263" spans="1:24" ht="13.8" x14ac:dyDescent="0.25">
      <c r="A263" t="s">
        <v>975</v>
      </c>
      <c r="B263">
        <f>YEAR(Retail_data[[#This Row],[Order Date]])</f>
        <v>2026</v>
      </c>
      <c r="C263" t="str">
        <f>TEXT(Retail_data[[#This Row],[Order Date]],"mmmm")</f>
        <v>June</v>
      </c>
      <c r="D263">
        <f>MONTH(Retail_data[[#This Row],[Order Date]])</f>
        <v>6</v>
      </c>
      <c r="E263" t="str">
        <f>"Q"&amp;ROUNDUP(MONTH(Retail_data[[#This Row],[Order Date]])/3,0)</f>
        <v>Q2</v>
      </c>
      <c r="F263" s="1">
        <v>46183</v>
      </c>
      <c r="G263" s="1">
        <v>46187</v>
      </c>
      <c r="H263" t="s">
        <v>976</v>
      </c>
      <c r="I263" t="s">
        <v>977</v>
      </c>
      <c r="J263" t="s">
        <v>33</v>
      </c>
      <c r="K263" t="s">
        <v>22</v>
      </c>
      <c r="L263" t="s">
        <v>45</v>
      </c>
      <c r="M263" t="s">
        <v>45</v>
      </c>
      <c r="N263" t="s">
        <v>25</v>
      </c>
      <c r="O263" t="s">
        <v>37</v>
      </c>
      <c r="P263" t="s">
        <v>46</v>
      </c>
      <c r="Q263" t="s">
        <v>978</v>
      </c>
      <c r="R263">
        <v>40377.9</v>
      </c>
      <c r="S263">
        <v>7</v>
      </c>
      <c r="T263">
        <v>0.1</v>
      </c>
      <c r="U263" t="str">
        <f>IF(Retail_data[[#This Row],[Sales]]&gt;30000,"High",IF(Retail_data[[#This Row],[Sales]]&gt;10000,"Medium","Low"))</f>
        <v>High</v>
      </c>
      <c r="V263" s="3">
        <f>Retail_data[[#This Row],[Profit]]/Retail_data[[#This Row],[Sales]]</f>
        <v>0.16169439222941262</v>
      </c>
      <c r="W263">
        <v>6528.88</v>
      </c>
      <c r="X263" t="s">
        <v>29</v>
      </c>
    </row>
    <row r="264" spans="1:24" ht="13.8" x14ac:dyDescent="0.25">
      <c r="A264" t="s">
        <v>979</v>
      </c>
      <c r="B264">
        <f>YEAR(Retail_data[[#This Row],[Order Date]])</f>
        <v>2026</v>
      </c>
      <c r="C264" t="str">
        <f>TEXT(Retail_data[[#This Row],[Order Date]],"mmmm")</f>
        <v>June</v>
      </c>
      <c r="D264">
        <f>MONTH(Retail_data[[#This Row],[Order Date]])</f>
        <v>6</v>
      </c>
      <c r="E264" t="str">
        <f>"Q"&amp;ROUNDUP(MONTH(Retail_data[[#This Row],[Order Date]])/3,0)</f>
        <v>Q2</v>
      </c>
      <c r="F264" s="1">
        <v>46184</v>
      </c>
      <c r="G264" s="1">
        <v>46188</v>
      </c>
      <c r="H264" t="s">
        <v>980</v>
      </c>
      <c r="I264" t="s">
        <v>981</v>
      </c>
      <c r="J264" t="s">
        <v>44</v>
      </c>
      <c r="K264" t="s">
        <v>22</v>
      </c>
      <c r="L264" t="s">
        <v>67</v>
      </c>
      <c r="M264" t="s">
        <v>68</v>
      </c>
      <c r="N264" t="s">
        <v>69</v>
      </c>
      <c r="O264" t="s">
        <v>37</v>
      </c>
      <c r="P264" t="s">
        <v>46</v>
      </c>
      <c r="Q264" t="s">
        <v>978</v>
      </c>
      <c r="R264">
        <v>23194.21</v>
      </c>
      <c r="S264">
        <v>7</v>
      </c>
      <c r="T264">
        <v>0.3</v>
      </c>
      <c r="U264" t="str">
        <f>IF(Retail_data[[#This Row],[Sales]]&gt;30000,"High",IF(Retail_data[[#This Row],[Sales]]&gt;10000,"Medium","Low"))</f>
        <v>Medium</v>
      </c>
      <c r="V264" s="3">
        <f>Retail_data[[#This Row],[Profit]]/Retail_data[[#This Row],[Sales]]</f>
        <v>0.16506145283672088</v>
      </c>
      <c r="W264">
        <v>3828.47</v>
      </c>
      <c r="X264" t="s">
        <v>40</v>
      </c>
    </row>
    <row r="265" spans="1:24" ht="13.8" x14ac:dyDescent="0.25">
      <c r="A265" t="s">
        <v>982</v>
      </c>
      <c r="B265">
        <f>YEAR(Retail_data[[#This Row],[Order Date]])</f>
        <v>2026</v>
      </c>
      <c r="C265" t="str">
        <f>TEXT(Retail_data[[#This Row],[Order Date]],"mmmm")</f>
        <v>June</v>
      </c>
      <c r="D265">
        <f>MONTH(Retail_data[[#This Row],[Order Date]])</f>
        <v>6</v>
      </c>
      <c r="E265" t="str">
        <f>"Q"&amp;ROUNDUP(MONTH(Retail_data[[#This Row],[Order Date]])/3,0)</f>
        <v>Q2</v>
      </c>
      <c r="F265" s="1">
        <v>46185</v>
      </c>
      <c r="G265" s="1">
        <v>46189</v>
      </c>
      <c r="H265" t="s">
        <v>983</v>
      </c>
      <c r="I265" t="s">
        <v>984</v>
      </c>
      <c r="J265" t="s">
        <v>33</v>
      </c>
      <c r="K265" t="s">
        <v>22</v>
      </c>
      <c r="L265" t="s">
        <v>23</v>
      </c>
      <c r="M265" t="s">
        <v>24</v>
      </c>
      <c r="N265" t="s">
        <v>25</v>
      </c>
      <c r="O265" t="s">
        <v>37</v>
      </c>
      <c r="P265" t="s">
        <v>38</v>
      </c>
      <c r="Q265" t="s">
        <v>930</v>
      </c>
      <c r="R265">
        <v>30015.27</v>
      </c>
      <c r="S265">
        <v>7</v>
      </c>
      <c r="T265">
        <v>0.1</v>
      </c>
      <c r="U265" t="str">
        <f>IF(Retail_data[[#This Row],[Sales]]&gt;30000,"High",IF(Retail_data[[#This Row],[Sales]]&gt;10000,"Medium","Low"))</f>
        <v>High</v>
      </c>
      <c r="V265" s="3">
        <f>Retail_data[[#This Row],[Profit]]/Retail_data[[#This Row],[Sales]]</f>
        <v>0.23849360675416212</v>
      </c>
      <c r="W265">
        <v>7158.45</v>
      </c>
      <c r="X265" t="s">
        <v>48</v>
      </c>
    </row>
    <row r="266" spans="1:24" ht="13.8" x14ac:dyDescent="0.25">
      <c r="A266" t="s">
        <v>985</v>
      </c>
      <c r="B266">
        <f>YEAR(Retail_data[[#This Row],[Order Date]])</f>
        <v>2026</v>
      </c>
      <c r="C266" t="str">
        <f>TEXT(Retail_data[[#This Row],[Order Date]],"mmmm")</f>
        <v>June</v>
      </c>
      <c r="D266">
        <f>MONTH(Retail_data[[#This Row],[Order Date]])</f>
        <v>6</v>
      </c>
      <c r="E266" t="str">
        <f>"Q"&amp;ROUNDUP(MONTH(Retail_data[[#This Row],[Order Date]])/3,0)</f>
        <v>Q2</v>
      </c>
      <c r="F266" s="1">
        <v>46186</v>
      </c>
      <c r="G266" s="1">
        <v>46190</v>
      </c>
      <c r="H266" t="s">
        <v>986</v>
      </c>
      <c r="I266" t="s">
        <v>987</v>
      </c>
      <c r="J266" t="s">
        <v>21</v>
      </c>
      <c r="K266" t="s">
        <v>22</v>
      </c>
      <c r="L266" t="s">
        <v>85</v>
      </c>
      <c r="M266" t="s">
        <v>86</v>
      </c>
      <c r="N266" t="s">
        <v>87</v>
      </c>
      <c r="O266" t="s">
        <v>37</v>
      </c>
      <c r="P266" t="s">
        <v>46</v>
      </c>
      <c r="Q266" t="s">
        <v>202</v>
      </c>
      <c r="R266">
        <v>43236.37</v>
      </c>
      <c r="S266">
        <v>5</v>
      </c>
      <c r="T266">
        <v>0.2</v>
      </c>
      <c r="U266" t="str">
        <f>IF(Retail_data[[#This Row],[Sales]]&gt;30000,"High",IF(Retail_data[[#This Row],[Sales]]&gt;10000,"Medium","Low"))</f>
        <v>High</v>
      </c>
      <c r="V266" s="3">
        <f>Retail_data[[#This Row],[Profit]]/Retail_data[[#This Row],[Sales]]</f>
        <v>0.17531050825959718</v>
      </c>
      <c r="W266">
        <v>7579.79</v>
      </c>
      <c r="X266" t="s">
        <v>81</v>
      </c>
    </row>
    <row r="267" spans="1:24" ht="13.8" x14ac:dyDescent="0.25">
      <c r="A267" t="s">
        <v>988</v>
      </c>
      <c r="B267">
        <f>YEAR(Retail_data[[#This Row],[Order Date]])</f>
        <v>2026</v>
      </c>
      <c r="C267" t="str">
        <f>TEXT(Retail_data[[#This Row],[Order Date]],"mmmm")</f>
        <v>June</v>
      </c>
      <c r="D267">
        <f>MONTH(Retail_data[[#This Row],[Order Date]])</f>
        <v>6</v>
      </c>
      <c r="E267" t="str">
        <f>"Q"&amp;ROUNDUP(MONTH(Retail_data[[#This Row],[Order Date]])/3,0)</f>
        <v>Q2</v>
      </c>
      <c r="F267" s="1">
        <v>46187</v>
      </c>
      <c r="G267" s="1">
        <v>46191</v>
      </c>
      <c r="H267" t="s">
        <v>989</v>
      </c>
      <c r="I267" t="s">
        <v>990</v>
      </c>
      <c r="J267" t="s">
        <v>33</v>
      </c>
      <c r="K267" t="s">
        <v>22</v>
      </c>
      <c r="L267" t="s">
        <v>23</v>
      </c>
      <c r="M267" t="s">
        <v>24</v>
      </c>
      <c r="N267" t="s">
        <v>25</v>
      </c>
      <c r="O267" t="s">
        <v>26</v>
      </c>
      <c r="P267" t="s">
        <v>70</v>
      </c>
      <c r="Q267" t="s">
        <v>239</v>
      </c>
      <c r="R267">
        <v>16745.990000000002</v>
      </c>
      <c r="S267">
        <v>8</v>
      </c>
      <c r="T267">
        <v>0.2</v>
      </c>
      <c r="U267" t="str">
        <f>IF(Retail_data[[#This Row],[Sales]]&gt;30000,"High",IF(Retail_data[[#This Row],[Sales]]&gt;10000,"Medium","Low"))</f>
        <v>Medium</v>
      </c>
      <c r="V267" s="3">
        <f>Retail_data[[#This Row],[Profit]]/Retail_data[[#This Row],[Sales]]</f>
        <v>0.20366607169835882</v>
      </c>
      <c r="W267">
        <v>3410.59</v>
      </c>
      <c r="X267" t="s">
        <v>81</v>
      </c>
    </row>
    <row r="268" spans="1:24" ht="13.8" x14ac:dyDescent="0.25">
      <c r="A268" t="s">
        <v>991</v>
      </c>
      <c r="B268">
        <f>YEAR(Retail_data[[#This Row],[Order Date]])</f>
        <v>2026</v>
      </c>
      <c r="C268" t="str">
        <f>TEXT(Retail_data[[#This Row],[Order Date]],"mmmm")</f>
        <v>June</v>
      </c>
      <c r="D268">
        <f>MONTH(Retail_data[[#This Row],[Order Date]])</f>
        <v>6</v>
      </c>
      <c r="E268" t="str">
        <f>"Q"&amp;ROUNDUP(MONTH(Retail_data[[#This Row],[Order Date]])/3,0)</f>
        <v>Q2</v>
      </c>
      <c r="F268" s="1">
        <v>46188</v>
      </c>
      <c r="G268" s="1">
        <v>46192</v>
      </c>
      <c r="H268" t="s">
        <v>992</v>
      </c>
      <c r="I268" t="s">
        <v>993</v>
      </c>
      <c r="J268" t="s">
        <v>44</v>
      </c>
      <c r="K268" t="s">
        <v>22</v>
      </c>
      <c r="L268" t="s">
        <v>85</v>
      </c>
      <c r="M268" t="s">
        <v>86</v>
      </c>
      <c r="N268" t="s">
        <v>87</v>
      </c>
      <c r="O268" t="s">
        <v>26</v>
      </c>
      <c r="P268" t="s">
        <v>70</v>
      </c>
      <c r="Q268" t="s">
        <v>994</v>
      </c>
      <c r="R268">
        <v>21757.88</v>
      </c>
      <c r="S268">
        <v>8</v>
      </c>
      <c r="T268">
        <v>0</v>
      </c>
      <c r="U268" t="str">
        <f>IF(Retail_data[[#This Row],[Sales]]&gt;30000,"High",IF(Retail_data[[#This Row],[Sales]]&gt;10000,"Medium","Low"))</f>
        <v>Medium</v>
      </c>
      <c r="V268" s="3">
        <f>Retail_data[[#This Row],[Profit]]/Retail_data[[#This Row],[Sales]]</f>
        <v>0.11042528040415701</v>
      </c>
      <c r="W268">
        <v>2402.62</v>
      </c>
      <c r="X268" t="s">
        <v>40</v>
      </c>
    </row>
    <row r="269" spans="1:24" ht="13.8" x14ac:dyDescent="0.25">
      <c r="A269" t="s">
        <v>995</v>
      </c>
      <c r="B269">
        <f>YEAR(Retail_data[[#This Row],[Order Date]])</f>
        <v>2026</v>
      </c>
      <c r="C269" t="str">
        <f>TEXT(Retail_data[[#This Row],[Order Date]],"mmmm")</f>
        <v>June</v>
      </c>
      <c r="D269">
        <f>MONTH(Retail_data[[#This Row],[Order Date]])</f>
        <v>6</v>
      </c>
      <c r="E269" t="str">
        <f>"Q"&amp;ROUNDUP(MONTH(Retail_data[[#This Row],[Order Date]])/3,0)</f>
        <v>Q2</v>
      </c>
      <c r="F269" s="1">
        <v>46189</v>
      </c>
      <c r="G269" s="1">
        <v>46193</v>
      </c>
      <c r="H269" t="s">
        <v>996</v>
      </c>
      <c r="I269" t="s">
        <v>997</v>
      </c>
      <c r="J269" t="s">
        <v>33</v>
      </c>
      <c r="K269" t="s">
        <v>22</v>
      </c>
      <c r="L269" t="s">
        <v>34</v>
      </c>
      <c r="M269" t="s">
        <v>35</v>
      </c>
      <c r="N269" t="s">
        <v>36</v>
      </c>
      <c r="O269" t="s">
        <v>37</v>
      </c>
      <c r="P269" t="s">
        <v>38</v>
      </c>
      <c r="Q269" t="s">
        <v>998</v>
      </c>
      <c r="R269">
        <v>48088.12</v>
      </c>
      <c r="S269">
        <v>7</v>
      </c>
      <c r="T269">
        <v>0.3</v>
      </c>
      <c r="U269" t="str">
        <f>IF(Retail_data[[#This Row],[Sales]]&gt;30000,"High",IF(Retail_data[[#This Row],[Sales]]&gt;10000,"Medium","Low"))</f>
        <v>High</v>
      </c>
      <c r="V269" s="3">
        <f>Retail_data[[#This Row],[Profit]]/Retail_data[[#This Row],[Sales]]</f>
        <v>9.0851960941704512E-3</v>
      </c>
      <c r="W269">
        <v>436.89</v>
      </c>
      <c r="X269" t="s">
        <v>48</v>
      </c>
    </row>
    <row r="270" spans="1:24" ht="13.8" x14ac:dyDescent="0.25">
      <c r="A270" t="s">
        <v>999</v>
      </c>
      <c r="B270">
        <f>YEAR(Retail_data[[#This Row],[Order Date]])</f>
        <v>2026</v>
      </c>
      <c r="C270" t="str">
        <f>TEXT(Retail_data[[#This Row],[Order Date]],"mmmm")</f>
        <v>June</v>
      </c>
      <c r="D270">
        <f>MONTH(Retail_data[[#This Row],[Order Date]])</f>
        <v>6</v>
      </c>
      <c r="E270" t="str">
        <f>"Q"&amp;ROUNDUP(MONTH(Retail_data[[#This Row],[Order Date]])/3,0)</f>
        <v>Q2</v>
      </c>
      <c r="F270" s="1">
        <v>46190</v>
      </c>
      <c r="G270" s="1">
        <v>46194</v>
      </c>
      <c r="H270" t="s">
        <v>1000</v>
      </c>
      <c r="I270" t="s">
        <v>1001</v>
      </c>
      <c r="J270" t="s">
        <v>21</v>
      </c>
      <c r="K270" t="s">
        <v>22</v>
      </c>
      <c r="L270" t="s">
        <v>85</v>
      </c>
      <c r="M270" t="s">
        <v>86</v>
      </c>
      <c r="N270" t="s">
        <v>87</v>
      </c>
      <c r="O270" t="s">
        <v>57</v>
      </c>
      <c r="P270" t="s">
        <v>58</v>
      </c>
      <c r="Q270" t="s">
        <v>814</v>
      </c>
      <c r="R270">
        <v>17775.38</v>
      </c>
      <c r="S270">
        <v>6</v>
      </c>
      <c r="T270">
        <v>0.1</v>
      </c>
      <c r="U270" t="str">
        <f>IF(Retail_data[[#This Row],[Sales]]&gt;30000,"High",IF(Retail_data[[#This Row],[Sales]]&gt;10000,"Medium","Low"))</f>
        <v>Medium</v>
      </c>
      <c r="V270" s="3">
        <f>Retail_data[[#This Row],[Profit]]/Retail_data[[#This Row],[Sales]]</f>
        <v>0.12109952079786761</v>
      </c>
      <c r="W270">
        <v>2152.59</v>
      </c>
      <c r="X270" t="s">
        <v>81</v>
      </c>
    </row>
    <row r="271" spans="1:24" ht="13.8" x14ac:dyDescent="0.25">
      <c r="A271" t="s">
        <v>1002</v>
      </c>
      <c r="B271">
        <f>YEAR(Retail_data[[#This Row],[Order Date]])</f>
        <v>2026</v>
      </c>
      <c r="C271" t="str">
        <f>TEXT(Retail_data[[#This Row],[Order Date]],"mmmm")</f>
        <v>June</v>
      </c>
      <c r="D271">
        <f>MONTH(Retail_data[[#This Row],[Order Date]])</f>
        <v>6</v>
      </c>
      <c r="E271" t="str">
        <f>"Q"&amp;ROUNDUP(MONTH(Retail_data[[#This Row],[Order Date]])/3,0)</f>
        <v>Q2</v>
      </c>
      <c r="F271" s="1">
        <v>46191</v>
      </c>
      <c r="G271" s="1">
        <v>46195</v>
      </c>
      <c r="H271" t="s">
        <v>1003</v>
      </c>
      <c r="I271" t="s">
        <v>1004</v>
      </c>
      <c r="J271" t="s">
        <v>33</v>
      </c>
      <c r="K271" t="s">
        <v>22</v>
      </c>
      <c r="L271" t="s">
        <v>34</v>
      </c>
      <c r="M271" t="s">
        <v>35</v>
      </c>
      <c r="N271" t="s">
        <v>36</v>
      </c>
      <c r="O271" t="s">
        <v>57</v>
      </c>
      <c r="P271" t="s">
        <v>58</v>
      </c>
      <c r="Q271" t="s">
        <v>278</v>
      </c>
      <c r="R271">
        <v>24461.07</v>
      </c>
      <c r="S271">
        <v>2</v>
      </c>
      <c r="T271">
        <v>0.2</v>
      </c>
      <c r="U271" t="str">
        <f>IF(Retail_data[[#This Row],[Sales]]&gt;30000,"High",IF(Retail_data[[#This Row],[Sales]]&gt;10000,"Medium","Low"))</f>
        <v>Medium</v>
      </c>
      <c r="V271" s="3">
        <f>Retail_data[[#This Row],[Profit]]/Retail_data[[#This Row],[Sales]]</f>
        <v>0.1626650019806983</v>
      </c>
      <c r="W271">
        <v>3978.96</v>
      </c>
      <c r="X271" t="s">
        <v>29</v>
      </c>
    </row>
    <row r="272" spans="1:24" ht="13.8" x14ac:dyDescent="0.25">
      <c r="A272" t="s">
        <v>1005</v>
      </c>
      <c r="B272">
        <f>YEAR(Retail_data[[#This Row],[Order Date]])</f>
        <v>2026</v>
      </c>
      <c r="C272" t="str">
        <f>TEXT(Retail_data[[#This Row],[Order Date]],"mmmm")</f>
        <v>June</v>
      </c>
      <c r="D272">
        <f>MONTH(Retail_data[[#This Row],[Order Date]])</f>
        <v>6</v>
      </c>
      <c r="E272" t="str">
        <f>"Q"&amp;ROUNDUP(MONTH(Retail_data[[#This Row],[Order Date]])/3,0)</f>
        <v>Q2</v>
      </c>
      <c r="F272" s="1">
        <v>46192</v>
      </c>
      <c r="G272" s="1">
        <v>46196</v>
      </c>
      <c r="H272" t="s">
        <v>1006</v>
      </c>
      <c r="I272" t="s">
        <v>1007</v>
      </c>
      <c r="J272" t="s">
        <v>44</v>
      </c>
      <c r="K272" t="s">
        <v>22</v>
      </c>
      <c r="L272" t="s">
        <v>34</v>
      </c>
      <c r="M272" t="s">
        <v>35</v>
      </c>
      <c r="N272" t="s">
        <v>36</v>
      </c>
      <c r="O272" t="s">
        <v>26</v>
      </c>
      <c r="P272" t="s">
        <v>70</v>
      </c>
      <c r="Q272" t="s">
        <v>117</v>
      </c>
      <c r="R272">
        <v>10611.79</v>
      </c>
      <c r="S272">
        <v>4</v>
      </c>
      <c r="T272">
        <v>0.3</v>
      </c>
      <c r="U272" t="str">
        <f>IF(Retail_data[[#This Row],[Sales]]&gt;30000,"High",IF(Retail_data[[#This Row],[Sales]]&gt;10000,"Medium","Low"))</f>
        <v>Medium</v>
      </c>
      <c r="V272" s="3">
        <f>Retail_data[[#This Row],[Profit]]/Retail_data[[#This Row],[Sales]]</f>
        <v>3.0265393491578706E-2</v>
      </c>
      <c r="W272">
        <v>321.17</v>
      </c>
      <c r="X272" t="s">
        <v>81</v>
      </c>
    </row>
    <row r="273" spans="1:24" ht="13.8" x14ac:dyDescent="0.25">
      <c r="A273" t="s">
        <v>1008</v>
      </c>
      <c r="B273">
        <f>YEAR(Retail_data[[#This Row],[Order Date]])</f>
        <v>2026</v>
      </c>
      <c r="C273" t="str">
        <f>TEXT(Retail_data[[#This Row],[Order Date]],"mmmm")</f>
        <v>June</v>
      </c>
      <c r="D273">
        <f>MONTH(Retail_data[[#This Row],[Order Date]])</f>
        <v>6</v>
      </c>
      <c r="E273" t="str">
        <f>"Q"&amp;ROUNDUP(MONTH(Retail_data[[#This Row],[Order Date]])/3,0)</f>
        <v>Q2</v>
      </c>
      <c r="F273" s="1">
        <v>46193</v>
      </c>
      <c r="G273" s="1">
        <v>46197</v>
      </c>
      <c r="H273" t="s">
        <v>1009</v>
      </c>
      <c r="I273" t="s">
        <v>1010</v>
      </c>
      <c r="J273" t="s">
        <v>21</v>
      </c>
      <c r="K273" t="s">
        <v>22</v>
      </c>
      <c r="L273" t="s">
        <v>67</v>
      </c>
      <c r="M273" t="s">
        <v>68</v>
      </c>
      <c r="N273" t="s">
        <v>69</v>
      </c>
      <c r="O273" t="s">
        <v>57</v>
      </c>
      <c r="P273" t="s">
        <v>58</v>
      </c>
      <c r="Q273" t="s">
        <v>125</v>
      </c>
      <c r="R273">
        <v>19701.63</v>
      </c>
      <c r="S273">
        <v>7</v>
      </c>
      <c r="T273">
        <v>0</v>
      </c>
      <c r="U273" t="str">
        <f>IF(Retail_data[[#This Row],[Sales]]&gt;30000,"High",IF(Retail_data[[#This Row],[Sales]]&gt;10000,"Medium","Low"))</f>
        <v>Medium</v>
      </c>
      <c r="V273" s="3">
        <f>Retail_data[[#This Row],[Profit]]/Retail_data[[#This Row],[Sales]]</f>
        <v>0.20270302507965077</v>
      </c>
      <c r="W273">
        <v>3993.58</v>
      </c>
      <c r="X273" t="s">
        <v>48</v>
      </c>
    </row>
    <row r="274" spans="1:24" ht="13.8" x14ac:dyDescent="0.25">
      <c r="A274" t="s">
        <v>1011</v>
      </c>
      <c r="B274">
        <f>YEAR(Retail_data[[#This Row],[Order Date]])</f>
        <v>2026</v>
      </c>
      <c r="C274" t="str">
        <f>TEXT(Retail_data[[#This Row],[Order Date]],"mmmm")</f>
        <v>June</v>
      </c>
      <c r="D274">
        <f>MONTH(Retail_data[[#This Row],[Order Date]])</f>
        <v>6</v>
      </c>
      <c r="E274" t="str">
        <f>"Q"&amp;ROUNDUP(MONTH(Retail_data[[#This Row],[Order Date]])/3,0)</f>
        <v>Q2</v>
      </c>
      <c r="F274" s="1">
        <v>46194</v>
      </c>
      <c r="G274" s="1">
        <v>46198</v>
      </c>
      <c r="H274" t="s">
        <v>1012</v>
      </c>
      <c r="I274" t="s">
        <v>1013</v>
      </c>
      <c r="J274" t="s">
        <v>33</v>
      </c>
      <c r="K274" t="s">
        <v>22</v>
      </c>
      <c r="L274" t="s">
        <v>34</v>
      </c>
      <c r="M274" t="s">
        <v>35</v>
      </c>
      <c r="N274" t="s">
        <v>36</v>
      </c>
      <c r="O274" t="s">
        <v>26</v>
      </c>
      <c r="P274" t="s">
        <v>92</v>
      </c>
      <c r="Q274" t="s">
        <v>1014</v>
      </c>
      <c r="R274">
        <v>19848.8</v>
      </c>
      <c r="S274">
        <v>2</v>
      </c>
      <c r="T274">
        <v>0</v>
      </c>
      <c r="U274" t="str">
        <f>IF(Retail_data[[#This Row],[Sales]]&gt;30000,"High",IF(Retail_data[[#This Row],[Sales]]&gt;10000,"Medium","Low"))</f>
        <v>Medium</v>
      </c>
      <c r="V274" s="3">
        <f>Retail_data[[#This Row],[Profit]]/Retail_data[[#This Row],[Sales]]</f>
        <v>0.24225847406392326</v>
      </c>
      <c r="W274">
        <v>4808.54</v>
      </c>
      <c r="X274" t="s">
        <v>40</v>
      </c>
    </row>
    <row r="275" spans="1:24" ht="13.8" x14ac:dyDescent="0.25">
      <c r="A275" t="s">
        <v>1015</v>
      </c>
      <c r="B275">
        <f>YEAR(Retail_data[[#This Row],[Order Date]])</f>
        <v>2026</v>
      </c>
      <c r="C275" t="str">
        <f>TEXT(Retail_data[[#This Row],[Order Date]],"mmmm")</f>
        <v>June</v>
      </c>
      <c r="D275">
        <f>MONTH(Retail_data[[#This Row],[Order Date]])</f>
        <v>6</v>
      </c>
      <c r="E275" t="str">
        <f>"Q"&amp;ROUNDUP(MONTH(Retail_data[[#This Row],[Order Date]])/3,0)</f>
        <v>Q2</v>
      </c>
      <c r="F275" s="1">
        <v>46195</v>
      </c>
      <c r="G275" s="1">
        <v>46199</v>
      </c>
      <c r="H275" t="s">
        <v>1016</v>
      </c>
      <c r="I275" t="s">
        <v>1017</v>
      </c>
      <c r="J275" t="s">
        <v>33</v>
      </c>
      <c r="K275" t="s">
        <v>22</v>
      </c>
      <c r="L275" t="s">
        <v>67</v>
      </c>
      <c r="M275" t="s">
        <v>68</v>
      </c>
      <c r="N275" t="s">
        <v>69</v>
      </c>
      <c r="O275" t="s">
        <v>26</v>
      </c>
      <c r="P275" t="s">
        <v>27</v>
      </c>
      <c r="Q275" t="s">
        <v>577</v>
      </c>
      <c r="R275">
        <v>28624.76</v>
      </c>
      <c r="S275">
        <v>5</v>
      </c>
      <c r="T275">
        <v>0.3</v>
      </c>
      <c r="U275" t="str">
        <f>IF(Retail_data[[#This Row],[Sales]]&gt;30000,"High",IF(Retail_data[[#This Row],[Sales]]&gt;10000,"Medium","Low"))</f>
        <v>Medium</v>
      </c>
      <c r="V275" s="3">
        <f>Retail_data[[#This Row],[Profit]]/Retail_data[[#This Row],[Sales]]</f>
        <v>-4.7449131451233133E-2</v>
      </c>
      <c r="W275">
        <v>-1358.22</v>
      </c>
      <c r="X275" t="s">
        <v>29</v>
      </c>
    </row>
    <row r="276" spans="1:24" ht="13.8" x14ac:dyDescent="0.25">
      <c r="A276" t="s">
        <v>1018</v>
      </c>
      <c r="B276">
        <f>YEAR(Retail_data[[#This Row],[Order Date]])</f>
        <v>2026</v>
      </c>
      <c r="C276" t="str">
        <f>TEXT(Retail_data[[#This Row],[Order Date]],"mmmm")</f>
        <v>June</v>
      </c>
      <c r="D276">
        <f>MONTH(Retail_data[[#This Row],[Order Date]])</f>
        <v>6</v>
      </c>
      <c r="E276" t="str">
        <f>"Q"&amp;ROUNDUP(MONTH(Retail_data[[#This Row],[Order Date]])/3,0)</f>
        <v>Q2</v>
      </c>
      <c r="F276" s="1">
        <v>46196</v>
      </c>
      <c r="G276" s="1">
        <v>46200</v>
      </c>
      <c r="H276" t="s">
        <v>1019</v>
      </c>
      <c r="I276" t="s">
        <v>1020</v>
      </c>
      <c r="J276" t="s">
        <v>44</v>
      </c>
      <c r="K276" t="s">
        <v>22</v>
      </c>
      <c r="L276" t="s">
        <v>23</v>
      </c>
      <c r="M276" t="s">
        <v>24</v>
      </c>
      <c r="N276" t="s">
        <v>25</v>
      </c>
      <c r="O276" t="s">
        <v>37</v>
      </c>
      <c r="P276" t="s">
        <v>46</v>
      </c>
      <c r="Q276" t="s">
        <v>105</v>
      </c>
      <c r="R276">
        <v>31621.03</v>
      </c>
      <c r="S276">
        <v>4</v>
      </c>
      <c r="T276">
        <v>0.3</v>
      </c>
      <c r="U276" t="str">
        <f>IF(Retail_data[[#This Row],[Sales]]&gt;30000,"High",IF(Retail_data[[#This Row],[Sales]]&gt;10000,"Medium","Low"))</f>
        <v>High</v>
      </c>
      <c r="V276" s="3">
        <f>Retail_data[[#This Row],[Profit]]/Retail_data[[#This Row],[Sales]]</f>
        <v>-4.2471418546454684E-2</v>
      </c>
      <c r="W276">
        <v>-1342.99</v>
      </c>
      <c r="X276" t="s">
        <v>48</v>
      </c>
    </row>
    <row r="277" spans="1:24" ht="13.8" x14ac:dyDescent="0.25">
      <c r="A277" t="s">
        <v>1021</v>
      </c>
      <c r="B277">
        <f>YEAR(Retail_data[[#This Row],[Order Date]])</f>
        <v>2026</v>
      </c>
      <c r="C277" t="str">
        <f>TEXT(Retail_data[[#This Row],[Order Date]],"mmmm")</f>
        <v>June</v>
      </c>
      <c r="D277">
        <f>MONTH(Retail_data[[#This Row],[Order Date]])</f>
        <v>6</v>
      </c>
      <c r="E277" t="str">
        <f>"Q"&amp;ROUNDUP(MONTH(Retail_data[[#This Row],[Order Date]])/3,0)</f>
        <v>Q2</v>
      </c>
      <c r="F277" s="1">
        <v>46197</v>
      </c>
      <c r="G277" s="1">
        <v>46201</v>
      </c>
      <c r="H277" t="s">
        <v>1022</v>
      </c>
      <c r="I277" t="s">
        <v>1023</v>
      </c>
      <c r="J277" t="s">
        <v>21</v>
      </c>
      <c r="K277" t="s">
        <v>22</v>
      </c>
      <c r="L277" t="s">
        <v>34</v>
      </c>
      <c r="M277" t="s">
        <v>35</v>
      </c>
      <c r="N277" t="s">
        <v>36</v>
      </c>
      <c r="O277" t="s">
        <v>57</v>
      </c>
      <c r="P277" t="s">
        <v>149</v>
      </c>
      <c r="Q277" t="s">
        <v>399</v>
      </c>
      <c r="R277">
        <v>40604.67</v>
      </c>
      <c r="S277">
        <v>1</v>
      </c>
      <c r="T277">
        <v>0.2</v>
      </c>
      <c r="U277" t="str">
        <f>IF(Retail_data[[#This Row],[Sales]]&gt;30000,"High",IF(Retail_data[[#This Row],[Sales]]&gt;10000,"Medium","Low"))</f>
        <v>High</v>
      </c>
      <c r="V277" s="3">
        <f>Retail_data[[#This Row],[Profit]]/Retail_data[[#This Row],[Sales]]</f>
        <v>-2.9672202729390487E-2</v>
      </c>
      <c r="W277">
        <v>-1204.83</v>
      </c>
      <c r="X277" t="s">
        <v>48</v>
      </c>
    </row>
    <row r="278" spans="1:24" ht="13.8" x14ac:dyDescent="0.25">
      <c r="A278" t="s">
        <v>1024</v>
      </c>
      <c r="B278">
        <f>YEAR(Retail_data[[#This Row],[Order Date]])</f>
        <v>2026</v>
      </c>
      <c r="C278" t="str">
        <f>TEXT(Retail_data[[#This Row],[Order Date]],"mmmm")</f>
        <v>June</v>
      </c>
      <c r="D278">
        <f>MONTH(Retail_data[[#This Row],[Order Date]])</f>
        <v>6</v>
      </c>
      <c r="E278" t="str">
        <f>"Q"&amp;ROUNDUP(MONTH(Retail_data[[#This Row],[Order Date]])/3,0)</f>
        <v>Q2</v>
      </c>
      <c r="F278" s="1">
        <v>46198</v>
      </c>
      <c r="G278" s="1">
        <v>46202</v>
      </c>
      <c r="H278" t="s">
        <v>1025</v>
      </c>
      <c r="I278" t="s">
        <v>1026</v>
      </c>
      <c r="J278" t="s">
        <v>33</v>
      </c>
      <c r="K278" t="s">
        <v>22</v>
      </c>
      <c r="L278" t="s">
        <v>45</v>
      </c>
      <c r="M278" t="s">
        <v>45</v>
      </c>
      <c r="N278" t="s">
        <v>25</v>
      </c>
      <c r="O278" t="s">
        <v>37</v>
      </c>
      <c r="P278" t="s">
        <v>38</v>
      </c>
      <c r="Q278" t="s">
        <v>1027</v>
      </c>
      <c r="R278">
        <v>26079.11</v>
      </c>
      <c r="S278">
        <v>2</v>
      </c>
      <c r="T278">
        <v>0.1</v>
      </c>
      <c r="U278" t="str">
        <f>IF(Retail_data[[#This Row],[Sales]]&gt;30000,"High",IF(Retail_data[[#This Row],[Sales]]&gt;10000,"Medium","Low"))</f>
        <v>Medium</v>
      </c>
      <c r="V278" s="3">
        <f>Retail_data[[#This Row],[Profit]]/Retail_data[[#This Row],[Sales]]</f>
        <v>0.20961374832193275</v>
      </c>
      <c r="W278">
        <v>5466.54</v>
      </c>
      <c r="X278" t="s">
        <v>29</v>
      </c>
    </row>
    <row r="279" spans="1:24" ht="13.8" x14ac:dyDescent="0.25">
      <c r="A279" t="s">
        <v>1028</v>
      </c>
      <c r="B279">
        <f>YEAR(Retail_data[[#This Row],[Order Date]])</f>
        <v>2026</v>
      </c>
      <c r="C279" t="str">
        <f>TEXT(Retail_data[[#This Row],[Order Date]],"mmmm")</f>
        <v>June</v>
      </c>
      <c r="D279">
        <f>MONTH(Retail_data[[#This Row],[Order Date]])</f>
        <v>6</v>
      </c>
      <c r="E279" t="str">
        <f>"Q"&amp;ROUNDUP(MONTH(Retail_data[[#This Row],[Order Date]])/3,0)</f>
        <v>Q2</v>
      </c>
      <c r="F279" s="1">
        <v>46199</v>
      </c>
      <c r="G279" s="1">
        <v>46203</v>
      </c>
      <c r="H279" t="s">
        <v>1029</v>
      </c>
      <c r="I279" t="s">
        <v>1030</v>
      </c>
      <c r="J279" t="s">
        <v>44</v>
      </c>
      <c r="K279" t="s">
        <v>22</v>
      </c>
      <c r="L279" t="s">
        <v>45</v>
      </c>
      <c r="M279" t="s">
        <v>45</v>
      </c>
      <c r="N279" t="s">
        <v>25</v>
      </c>
      <c r="O279" t="s">
        <v>37</v>
      </c>
      <c r="P279" t="s">
        <v>52</v>
      </c>
      <c r="Q279" t="s">
        <v>1031</v>
      </c>
      <c r="R279">
        <v>15827.26</v>
      </c>
      <c r="S279">
        <v>4</v>
      </c>
      <c r="T279">
        <v>0.2</v>
      </c>
      <c r="U279" t="str">
        <f>IF(Retail_data[[#This Row],[Sales]]&gt;30000,"High",IF(Retail_data[[#This Row],[Sales]]&gt;10000,"Medium","Low"))</f>
        <v>Medium</v>
      </c>
      <c r="V279" s="3">
        <f>Retail_data[[#This Row],[Profit]]/Retail_data[[#This Row],[Sales]]</f>
        <v>0.21909477698603549</v>
      </c>
      <c r="W279">
        <v>3467.67</v>
      </c>
      <c r="X279" t="s">
        <v>81</v>
      </c>
    </row>
    <row r="280" spans="1:24" ht="13.8" x14ac:dyDescent="0.25">
      <c r="A280" t="s">
        <v>1032</v>
      </c>
      <c r="B280">
        <f>YEAR(Retail_data[[#This Row],[Order Date]])</f>
        <v>2026</v>
      </c>
      <c r="C280" t="str">
        <f>TEXT(Retail_data[[#This Row],[Order Date]],"mmmm")</f>
        <v>June</v>
      </c>
      <c r="D280">
        <f>MONTH(Retail_data[[#This Row],[Order Date]])</f>
        <v>6</v>
      </c>
      <c r="E280" t="str">
        <f>"Q"&amp;ROUNDUP(MONTH(Retail_data[[#This Row],[Order Date]])/3,0)</f>
        <v>Q2</v>
      </c>
      <c r="F280" s="1">
        <v>46200</v>
      </c>
      <c r="G280" s="1">
        <v>46204</v>
      </c>
      <c r="H280" t="s">
        <v>1033</v>
      </c>
      <c r="I280" t="s">
        <v>1034</v>
      </c>
      <c r="J280" t="s">
        <v>33</v>
      </c>
      <c r="K280" t="s">
        <v>22</v>
      </c>
      <c r="L280" t="s">
        <v>67</v>
      </c>
      <c r="M280" t="s">
        <v>68</v>
      </c>
      <c r="N280" t="s">
        <v>69</v>
      </c>
      <c r="O280" t="s">
        <v>57</v>
      </c>
      <c r="P280" t="s">
        <v>149</v>
      </c>
      <c r="Q280" t="s">
        <v>227</v>
      </c>
      <c r="R280">
        <v>48232.13</v>
      </c>
      <c r="S280">
        <v>3</v>
      </c>
      <c r="T280">
        <v>0.1</v>
      </c>
      <c r="U280" t="str">
        <f>IF(Retail_data[[#This Row],[Sales]]&gt;30000,"High",IF(Retail_data[[#This Row],[Sales]]&gt;10000,"Medium","Low"))</f>
        <v>High</v>
      </c>
      <c r="V280" s="3">
        <f>Retail_data[[#This Row],[Profit]]/Retail_data[[#This Row],[Sales]]</f>
        <v>8.1616341637825246E-2</v>
      </c>
      <c r="W280">
        <v>3936.53</v>
      </c>
      <c r="X280" t="s">
        <v>40</v>
      </c>
    </row>
    <row r="281" spans="1:24" ht="13.8" x14ac:dyDescent="0.25">
      <c r="A281" t="s">
        <v>1035</v>
      </c>
      <c r="B281">
        <f>YEAR(Retail_data[[#This Row],[Order Date]])</f>
        <v>2026</v>
      </c>
      <c r="C281" t="str">
        <f>TEXT(Retail_data[[#This Row],[Order Date]],"mmmm")</f>
        <v>June</v>
      </c>
      <c r="D281">
        <f>MONTH(Retail_data[[#This Row],[Order Date]])</f>
        <v>6</v>
      </c>
      <c r="E281" t="str">
        <f>"Q"&amp;ROUNDUP(MONTH(Retail_data[[#This Row],[Order Date]])/3,0)</f>
        <v>Q2</v>
      </c>
      <c r="F281" s="1">
        <v>46201</v>
      </c>
      <c r="G281" s="1">
        <v>46205</v>
      </c>
      <c r="H281" t="s">
        <v>1036</v>
      </c>
      <c r="I281" t="s">
        <v>1037</v>
      </c>
      <c r="J281" t="s">
        <v>44</v>
      </c>
      <c r="K281" t="s">
        <v>22</v>
      </c>
      <c r="L281" t="s">
        <v>45</v>
      </c>
      <c r="M281" t="s">
        <v>45</v>
      </c>
      <c r="N281" t="s">
        <v>25</v>
      </c>
      <c r="O281" t="s">
        <v>37</v>
      </c>
      <c r="P281" t="s">
        <v>38</v>
      </c>
      <c r="Q281" t="s">
        <v>1027</v>
      </c>
      <c r="R281">
        <v>29203.67</v>
      </c>
      <c r="S281">
        <v>4</v>
      </c>
      <c r="T281">
        <v>0.1</v>
      </c>
      <c r="U281" t="str">
        <f>IF(Retail_data[[#This Row],[Sales]]&gt;30000,"High",IF(Retail_data[[#This Row],[Sales]]&gt;10000,"Medium","Low"))</f>
        <v>Medium</v>
      </c>
      <c r="V281" s="3">
        <f>Retail_data[[#This Row],[Profit]]/Retail_data[[#This Row],[Sales]]</f>
        <v>3.8120208864159885E-2</v>
      </c>
      <c r="W281">
        <v>1113.25</v>
      </c>
      <c r="X281" t="s">
        <v>48</v>
      </c>
    </row>
    <row r="282" spans="1:24" ht="13.8" x14ac:dyDescent="0.25">
      <c r="A282" t="s">
        <v>1038</v>
      </c>
      <c r="B282">
        <f>YEAR(Retail_data[[#This Row],[Order Date]])</f>
        <v>2026</v>
      </c>
      <c r="C282" t="str">
        <f>TEXT(Retail_data[[#This Row],[Order Date]],"mmmm")</f>
        <v>June</v>
      </c>
      <c r="D282">
        <f>MONTH(Retail_data[[#This Row],[Order Date]])</f>
        <v>6</v>
      </c>
      <c r="E282" t="str">
        <f>"Q"&amp;ROUNDUP(MONTH(Retail_data[[#This Row],[Order Date]])/3,0)</f>
        <v>Q2</v>
      </c>
      <c r="F282" s="1">
        <v>46202</v>
      </c>
      <c r="G282" s="1">
        <v>46206</v>
      </c>
      <c r="H282" t="s">
        <v>1039</v>
      </c>
      <c r="I282" t="s">
        <v>1040</v>
      </c>
      <c r="J282" t="s">
        <v>21</v>
      </c>
      <c r="K282" t="s">
        <v>22</v>
      </c>
      <c r="L282" t="s">
        <v>45</v>
      </c>
      <c r="M282" t="s">
        <v>45</v>
      </c>
      <c r="N282" t="s">
        <v>25</v>
      </c>
      <c r="O282" t="s">
        <v>37</v>
      </c>
      <c r="P282" t="s">
        <v>46</v>
      </c>
      <c r="Q282" t="s">
        <v>105</v>
      </c>
      <c r="R282">
        <v>31170.12</v>
      </c>
      <c r="S282">
        <v>8</v>
      </c>
      <c r="T282">
        <v>0.3</v>
      </c>
      <c r="U282" t="str">
        <f>IF(Retail_data[[#This Row],[Sales]]&gt;30000,"High",IF(Retail_data[[#This Row],[Sales]]&gt;10000,"Medium","Low"))</f>
        <v>High</v>
      </c>
      <c r="V282" s="3">
        <f>Retail_data[[#This Row],[Profit]]/Retail_data[[#This Row],[Sales]]</f>
        <v>5.3291100579657698E-2</v>
      </c>
      <c r="W282">
        <v>1661.09</v>
      </c>
      <c r="X282" t="s">
        <v>29</v>
      </c>
    </row>
    <row r="283" spans="1:24" ht="13.8" x14ac:dyDescent="0.25">
      <c r="A283" t="s">
        <v>1041</v>
      </c>
      <c r="B283">
        <f>YEAR(Retail_data[[#This Row],[Order Date]])</f>
        <v>2026</v>
      </c>
      <c r="C283" t="str">
        <f>TEXT(Retail_data[[#This Row],[Order Date]],"mmmm")</f>
        <v>June</v>
      </c>
      <c r="D283">
        <f>MONTH(Retail_data[[#This Row],[Order Date]])</f>
        <v>6</v>
      </c>
      <c r="E283" t="str">
        <f>"Q"&amp;ROUNDUP(MONTH(Retail_data[[#This Row],[Order Date]])/3,0)</f>
        <v>Q2</v>
      </c>
      <c r="F283" s="1">
        <v>46203</v>
      </c>
      <c r="G283" s="1">
        <v>46207</v>
      </c>
      <c r="H283" t="s">
        <v>1042</v>
      </c>
      <c r="I283" t="s">
        <v>1043</v>
      </c>
      <c r="J283" t="s">
        <v>33</v>
      </c>
      <c r="K283" t="s">
        <v>22</v>
      </c>
      <c r="L283" t="s">
        <v>45</v>
      </c>
      <c r="M283" t="s">
        <v>45</v>
      </c>
      <c r="N283" t="s">
        <v>25</v>
      </c>
      <c r="O283" t="s">
        <v>37</v>
      </c>
      <c r="P283" t="s">
        <v>38</v>
      </c>
      <c r="Q283" t="s">
        <v>885</v>
      </c>
      <c r="R283">
        <v>25558.43</v>
      </c>
      <c r="S283">
        <v>1</v>
      </c>
      <c r="T283">
        <v>0.2</v>
      </c>
      <c r="U283" t="str">
        <f>IF(Retail_data[[#This Row],[Sales]]&gt;30000,"High",IF(Retail_data[[#This Row],[Sales]]&gt;10000,"Medium","Low"))</f>
        <v>Medium</v>
      </c>
      <c r="V283" s="3">
        <f>Retail_data[[#This Row],[Profit]]/Retail_data[[#This Row],[Sales]]</f>
        <v>0.14574838908336701</v>
      </c>
      <c r="W283">
        <v>3725.1</v>
      </c>
      <c r="X283" t="s">
        <v>40</v>
      </c>
    </row>
    <row r="284" spans="1:24" ht="13.8" x14ac:dyDescent="0.25">
      <c r="A284" t="s">
        <v>1044</v>
      </c>
      <c r="B284">
        <f>YEAR(Retail_data[[#This Row],[Order Date]])</f>
        <v>2026</v>
      </c>
      <c r="C284" t="str">
        <f>TEXT(Retail_data[[#This Row],[Order Date]],"mmmm")</f>
        <v>July</v>
      </c>
      <c r="D284">
        <f>MONTH(Retail_data[[#This Row],[Order Date]])</f>
        <v>7</v>
      </c>
      <c r="E284" t="str">
        <f>"Q"&amp;ROUNDUP(MONTH(Retail_data[[#This Row],[Order Date]])/3,0)</f>
        <v>Q3</v>
      </c>
      <c r="F284" s="1">
        <v>46204</v>
      </c>
      <c r="G284" s="1">
        <v>46208</v>
      </c>
      <c r="H284" t="s">
        <v>1045</v>
      </c>
      <c r="I284" t="s">
        <v>1046</v>
      </c>
      <c r="J284" t="s">
        <v>33</v>
      </c>
      <c r="K284" t="s">
        <v>22</v>
      </c>
      <c r="L284" t="s">
        <v>67</v>
      </c>
      <c r="M284" t="s">
        <v>68</v>
      </c>
      <c r="N284" t="s">
        <v>69</v>
      </c>
      <c r="O284" t="s">
        <v>37</v>
      </c>
      <c r="P284" t="s">
        <v>52</v>
      </c>
      <c r="Q284" t="s">
        <v>358</v>
      </c>
      <c r="R284">
        <v>17119.13</v>
      </c>
      <c r="S284">
        <v>6</v>
      </c>
      <c r="T284">
        <v>0.2</v>
      </c>
      <c r="U284" t="str">
        <f>IF(Retail_data[[#This Row],[Sales]]&gt;30000,"High",IF(Retail_data[[#This Row],[Sales]]&gt;10000,"Medium","Low"))</f>
        <v>Medium</v>
      </c>
      <c r="V284" s="3">
        <f>Retail_data[[#This Row],[Profit]]/Retail_data[[#This Row],[Sales]]</f>
        <v>5.0093083001297375E-2</v>
      </c>
      <c r="W284">
        <v>857.55</v>
      </c>
      <c r="X284" t="s">
        <v>29</v>
      </c>
    </row>
    <row r="285" spans="1:24" ht="13.8" x14ac:dyDescent="0.25">
      <c r="A285" t="s">
        <v>1047</v>
      </c>
      <c r="B285">
        <f>YEAR(Retail_data[[#This Row],[Order Date]])</f>
        <v>2026</v>
      </c>
      <c r="C285" t="str">
        <f>TEXT(Retail_data[[#This Row],[Order Date]],"mmmm")</f>
        <v>July</v>
      </c>
      <c r="D285">
        <f>MONTH(Retail_data[[#This Row],[Order Date]])</f>
        <v>7</v>
      </c>
      <c r="E285" t="str">
        <f>"Q"&amp;ROUNDUP(MONTH(Retail_data[[#This Row],[Order Date]])/3,0)</f>
        <v>Q3</v>
      </c>
      <c r="F285" s="1">
        <v>46205</v>
      </c>
      <c r="G285" s="1">
        <v>46209</v>
      </c>
      <c r="H285" t="s">
        <v>1048</v>
      </c>
      <c r="I285" t="s">
        <v>1049</v>
      </c>
      <c r="J285" t="s">
        <v>44</v>
      </c>
      <c r="K285" t="s">
        <v>22</v>
      </c>
      <c r="L285" t="s">
        <v>67</v>
      </c>
      <c r="M285" t="s">
        <v>68</v>
      </c>
      <c r="N285" t="s">
        <v>69</v>
      </c>
      <c r="O285" t="s">
        <v>37</v>
      </c>
      <c r="P285" t="s">
        <v>38</v>
      </c>
      <c r="Q285" t="s">
        <v>411</v>
      </c>
      <c r="R285">
        <v>49144.3</v>
      </c>
      <c r="S285">
        <v>1</v>
      </c>
      <c r="T285">
        <v>0.2</v>
      </c>
      <c r="U285" t="str">
        <f>IF(Retail_data[[#This Row],[Sales]]&gt;30000,"High",IF(Retail_data[[#This Row],[Sales]]&gt;10000,"Medium","Low"))</f>
        <v>High</v>
      </c>
      <c r="V285" s="3">
        <f>Retail_data[[#This Row],[Profit]]/Retail_data[[#This Row],[Sales]]</f>
        <v>3.1179607808026564E-3</v>
      </c>
      <c r="W285">
        <v>153.22999999999999</v>
      </c>
      <c r="X285" t="s">
        <v>40</v>
      </c>
    </row>
    <row r="286" spans="1:24" ht="13.8" x14ac:dyDescent="0.25">
      <c r="A286" t="s">
        <v>1050</v>
      </c>
      <c r="B286">
        <f>YEAR(Retail_data[[#This Row],[Order Date]])</f>
        <v>2026</v>
      </c>
      <c r="C286" t="str">
        <f>TEXT(Retail_data[[#This Row],[Order Date]],"mmmm")</f>
        <v>July</v>
      </c>
      <c r="D286">
        <f>MONTH(Retail_data[[#This Row],[Order Date]])</f>
        <v>7</v>
      </c>
      <c r="E286" t="str">
        <f>"Q"&amp;ROUNDUP(MONTH(Retail_data[[#This Row],[Order Date]])/3,0)</f>
        <v>Q3</v>
      </c>
      <c r="F286" s="1">
        <v>46206</v>
      </c>
      <c r="G286" s="1">
        <v>46210</v>
      </c>
      <c r="H286" t="s">
        <v>1051</v>
      </c>
      <c r="I286" t="s">
        <v>1052</v>
      </c>
      <c r="J286" t="s">
        <v>33</v>
      </c>
      <c r="K286" t="s">
        <v>22</v>
      </c>
      <c r="L286" t="s">
        <v>23</v>
      </c>
      <c r="M286" t="s">
        <v>24</v>
      </c>
      <c r="N286" t="s">
        <v>25</v>
      </c>
      <c r="O286" t="s">
        <v>26</v>
      </c>
      <c r="P286" t="s">
        <v>27</v>
      </c>
      <c r="Q286" t="s">
        <v>839</v>
      </c>
      <c r="R286">
        <v>5171.84</v>
      </c>
      <c r="S286">
        <v>6</v>
      </c>
      <c r="T286">
        <v>0</v>
      </c>
      <c r="U286" t="str">
        <f>IF(Retail_data[[#This Row],[Sales]]&gt;30000,"High",IF(Retail_data[[#This Row],[Sales]]&gt;10000,"Medium","Low"))</f>
        <v>Low</v>
      </c>
      <c r="V286" s="3">
        <f>Retail_data[[#This Row],[Profit]]/Retail_data[[#This Row],[Sales]]</f>
        <v>0.25127034092315309</v>
      </c>
      <c r="W286">
        <v>1299.53</v>
      </c>
      <c r="X286" t="s">
        <v>29</v>
      </c>
    </row>
    <row r="287" spans="1:24" ht="13.8" x14ac:dyDescent="0.25">
      <c r="A287" t="s">
        <v>1053</v>
      </c>
      <c r="B287">
        <f>YEAR(Retail_data[[#This Row],[Order Date]])</f>
        <v>2026</v>
      </c>
      <c r="C287" t="str">
        <f>TEXT(Retail_data[[#This Row],[Order Date]],"mmmm")</f>
        <v>July</v>
      </c>
      <c r="D287">
        <f>MONTH(Retail_data[[#This Row],[Order Date]])</f>
        <v>7</v>
      </c>
      <c r="E287" t="str">
        <f>"Q"&amp;ROUNDUP(MONTH(Retail_data[[#This Row],[Order Date]])/3,0)</f>
        <v>Q3</v>
      </c>
      <c r="F287" s="1">
        <v>46207</v>
      </c>
      <c r="G287" s="1">
        <v>46211</v>
      </c>
      <c r="H287" t="s">
        <v>1054</v>
      </c>
      <c r="I287" t="s">
        <v>1055</v>
      </c>
      <c r="J287" t="s">
        <v>44</v>
      </c>
      <c r="K287" t="s">
        <v>22</v>
      </c>
      <c r="L287" t="s">
        <v>67</v>
      </c>
      <c r="M287" t="s">
        <v>68</v>
      </c>
      <c r="N287" t="s">
        <v>69</v>
      </c>
      <c r="O287" t="s">
        <v>26</v>
      </c>
      <c r="P287" t="s">
        <v>92</v>
      </c>
      <c r="Q287" t="s">
        <v>296</v>
      </c>
      <c r="R287">
        <v>16168.06</v>
      </c>
      <c r="S287">
        <v>1</v>
      </c>
      <c r="T287">
        <v>0.2</v>
      </c>
      <c r="U287" t="str">
        <f>IF(Retail_data[[#This Row],[Sales]]&gt;30000,"High",IF(Retail_data[[#This Row],[Sales]]&gt;10000,"Medium","Low"))</f>
        <v>Medium</v>
      </c>
      <c r="V287" s="3">
        <f>Retail_data[[#This Row],[Profit]]/Retail_data[[#This Row],[Sales]]</f>
        <v>0.19118929543804267</v>
      </c>
      <c r="W287">
        <v>3091.16</v>
      </c>
      <c r="X287" t="s">
        <v>29</v>
      </c>
    </row>
    <row r="288" spans="1:24" ht="13.8" x14ac:dyDescent="0.25">
      <c r="A288" t="s">
        <v>1056</v>
      </c>
      <c r="B288">
        <f>YEAR(Retail_data[[#This Row],[Order Date]])</f>
        <v>2026</v>
      </c>
      <c r="C288" t="str">
        <f>TEXT(Retail_data[[#This Row],[Order Date]],"mmmm")</f>
        <v>July</v>
      </c>
      <c r="D288">
        <f>MONTH(Retail_data[[#This Row],[Order Date]])</f>
        <v>7</v>
      </c>
      <c r="E288" t="str">
        <f>"Q"&amp;ROUNDUP(MONTH(Retail_data[[#This Row],[Order Date]])/3,0)</f>
        <v>Q3</v>
      </c>
      <c r="F288" s="1">
        <v>46208</v>
      </c>
      <c r="G288" s="1">
        <v>46212</v>
      </c>
      <c r="H288" t="s">
        <v>1057</v>
      </c>
      <c r="I288" t="s">
        <v>1058</v>
      </c>
      <c r="J288" t="s">
        <v>21</v>
      </c>
      <c r="K288" t="s">
        <v>22</v>
      </c>
      <c r="L288" t="s">
        <v>45</v>
      </c>
      <c r="M288" t="s">
        <v>45</v>
      </c>
      <c r="N288" t="s">
        <v>25</v>
      </c>
      <c r="O288" t="s">
        <v>26</v>
      </c>
      <c r="P288" t="s">
        <v>27</v>
      </c>
      <c r="Q288" t="s">
        <v>889</v>
      </c>
      <c r="R288">
        <v>27670.15</v>
      </c>
      <c r="S288">
        <v>4</v>
      </c>
      <c r="T288">
        <v>0.1</v>
      </c>
      <c r="U288" t="str">
        <f>IF(Retail_data[[#This Row],[Sales]]&gt;30000,"High",IF(Retail_data[[#This Row],[Sales]]&gt;10000,"Medium","Low"))</f>
        <v>Medium</v>
      </c>
      <c r="V288" s="3">
        <f>Retail_data[[#This Row],[Profit]]/Retail_data[[#This Row],[Sales]]</f>
        <v>2.6956846999383811E-2</v>
      </c>
      <c r="W288">
        <v>745.9</v>
      </c>
      <c r="X288" t="s">
        <v>40</v>
      </c>
    </row>
    <row r="289" spans="1:24" ht="13.8" x14ac:dyDescent="0.25">
      <c r="A289" t="s">
        <v>1059</v>
      </c>
      <c r="B289">
        <f>YEAR(Retail_data[[#This Row],[Order Date]])</f>
        <v>2026</v>
      </c>
      <c r="C289" t="str">
        <f>TEXT(Retail_data[[#This Row],[Order Date]],"mmmm")</f>
        <v>July</v>
      </c>
      <c r="D289">
        <f>MONTH(Retail_data[[#This Row],[Order Date]])</f>
        <v>7</v>
      </c>
      <c r="E289" t="str">
        <f>"Q"&amp;ROUNDUP(MONTH(Retail_data[[#This Row],[Order Date]])/3,0)</f>
        <v>Q3</v>
      </c>
      <c r="F289" s="1">
        <v>46209</v>
      </c>
      <c r="G289" s="1">
        <v>46213</v>
      </c>
      <c r="H289" t="s">
        <v>1060</v>
      </c>
      <c r="I289" t="s">
        <v>1061</v>
      </c>
      <c r="J289" t="s">
        <v>44</v>
      </c>
      <c r="K289" t="s">
        <v>22</v>
      </c>
      <c r="L289" t="s">
        <v>23</v>
      </c>
      <c r="M289" t="s">
        <v>24</v>
      </c>
      <c r="N289" t="s">
        <v>25</v>
      </c>
      <c r="O289" t="s">
        <v>57</v>
      </c>
      <c r="P289" t="s">
        <v>79</v>
      </c>
      <c r="Q289" t="s">
        <v>645</v>
      </c>
      <c r="R289">
        <v>4227.12</v>
      </c>
      <c r="S289">
        <v>4</v>
      </c>
      <c r="T289">
        <v>0</v>
      </c>
      <c r="U289" t="str">
        <f>IF(Retail_data[[#This Row],[Sales]]&gt;30000,"High",IF(Retail_data[[#This Row],[Sales]]&gt;10000,"Medium","Low"))</f>
        <v>Low</v>
      </c>
      <c r="V289" s="3">
        <f>Retail_data[[#This Row],[Profit]]/Retail_data[[#This Row],[Sales]]</f>
        <v>0.25877192982456138</v>
      </c>
      <c r="W289">
        <v>1093.8599999999999</v>
      </c>
      <c r="X289" t="s">
        <v>81</v>
      </c>
    </row>
    <row r="290" spans="1:24" ht="13.8" x14ac:dyDescent="0.25">
      <c r="A290" t="s">
        <v>1062</v>
      </c>
      <c r="B290">
        <f>YEAR(Retail_data[[#This Row],[Order Date]])</f>
        <v>2026</v>
      </c>
      <c r="C290" t="str">
        <f>TEXT(Retail_data[[#This Row],[Order Date]],"mmmm")</f>
        <v>July</v>
      </c>
      <c r="D290">
        <f>MONTH(Retail_data[[#This Row],[Order Date]])</f>
        <v>7</v>
      </c>
      <c r="E290" t="str">
        <f>"Q"&amp;ROUNDUP(MONTH(Retail_data[[#This Row],[Order Date]])/3,0)</f>
        <v>Q3</v>
      </c>
      <c r="F290" s="1">
        <v>46210</v>
      </c>
      <c r="G290" s="1">
        <v>46214</v>
      </c>
      <c r="H290" t="s">
        <v>1063</v>
      </c>
      <c r="I290" t="s">
        <v>1064</v>
      </c>
      <c r="J290" t="s">
        <v>21</v>
      </c>
      <c r="K290" t="s">
        <v>22</v>
      </c>
      <c r="L290" t="s">
        <v>23</v>
      </c>
      <c r="M290" t="s">
        <v>24</v>
      </c>
      <c r="N290" t="s">
        <v>25</v>
      </c>
      <c r="O290" t="s">
        <v>26</v>
      </c>
      <c r="P290" t="s">
        <v>92</v>
      </c>
      <c r="Q290" t="s">
        <v>767</v>
      </c>
      <c r="R290">
        <v>36679.96</v>
      </c>
      <c r="S290">
        <v>6</v>
      </c>
      <c r="T290">
        <v>0.3</v>
      </c>
      <c r="U290" t="str">
        <f>IF(Retail_data[[#This Row],[Sales]]&gt;30000,"High",IF(Retail_data[[#This Row],[Sales]]&gt;10000,"Medium","Low"))</f>
        <v>High</v>
      </c>
      <c r="V290" s="3">
        <f>Retail_data[[#This Row],[Profit]]/Retail_data[[#This Row],[Sales]]</f>
        <v>7.2171834429481385E-2</v>
      </c>
      <c r="W290">
        <v>2647.26</v>
      </c>
      <c r="X290" t="s">
        <v>29</v>
      </c>
    </row>
    <row r="291" spans="1:24" ht="13.8" x14ac:dyDescent="0.25">
      <c r="A291" t="s">
        <v>1065</v>
      </c>
      <c r="B291">
        <f>YEAR(Retail_data[[#This Row],[Order Date]])</f>
        <v>2026</v>
      </c>
      <c r="C291" t="str">
        <f>TEXT(Retail_data[[#This Row],[Order Date]],"mmmm")</f>
        <v>July</v>
      </c>
      <c r="D291">
        <f>MONTH(Retail_data[[#This Row],[Order Date]])</f>
        <v>7</v>
      </c>
      <c r="E291" t="str">
        <f>"Q"&amp;ROUNDUP(MONTH(Retail_data[[#This Row],[Order Date]])/3,0)</f>
        <v>Q3</v>
      </c>
      <c r="F291" s="1">
        <v>46211</v>
      </c>
      <c r="G291" s="1">
        <v>46215</v>
      </c>
      <c r="H291" t="s">
        <v>1066</v>
      </c>
      <c r="I291" t="s">
        <v>1067</v>
      </c>
      <c r="J291" t="s">
        <v>21</v>
      </c>
      <c r="K291" t="s">
        <v>22</v>
      </c>
      <c r="L291" t="s">
        <v>85</v>
      </c>
      <c r="M291" t="s">
        <v>86</v>
      </c>
      <c r="N291" t="s">
        <v>87</v>
      </c>
      <c r="O291" t="s">
        <v>57</v>
      </c>
      <c r="P291" t="s">
        <v>149</v>
      </c>
      <c r="Q291" t="s">
        <v>176</v>
      </c>
      <c r="R291">
        <v>35955.61</v>
      </c>
      <c r="S291">
        <v>1</v>
      </c>
      <c r="T291">
        <v>0</v>
      </c>
      <c r="U291" t="str">
        <f>IF(Retail_data[[#This Row],[Sales]]&gt;30000,"High",IF(Retail_data[[#This Row],[Sales]]&gt;10000,"Medium","Low"))</f>
        <v>High</v>
      </c>
      <c r="V291" s="3">
        <f>Retail_data[[#This Row],[Profit]]/Retail_data[[#This Row],[Sales]]</f>
        <v>0.1410155466699077</v>
      </c>
      <c r="W291">
        <v>5070.3</v>
      </c>
      <c r="X291" t="s">
        <v>48</v>
      </c>
    </row>
    <row r="292" spans="1:24" ht="13.8" x14ac:dyDescent="0.25">
      <c r="A292" t="s">
        <v>1068</v>
      </c>
      <c r="B292">
        <f>YEAR(Retail_data[[#This Row],[Order Date]])</f>
        <v>2026</v>
      </c>
      <c r="C292" t="str">
        <f>TEXT(Retail_data[[#This Row],[Order Date]],"mmmm")</f>
        <v>July</v>
      </c>
      <c r="D292">
        <f>MONTH(Retail_data[[#This Row],[Order Date]])</f>
        <v>7</v>
      </c>
      <c r="E292" t="str">
        <f>"Q"&amp;ROUNDUP(MONTH(Retail_data[[#This Row],[Order Date]])/3,0)</f>
        <v>Q3</v>
      </c>
      <c r="F292" s="1">
        <v>46212</v>
      </c>
      <c r="G292" s="1">
        <v>46216</v>
      </c>
      <c r="H292" t="s">
        <v>1069</v>
      </c>
      <c r="I292" t="s">
        <v>1070</v>
      </c>
      <c r="J292" t="s">
        <v>21</v>
      </c>
      <c r="K292" t="s">
        <v>22</v>
      </c>
      <c r="L292" t="s">
        <v>45</v>
      </c>
      <c r="M292" t="s">
        <v>45</v>
      </c>
      <c r="N292" t="s">
        <v>25</v>
      </c>
      <c r="O292" t="s">
        <v>26</v>
      </c>
      <c r="P292" t="s">
        <v>27</v>
      </c>
      <c r="Q292" t="s">
        <v>274</v>
      </c>
      <c r="R292">
        <v>39874.85</v>
      </c>
      <c r="S292">
        <v>4</v>
      </c>
      <c r="T292">
        <v>0.3</v>
      </c>
      <c r="U292" t="str">
        <f>IF(Retail_data[[#This Row],[Sales]]&gt;30000,"High",IF(Retail_data[[#This Row],[Sales]]&gt;10000,"Medium","Low"))</f>
        <v>High</v>
      </c>
      <c r="V292" s="3">
        <f>Retail_data[[#This Row],[Profit]]/Retail_data[[#This Row],[Sales]]</f>
        <v>0.17673495950454987</v>
      </c>
      <c r="W292">
        <v>7047.28</v>
      </c>
      <c r="X292" t="s">
        <v>40</v>
      </c>
    </row>
    <row r="293" spans="1:24" ht="13.8" x14ac:dyDescent="0.25">
      <c r="A293" t="s">
        <v>1071</v>
      </c>
      <c r="B293">
        <f>YEAR(Retail_data[[#This Row],[Order Date]])</f>
        <v>2026</v>
      </c>
      <c r="C293" t="str">
        <f>TEXT(Retail_data[[#This Row],[Order Date]],"mmmm")</f>
        <v>July</v>
      </c>
      <c r="D293">
        <f>MONTH(Retail_data[[#This Row],[Order Date]])</f>
        <v>7</v>
      </c>
      <c r="E293" t="str">
        <f>"Q"&amp;ROUNDUP(MONTH(Retail_data[[#This Row],[Order Date]])/3,0)</f>
        <v>Q3</v>
      </c>
      <c r="F293" s="1">
        <v>46213</v>
      </c>
      <c r="G293" s="1">
        <v>46217</v>
      </c>
      <c r="H293" t="s">
        <v>1072</v>
      </c>
      <c r="I293" t="s">
        <v>1073</v>
      </c>
      <c r="J293" t="s">
        <v>33</v>
      </c>
      <c r="K293" t="s">
        <v>22</v>
      </c>
      <c r="L293" t="s">
        <v>67</v>
      </c>
      <c r="M293" t="s">
        <v>68</v>
      </c>
      <c r="N293" t="s">
        <v>69</v>
      </c>
      <c r="O293" t="s">
        <v>37</v>
      </c>
      <c r="P293" t="s">
        <v>38</v>
      </c>
      <c r="Q293" t="s">
        <v>39</v>
      </c>
      <c r="R293">
        <v>49493.26</v>
      </c>
      <c r="S293">
        <v>6</v>
      </c>
      <c r="T293">
        <v>0.2</v>
      </c>
      <c r="U293" t="str">
        <f>IF(Retail_data[[#This Row],[Sales]]&gt;30000,"High",IF(Retail_data[[#This Row],[Sales]]&gt;10000,"Medium","Low"))</f>
        <v>High</v>
      </c>
      <c r="V293" s="3">
        <f>Retail_data[[#This Row],[Profit]]/Retail_data[[#This Row],[Sales]]</f>
        <v>-1.9283029648885525E-2</v>
      </c>
      <c r="W293">
        <v>-954.38</v>
      </c>
      <c r="X293" t="s">
        <v>48</v>
      </c>
    </row>
    <row r="294" spans="1:24" ht="13.8" x14ac:dyDescent="0.25">
      <c r="A294" t="s">
        <v>1074</v>
      </c>
      <c r="B294">
        <f>YEAR(Retail_data[[#This Row],[Order Date]])</f>
        <v>2026</v>
      </c>
      <c r="C294" t="str">
        <f>TEXT(Retail_data[[#This Row],[Order Date]],"mmmm")</f>
        <v>July</v>
      </c>
      <c r="D294">
        <f>MONTH(Retail_data[[#This Row],[Order Date]])</f>
        <v>7</v>
      </c>
      <c r="E294" t="str">
        <f>"Q"&amp;ROUNDUP(MONTH(Retail_data[[#This Row],[Order Date]])/3,0)</f>
        <v>Q3</v>
      </c>
      <c r="F294" s="1">
        <v>46214</v>
      </c>
      <c r="G294" s="1">
        <v>46218</v>
      </c>
      <c r="H294" t="s">
        <v>1075</v>
      </c>
      <c r="I294" t="s">
        <v>1076</v>
      </c>
      <c r="J294" t="s">
        <v>33</v>
      </c>
      <c r="K294" t="s">
        <v>22</v>
      </c>
      <c r="L294" t="s">
        <v>85</v>
      </c>
      <c r="M294" t="s">
        <v>86</v>
      </c>
      <c r="N294" t="s">
        <v>87</v>
      </c>
      <c r="O294" t="s">
        <v>26</v>
      </c>
      <c r="P294" t="s">
        <v>92</v>
      </c>
      <c r="Q294" t="s">
        <v>485</v>
      </c>
      <c r="R294">
        <v>39566.44</v>
      </c>
      <c r="S294">
        <v>3</v>
      </c>
      <c r="T294">
        <v>0.2</v>
      </c>
      <c r="U294" t="str">
        <f>IF(Retail_data[[#This Row],[Sales]]&gt;30000,"High",IF(Retail_data[[#This Row],[Sales]]&gt;10000,"Medium","Low"))</f>
        <v>High</v>
      </c>
      <c r="V294" s="3">
        <f>Retail_data[[#This Row],[Profit]]/Retail_data[[#This Row],[Sales]]</f>
        <v>0.20853025948253112</v>
      </c>
      <c r="W294">
        <v>8250.7999999999993</v>
      </c>
      <c r="X294" t="s">
        <v>40</v>
      </c>
    </row>
    <row r="295" spans="1:24" ht="13.8" x14ac:dyDescent="0.25">
      <c r="A295" t="s">
        <v>1077</v>
      </c>
      <c r="B295">
        <f>YEAR(Retail_data[[#This Row],[Order Date]])</f>
        <v>2026</v>
      </c>
      <c r="C295" t="str">
        <f>TEXT(Retail_data[[#This Row],[Order Date]],"mmmm")</f>
        <v>July</v>
      </c>
      <c r="D295">
        <f>MONTH(Retail_data[[#This Row],[Order Date]])</f>
        <v>7</v>
      </c>
      <c r="E295" t="str">
        <f>"Q"&amp;ROUNDUP(MONTH(Retail_data[[#This Row],[Order Date]])/3,0)</f>
        <v>Q3</v>
      </c>
      <c r="F295" s="1">
        <v>46215</v>
      </c>
      <c r="G295" s="1">
        <v>46219</v>
      </c>
      <c r="H295" t="s">
        <v>1078</v>
      </c>
      <c r="I295" t="s">
        <v>1079</v>
      </c>
      <c r="J295" t="s">
        <v>33</v>
      </c>
      <c r="K295" t="s">
        <v>22</v>
      </c>
      <c r="L295" t="s">
        <v>34</v>
      </c>
      <c r="M295" t="s">
        <v>35</v>
      </c>
      <c r="N295" t="s">
        <v>36</v>
      </c>
      <c r="O295" t="s">
        <v>57</v>
      </c>
      <c r="P295" t="s">
        <v>149</v>
      </c>
      <c r="Q295" t="s">
        <v>150</v>
      </c>
      <c r="R295">
        <v>26004</v>
      </c>
      <c r="S295">
        <v>2</v>
      </c>
      <c r="T295">
        <v>0.3</v>
      </c>
      <c r="U295" t="str">
        <f>IF(Retail_data[[#This Row],[Sales]]&gt;30000,"High",IF(Retail_data[[#This Row],[Sales]]&gt;10000,"Medium","Low"))</f>
        <v>Medium</v>
      </c>
      <c r="V295" s="3">
        <f>Retail_data[[#This Row],[Profit]]/Retail_data[[#This Row],[Sales]]</f>
        <v>-2.9163590216889711E-2</v>
      </c>
      <c r="W295">
        <v>-758.37</v>
      </c>
      <c r="X295" t="s">
        <v>48</v>
      </c>
    </row>
    <row r="296" spans="1:24" ht="13.8" x14ac:dyDescent="0.25">
      <c r="A296" t="s">
        <v>1080</v>
      </c>
      <c r="B296">
        <f>YEAR(Retail_data[[#This Row],[Order Date]])</f>
        <v>2026</v>
      </c>
      <c r="C296" t="str">
        <f>TEXT(Retail_data[[#This Row],[Order Date]],"mmmm")</f>
        <v>July</v>
      </c>
      <c r="D296">
        <f>MONTH(Retail_data[[#This Row],[Order Date]])</f>
        <v>7</v>
      </c>
      <c r="E296" t="str">
        <f>"Q"&amp;ROUNDUP(MONTH(Retail_data[[#This Row],[Order Date]])/3,0)</f>
        <v>Q3</v>
      </c>
      <c r="F296" s="1">
        <v>46216</v>
      </c>
      <c r="G296" s="1">
        <v>46220</v>
      </c>
      <c r="H296" t="s">
        <v>1081</v>
      </c>
      <c r="I296" t="s">
        <v>1082</v>
      </c>
      <c r="J296" t="s">
        <v>21</v>
      </c>
      <c r="K296" t="s">
        <v>22</v>
      </c>
      <c r="L296" t="s">
        <v>67</v>
      </c>
      <c r="M296" t="s">
        <v>68</v>
      </c>
      <c r="N296" t="s">
        <v>69</v>
      </c>
      <c r="O296" t="s">
        <v>37</v>
      </c>
      <c r="P296" t="s">
        <v>52</v>
      </c>
      <c r="Q296" t="s">
        <v>328</v>
      </c>
      <c r="R296">
        <v>36531.51</v>
      </c>
      <c r="S296">
        <v>2</v>
      </c>
      <c r="T296">
        <v>0.2</v>
      </c>
      <c r="U296" t="str">
        <f>IF(Retail_data[[#This Row],[Sales]]&gt;30000,"High",IF(Retail_data[[#This Row],[Sales]]&gt;10000,"Medium","Low"))</f>
        <v>High</v>
      </c>
      <c r="V296" s="3">
        <f>Retail_data[[#This Row],[Profit]]/Retail_data[[#This Row],[Sales]]</f>
        <v>0.16380872293535087</v>
      </c>
      <c r="W296">
        <v>5984.18</v>
      </c>
      <c r="X296" t="s">
        <v>48</v>
      </c>
    </row>
    <row r="297" spans="1:24" ht="13.8" x14ac:dyDescent="0.25">
      <c r="A297" t="s">
        <v>1083</v>
      </c>
      <c r="B297">
        <f>YEAR(Retail_data[[#This Row],[Order Date]])</f>
        <v>2026</v>
      </c>
      <c r="C297" t="str">
        <f>TEXT(Retail_data[[#This Row],[Order Date]],"mmmm")</f>
        <v>July</v>
      </c>
      <c r="D297">
        <f>MONTH(Retail_data[[#This Row],[Order Date]])</f>
        <v>7</v>
      </c>
      <c r="E297" t="str">
        <f>"Q"&amp;ROUNDUP(MONTH(Retail_data[[#This Row],[Order Date]])/3,0)</f>
        <v>Q3</v>
      </c>
      <c r="F297" s="1">
        <v>46217</v>
      </c>
      <c r="G297" s="1">
        <v>46221</v>
      </c>
      <c r="H297" t="s">
        <v>1084</v>
      </c>
      <c r="I297" t="s">
        <v>1085</v>
      </c>
      <c r="J297" t="s">
        <v>44</v>
      </c>
      <c r="K297" t="s">
        <v>22</v>
      </c>
      <c r="L297" t="s">
        <v>85</v>
      </c>
      <c r="M297" t="s">
        <v>86</v>
      </c>
      <c r="N297" t="s">
        <v>87</v>
      </c>
      <c r="O297" t="s">
        <v>37</v>
      </c>
      <c r="P297" t="s">
        <v>52</v>
      </c>
      <c r="Q297" t="s">
        <v>1086</v>
      </c>
      <c r="R297">
        <v>24569.57</v>
      </c>
      <c r="S297">
        <v>5</v>
      </c>
      <c r="T297">
        <v>0.2</v>
      </c>
      <c r="U297" t="str">
        <f>IF(Retail_data[[#This Row],[Sales]]&gt;30000,"High",IF(Retail_data[[#This Row],[Sales]]&gt;10000,"Medium","Low"))</f>
        <v>Medium</v>
      </c>
      <c r="V297" s="3">
        <f>Retail_data[[#This Row],[Profit]]/Retail_data[[#This Row],[Sales]]</f>
        <v>5.4324109050341539E-2</v>
      </c>
      <c r="W297">
        <v>1334.72</v>
      </c>
      <c r="X297" t="s">
        <v>29</v>
      </c>
    </row>
    <row r="298" spans="1:24" ht="13.8" x14ac:dyDescent="0.25">
      <c r="A298" t="s">
        <v>1087</v>
      </c>
      <c r="B298">
        <f>YEAR(Retail_data[[#This Row],[Order Date]])</f>
        <v>2026</v>
      </c>
      <c r="C298" t="str">
        <f>TEXT(Retail_data[[#This Row],[Order Date]],"mmmm")</f>
        <v>July</v>
      </c>
      <c r="D298">
        <f>MONTH(Retail_data[[#This Row],[Order Date]])</f>
        <v>7</v>
      </c>
      <c r="E298" t="str">
        <f>"Q"&amp;ROUNDUP(MONTH(Retail_data[[#This Row],[Order Date]])/3,0)</f>
        <v>Q3</v>
      </c>
      <c r="F298" s="1">
        <v>46218</v>
      </c>
      <c r="G298" s="1">
        <v>46222</v>
      </c>
      <c r="H298" t="s">
        <v>1088</v>
      </c>
      <c r="I298" t="s">
        <v>1089</v>
      </c>
      <c r="J298" t="s">
        <v>44</v>
      </c>
      <c r="K298" t="s">
        <v>22</v>
      </c>
      <c r="L298" t="s">
        <v>67</v>
      </c>
      <c r="M298" t="s">
        <v>68</v>
      </c>
      <c r="N298" t="s">
        <v>69</v>
      </c>
      <c r="O298" t="s">
        <v>26</v>
      </c>
      <c r="P298" t="s">
        <v>92</v>
      </c>
      <c r="Q298" t="s">
        <v>433</v>
      </c>
      <c r="R298">
        <v>42772.32</v>
      </c>
      <c r="S298">
        <v>6</v>
      </c>
      <c r="T298">
        <v>0.2</v>
      </c>
      <c r="U298" t="str">
        <f>IF(Retail_data[[#This Row],[Sales]]&gt;30000,"High",IF(Retail_data[[#This Row],[Sales]]&gt;10000,"Medium","Low"))</f>
        <v>High</v>
      </c>
      <c r="V298" s="3">
        <f>Retail_data[[#This Row],[Profit]]/Retail_data[[#This Row],[Sales]]</f>
        <v>1.1427951535011428E-2</v>
      </c>
      <c r="W298">
        <v>488.8</v>
      </c>
      <c r="X298" t="s">
        <v>40</v>
      </c>
    </row>
    <row r="299" spans="1:24" ht="13.8" x14ac:dyDescent="0.25">
      <c r="A299" t="s">
        <v>1090</v>
      </c>
      <c r="B299">
        <f>YEAR(Retail_data[[#This Row],[Order Date]])</f>
        <v>2026</v>
      </c>
      <c r="C299" t="str">
        <f>TEXT(Retail_data[[#This Row],[Order Date]],"mmmm")</f>
        <v>July</v>
      </c>
      <c r="D299">
        <f>MONTH(Retail_data[[#This Row],[Order Date]])</f>
        <v>7</v>
      </c>
      <c r="E299" t="str">
        <f>"Q"&amp;ROUNDUP(MONTH(Retail_data[[#This Row],[Order Date]])/3,0)</f>
        <v>Q3</v>
      </c>
      <c r="F299" s="1">
        <v>46219</v>
      </c>
      <c r="G299" s="1">
        <v>46223</v>
      </c>
      <c r="H299" t="s">
        <v>1091</v>
      </c>
      <c r="I299" t="s">
        <v>1092</v>
      </c>
      <c r="J299" t="s">
        <v>44</v>
      </c>
      <c r="K299" t="s">
        <v>22</v>
      </c>
      <c r="L299" t="s">
        <v>45</v>
      </c>
      <c r="M299" t="s">
        <v>45</v>
      </c>
      <c r="N299" t="s">
        <v>25</v>
      </c>
      <c r="O299" t="s">
        <v>57</v>
      </c>
      <c r="P299" t="s">
        <v>58</v>
      </c>
      <c r="Q299" t="s">
        <v>1093</v>
      </c>
      <c r="R299">
        <v>36235.760000000002</v>
      </c>
      <c r="S299">
        <v>3</v>
      </c>
      <c r="T299">
        <v>0</v>
      </c>
      <c r="U299" t="str">
        <f>IF(Retail_data[[#This Row],[Sales]]&gt;30000,"High",IF(Retail_data[[#This Row],[Sales]]&gt;10000,"Medium","Low"))</f>
        <v>High</v>
      </c>
      <c r="V299" s="3">
        <f>Retail_data[[#This Row],[Profit]]/Retail_data[[#This Row],[Sales]]</f>
        <v>0.14412834172651548</v>
      </c>
      <c r="W299">
        <v>5222.6000000000004</v>
      </c>
      <c r="X299" t="s">
        <v>81</v>
      </c>
    </row>
    <row r="300" spans="1:24" ht="13.8" x14ac:dyDescent="0.25">
      <c r="A300" t="s">
        <v>1094</v>
      </c>
      <c r="B300">
        <f>YEAR(Retail_data[[#This Row],[Order Date]])</f>
        <v>2026</v>
      </c>
      <c r="C300" t="str">
        <f>TEXT(Retail_data[[#This Row],[Order Date]],"mmmm")</f>
        <v>July</v>
      </c>
      <c r="D300">
        <f>MONTH(Retail_data[[#This Row],[Order Date]])</f>
        <v>7</v>
      </c>
      <c r="E300" t="str">
        <f>"Q"&amp;ROUNDUP(MONTH(Retail_data[[#This Row],[Order Date]])/3,0)</f>
        <v>Q3</v>
      </c>
      <c r="F300" s="1">
        <v>46220</v>
      </c>
      <c r="G300" s="1">
        <v>46224</v>
      </c>
      <c r="H300" t="s">
        <v>1095</v>
      </c>
      <c r="I300" t="s">
        <v>1096</v>
      </c>
      <c r="J300" t="s">
        <v>44</v>
      </c>
      <c r="K300" t="s">
        <v>22</v>
      </c>
      <c r="L300" t="s">
        <v>45</v>
      </c>
      <c r="M300" t="s">
        <v>45</v>
      </c>
      <c r="N300" t="s">
        <v>25</v>
      </c>
      <c r="O300" t="s">
        <v>26</v>
      </c>
      <c r="P300" t="s">
        <v>92</v>
      </c>
      <c r="Q300" t="s">
        <v>433</v>
      </c>
      <c r="R300">
        <v>4195.37</v>
      </c>
      <c r="S300">
        <v>4</v>
      </c>
      <c r="T300">
        <v>0.2</v>
      </c>
      <c r="U300" t="str">
        <f>IF(Retail_data[[#This Row],[Sales]]&gt;30000,"High",IF(Retail_data[[#This Row],[Sales]]&gt;10000,"Medium","Low"))</f>
        <v>Low</v>
      </c>
      <c r="V300" s="3">
        <f>Retail_data[[#This Row],[Profit]]/Retail_data[[#This Row],[Sales]]</f>
        <v>8.7279548645292318E-2</v>
      </c>
      <c r="W300">
        <v>366.17</v>
      </c>
      <c r="X300" t="s">
        <v>29</v>
      </c>
    </row>
    <row r="301" spans="1:24" ht="13.8" x14ac:dyDescent="0.25">
      <c r="A301" t="s">
        <v>1097</v>
      </c>
      <c r="B301">
        <f>YEAR(Retail_data[[#This Row],[Order Date]])</f>
        <v>2026</v>
      </c>
      <c r="C301" t="str">
        <f>TEXT(Retail_data[[#This Row],[Order Date]],"mmmm")</f>
        <v>July</v>
      </c>
      <c r="D301">
        <f>MONTH(Retail_data[[#This Row],[Order Date]])</f>
        <v>7</v>
      </c>
      <c r="E301" t="str">
        <f>"Q"&amp;ROUNDUP(MONTH(Retail_data[[#This Row],[Order Date]])/3,0)</f>
        <v>Q3</v>
      </c>
      <c r="F301" s="1">
        <v>46221</v>
      </c>
      <c r="G301" s="1">
        <v>46225</v>
      </c>
      <c r="H301" t="s">
        <v>1098</v>
      </c>
      <c r="I301" t="s">
        <v>1099</v>
      </c>
      <c r="J301" t="s">
        <v>44</v>
      </c>
      <c r="K301" t="s">
        <v>22</v>
      </c>
      <c r="L301" t="s">
        <v>67</v>
      </c>
      <c r="M301" t="s">
        <v>68</v>
      </c>
      <c r="N301" t="s">
        <v>69</v>
      </c>
      <c r="O301" t="s">
        <v>37</v>
      </c>
      <c r="P301" t="s">
        <v>52</v>
      </c>
      <c r="Q301" t="s">
        <v>1031</v>
      </c>
      <c r="R301">
        <v>5013.7700000000004</v>
      </c>
      <c r="S301">
        <v>1</v>
      </c>
      <c r="T301">
        <v>0.1</v>
      </c>
      <c r="U301" t="str">
        <f>IF(Retail_data[[#This Row],[Sales]]&gt;30000,"High",IF(Retail_data[[#This Row],[Sales]]&gt;10000,"Medium","Low"))</f>
        <v>Low</v>
      </c>
      <c r="V301" s="3">
        <f>Retail_data[[#This Row],[Profit]]/Retail_data[[#This Row],[Sales]]</f>
        <v>0.17057024953278671</v>
      </c>
      <c r="W301">
        <v>855.2</v>
      </c>
      <c r="X301" t="s">
        <v>40</v>
      </c>
    </row>
    <row r="302" spans="1:24" ht="13.8" x14ac:dyDescent="0.25">
      <c r="A302" t="s">
        <v>1100</v>
      </c>
      <c r="B302">
        <f>YEAR(Retail_data[[#This Row],[Order Date]])</f>
        <v>2026</v>
      </c>
      <c r="C302" t="str">
        <f>TEXT(Retail_data[[#This Row],[Order Date]],"mmmm")</f>
        <v>July</v>
      </c>
      <c r="D302">
        <f>MONTH(Retail_data[[#This Row],[Order Date]])</f>
        <v>7</v>
      </c>
      <c r="E302" t="str">
        <f>"Q"&amp;ROUNDUP(MONTH(Retail_data[[#This Row],[Order Date]])/3,0)</f>
        <v>Q3</v>
      </c>
      <c r="F302" s="1">
        <v>46222</v>
      </c>
      <c r="G302" s="1">
        <v>46226</v>
      </c>
      <c r="H302" t="s">
        <v>1101</v>
      </c>
      <c r="I302" t="s">
        <v>1102</v>
      </c>
      <c r="J302" t="s">
        <v>33</v>
      </c>
      <c r="K302" t="s">
        <v>22</v>
      </c>
      <c r="L302" t="s">
        <v>45</v>
      </c>
      <c r="M302" t="s">
        <v>45</v>
      </c>
      <c r="N302" t="s">
        <v>25</v>
      </c>
      <c r="O302" t="s">
        <v>37</v>
      </c>
      <c r="P302" t="s">
        <v>46</v>
      </c>
      <c r="Q302" t="s">
        <v>685</v>
      </c>
      <c r="R302">
        <v>7830.62</v>
      </c>
      <c r="S302">
        <v>8</v>
      </c>
      <c r="T302">
        <v>0.2</v>
      </c>
      <c r="U302" t="str">
        <f>IF(Retail_data[[#This Row],[Sales]]&gt;30000,"High",IF(Retail_data[[#This Row],[Sales]]&gt;10000,"Medium","Low"))</f>
        <v>Low</v>
      </c>
      <c r="V302" s="3">
        <f>Retail_data[[#This Row],[Profit]]/Retail_data[[#This Row],[Sales]]</f>
        <v>0.14584541198525786</v>
      </c>
      <c r="W302">
        <v>1142.06</v>
      </c>
      <c r="X302" t="s">
        <v>29</v>
      </c>
    </row>
    <row r="303" spans="1:24" ht="13.8" x14ac:dyDescent="0.25">
      <c r="A303" t="s">
        <v>1103</v>
      </c>
      <c r="B303">
        <f>YEAR(Retail_data[[#This Row],[Order Date]])</f>
        <v>2026</v>
      </c>
      <c r="C303" t="str">
        <f>TEXT(Retail_data[[#This Row],[Order Date]],"mmmm")</f>
        <v>July</v>
      </c>
      <c r="D303">
        <f>MONTH(Retail_data[[#This Row],[Order Date]])</f>
        <v>7</v>
      </c>
      <c r="E303" t="str">
        <f>"Q"&amp;ROUNDUP(MONTH(Retail_data[[#This Row],[Order Date]])/3,0)</f>
        <v>Q3</v>
      </c>
      <c r="F303" s="1">
        <v>46223</v>
      </c>
      <c r="G303" s="1">
        <v>46227</v>
      </c>
      <c r="H303" t="s">
        <v>1104</v>
      </c>
      <c r="I303" t="s">
        <v>1105</v>
      </c>
      <c r="J303" t="s">
        <v>33</v>
      </c>
      <c r="K303" t="s">
        <v>22</v>
      </c>
      <c r="L303" t="s">
        <v>67</v>
      </c>
      <c r="M303" t="s">
        <v>68</v>
      </c>
      <c r="N303" t="s">
        <v>69</v>
      </c>
      <c r="O303" t="s">
        <v>57</v>
      </c>
      <c r="P303" t="s">
        <v>79</v>
      </c>
      <c r="Q303" t="s">
        <v>1106</v>
      </c>
      <c r="R303">
        <v>18414.060000000001</v>
      </c>
      <c r="S303">
        <v>4</v>
      </c>
      <c r="T303">
        <v>0.2</v>
      </c>
      <c r="U303" t="str">
        <f>IF(Retail_data[[#This Row],[Sales]]&gt;30000,"High",IF(Retail_data[[#This Row],[Sales]]&gt;10000,"Medium","Low"))</f>
        <v>Medium</v>
      </c>
      <c r="V303" s="3">
        <f>Retail_data[[#This Row],[Profit]]/Retail_data[[#This Row],[Sales]]</f>
        <v>0.1519675726048465</v>
      </c>
      <c r="W303">
        <v>2798.34</v>
      </c>
      <c r="X303" t="s">
        <v>40</v>
      </c>
    </row>
    <row r="304" spans="1:24" ht="13.8" x14ac:dyDescent="0.25">
      <c r="A304" t="s">
        <v>1107</v>
      </c>
      <c r="B304">
        <f>YEAR(Retail_data[[#This Row],[Order Date]])</f>
        <v>2026</v>
      </c>
      <c r="C304" t="str">
        <f>TEXT(Retail_data[[#This Row],[Order Date]],"mmmm")</f>
        <v>July</v>
      </c>
      <c r="D304">
        <f>MONTH(Retail_data[[#This Row],[Order Date]])</f>
        <v>7</v>
      </c>
      <c r="E304" t="str">
        <f>"Q"&amp;ROUNDUP(MONTH(Retail_data[[#This Row],[Order Date]])/3,0)</f>
        <v>Q3</v>
      </c>
      <c r="F304" s="1">
        <v>46224</v>
      </c>
      <c r="G304" s="1">
        <v>46228</v>
      </c>
      <c r="H304" t="s">
        <v>1108</v>
      </c>
      <c r="I304" t="s">
        <v>1109</v>
      </c>
      <c r="J304" t="s">
        <v>44</v>
      </c>
      <c r="K304" t="s">
        <v>22</v>
      </c>
      <c r="L304" t="s">
        <v>23</v>
      </c>
      <c r="M304" t="s">
        <v>24</v>
      </c>
      <c r="N304" t="s">
        <v>25</v>
      </c>
      <c r="O304" t="s">
        <v>57</v>
      </c>
      <c r="P304" t="s">
        <v>149</v>
      </c>
      <c r="Q304" t="s">
        <v>366</v>
      </c>
      <c r="R304">
        <v>17332</v>
      </c>
      <c r="S304">
        <v>1</v>
      </c>
      <c r="T304">
        <v>0.2</v>
      </c>
      <c r="U304" t="str">
        <f>IF(Retail_data[[#This Row],[Sales]]&gt;30000,"High",IF(Retail_data[[#This Row],[Sales]]&gt;10000,"Medium","Low"))</f>
        <v>Medium</v>
      </c>
      <c r="V304" s="3">
        <f>Retail_data[[#This Row],[Profit]]/Retail_data[[#This Row],[Sales]]</f>
        <v>3.3917032079390723E-2</v>
      </c>
      <c r="W304">
        <v>587.85</v>
      </c>
      <c r="X304" t="s">
        <v>81</v>
      </c>
    </row>
    <row r="305" spans="1:24" ht="13.8" x14ac:dyDescent="0.25">
      <c r="A305" t="s">
        <v>1110</v>
      </c>
      <c r="B305">
        <f>YEAR(Retail_data[[#This Row],[Order Date]])</f>
        <v>2026</v>
      </c>
      <c r="C305" t="str">
        <f>TEXT(Retail_data[[#This Row],[Order Date]],"mmmm")</f>
        <v>July</v>
      </c>
      <c r="D305">
        <f>MONTH(Retail_data[[#This Row],[Order Date]])</f>
        <v>7</v>
      </c>
      <c r="E305" t="str">
        <f>"Q"&amp;ROUNDUP(MONTH(Retail_data[[#This Row],[Order Date]])/3,0)</f>
        <v>Q3</v>
      </c>
      <c r="F305" s="1">
        <v>46225</v>
      </c>
      <c r="G305" s="1">
        <v>46229</v>
      </c>
      <c r="H305" t="s">
        <v>1111</v>
      </c>
      <c r="I305" t="s">
        <v>1112</v>
      </c>
      <c r="J305" t="s">
        <v>44</v>
      </c>
      <c r="K305" t="s">
        <v>22</v>
      </c>
      <c r="L305" t="s">
        <v>23</v>
      </c>
      <c r="M305" t="s">
        <v>24</v>
      </c>
      <c r="N305" t="s">
        <v>25</v>
      </c>
      <c r="O305" t="s">
        <v>57</v>
      </c>
      <c r="P305" t="s">
        <v>79</v>
      </c>
      <c r="Q305" t="s">
        <v>88</v>
      </c>
      <c r="R305">
        <v>7239.02</v>
      </c>
      <c r="S305">
        <v>1</v>
      </c>
      <c r="T305">
        <v>0.1</v>
      </c>
      <c r="U305" t="str">
        <f>IF(Retail_data[[#This Row],[Sales]]&gt;30000,"High",IF(Retail_data[[#This Row],[Sales]]&gt;10000,"Medium","Low"))</f>
        <v>Low</v>
      </c>
      <c r="V305" s="3">
        <f>Retail_data[[#This Row],[Profit]]/Retail_data[[#This Row],[Sales]]</f>
        <v>3.1084318043050025E-2</v>
      </c>
      <c r="W305">
        <v>225.02</v>
      </c>
      <c r="X305" t="s">
        <v>29</v>
      </c>
    </row>
    <row r="306" spans="1:24" ht="13.8" x14ac:dyDescent="0.25">
      <c r="A306" t="s">
        <v>1113</v>
      </c>
      <c r="B306">
        <f>YEAR(Retail_data[[#This Row],[Order Date]])</f>
        <v>2026</v>
      </c>
      <c r="C306" t="str">
        <f>TEXT(Retail_data[[#This Row],[Order Date]],"mmmm")</f>
        <v>July</v>
      </c>
      <c r="D306">
        <f>MONTH(Retail_data[[#This Row],[Order Date]])</f>
        <v>7</v>
      </c>
      <c r="E306" t="str">
        <f>"Q"&amp;ROUNDUP(MONTH(Retail_data[[#This Row],[Order Date]])/3,0)</f>
        <v>Q3</v>
      </c>
      <c r="F306" s="1">
        <v>46226</v>
      </c>
      <c r="G306" s="1">
        <v>46230</v>
      </c>
      <c r="H306" t="s">
        <v>1114</v>
      </c>
      <c r="I306" t="s">
        <v>1115</v>
      </c>
      <c r="J306" t="s">
        <v>44</v>
      </c>
      <c r="K306" t="s">
        <v>22</v>
      </c>
      <c r="L306" t="s">
        <v>45</v>
      </c>
      <c r="M306" t="s">
        <v>45</v>
      </c>
      <c r="N306" t="s">
        <v>25</v>
      </c>
      <c r="O306" t="s">
        <v>37</v>
      </c>
      <c r="P306" t="s">
        <v>46</v>
      </c>
      <c r="Q306" t="s">
        <v>794</v>
      </c>
      <c r="R306">
        <v>3123.4</v>
      </c>
      <c r="S306">
        <v>1</v>
      </c>
      <c r="T306">
        <v>0.1</v>
      </c>
      <c r="U306" t="str">
        <f>IF(Retail_data[[#This Row],[Sales]]&gt;30000,"High",IF(Retail_data[[#This Row],[Sales]]&gt;10000,"Medium","Low"))</f>
        <v>Low</v>
      </c>
      <c r="V306" s="3">
        <f>Retail_data[[#This Row],[Profit]]/Retail_data[[#This Row],[Sales]]</f>
        <v>0.16459947493116475</v>
      </c>
      <c r="W306">
        <v>514.11</v>
      </c>
      <c r="X306" t="s">
        <v>40</v>
      </c>
    </row>
    <row r="307" spans="1:24" ht="13.8" x14ac:dyDescent="0.25">
      <c r="A307" t="s">
        <v>1116</v>
      </c>
      <c r="B307">
        <f>YEAR(Retail_data[[#This Row],[Order Date]])</f>
        <v>2026</v>
      </c>
      <c r="C307" t="str">
        <f>TEXT(Retail_data[[#This Row],[Order Date]],"mmmm")</f>
        <v>July</v>
      </c>
      <c r="D307">
        <f>MONTH(Retail_data[[#This Row],[Order Date]])</f>
        <v>7</v>
      </c>
      <c r="E307" t="str">
        <f>"Q"&amp;ROUNDUP(MONTH(Retail_data[[#This Row],[Order Date]])/3,0)</f>
        <v>Q3</v>
      </c>
      <c r="F307" s="1">
        <v>46227</v>
      </c>
      <c r="G307" s="1">
        <v>46231</v>
      </c>
      <c r="H307" t="s">
        <v>1117</v>
      </c>
      <c r="I307" t="s">
        <v>1118</v>
      </c>
      <c r="J307" t="s">
        <v>21</v>
      </c>
      <c r="K307" t="s">
        <v>22</v>
      </c>
      <c r="L307" t="s">
        <v>67</v>
      </c>
      <c r="M307" t="s">
        <v>68</v>
      </c>
      <c r="N307" t="s">
        <v>69</v>
      </c>
      <c r="O307" t="s">
        <v>57</v>
      </c>
      <c r="P307" t="s">
        <v>149</v>
      </c>
      <c r="Q307" t="s">
        <v>362</v>
      </c>
      <c r="R307">
        <v>16649.98</v>
      </c>
      <c r="S307">
        <v>3</v>
      </c>
      <c r="T307">
        <v>0.2</v>
      </c>
      <c r="U307" t="str">
        <f>IF(Retail_data[[#This Row],[Sales]]&gt;30000,"High",IF(Retail_data[[#This Row],[Sales]]&gt;10000,"Medium","Low"))</f>
        <v>Medium</v>
      </c>
      <c r="V307" s="3">
        <f>Retail_data[[#This Row],[Profit]]/Retail_data[[#This Row],[Sales]]</f>
        <v>-1.038860106738867E-2</v>
      </c>
      <c r="W307">
        <v>-172.97</v>
      </c>
      <c r="X307" t="s">
        <v>48</v>
      </c>
    </row>
    <row r="308" spans="1:24" ht="13.8" x14ac:dyDescent="0.25">
      <c r="A308" t="s">
        <v>1119</v>
      </c>
      <c r="B308">
        <f>YEAR(Retail_data[[#This Row],[Order Date]])</f>
        <v>2026</v>
      </c>
      <c r="C308" t="str">
        <f>TEXT(Retail_data[[#This Row],[Order Date]],"mmmm")</f>
        <v>July</v>
      </c>
      <c r="D308">
        <f>MONTH(Retail_data[[#This Row],[Order Date]])</f>
        <v>7</v>
      </c>
      <c r="E308" t="str">
        <f>"Q"&amp;ROUNDUP(MONTH(Retail_data[[#This Row],[Order Date]])/3,0)</f>
        <v>Q3</v>
      </c>
      <c r="F308" s="1">
        <v>46228</v>
      </c>
      <c r="G308" s="1">
        <v>46232</v>
      </c>
      <c r="H308" t="s">
        <v>1120</v>
      </c>
      <c r="I308" t="s">
        <v>1121</v>
      </c>
      <c r="J308" t="s">
        <v>33</v>
      </c>
      <c r="K308" t="s">
        <v>22</v>
      </c>
      <c r="L308" t="s">
        <v>67</v>
      </c>
      <c r="M308" t="s">
        <v>68</v>
      </c>
      <c r="N308" t="s">
        <v>69</v>
      </c>
      <c r="O308" t="s">
        <v>57</v>
      </c>
      <c r="P308" t="s">
        <v>79</v>
      </c>
      <c r="Q308" t="s">
        <v>141</v>
      </c>
      <c r="R308">
        <v>28097.63</v>
      </c>
      <c r="S308">
        <v>7</v>
      </c>
      <c r="T308">
        <v>0.1</v>
      </c>
      <c r="U308" t="str">
        <f>IF(Retail_data[[#This Row],[Sales]]&gt;30000,"High",IF(Retail_data[[#This Row],[Sales]]&gt;10000,"Medium","Low"))</f>
        <v>Medium</v>
      </c>
      <c r="V308" s="3">
        <f>Retail_data[[#This Row],[Profit]]/Retail_data[[#This Row],[Sales]]</f>
        <v>0.12465606529803402</v>
      </c>
      <c r="W308">
        <v>3502.54</v>
      </c>
      <c r="X308" t="s">
        <v>29</v>
      </c>
    </row>
    <row r="309" spans="1:24" ht="13.8" x14ac:dyDescent="0.25">
      <c r="A309" t="s">
        <v>1122</v>
      </c>
      <c r="B309">
        <f>YEAR(Retail_data[[#This Row],[Order Date]])</f>
        <v>2026</v>
      </c>
      <c r="C309" t="str">
        <f>TEXT(Retail_data[[#This Row],[Order Date]],"mmmm")</f>
        <v>July</v>
      </c>
      <c r="D309">
        <f>MONTH(Retail_data[[#This Row],[Order Date]])</f>
        <v>7</v>
      </c>
      <c r="E309" t="str">
        <f>"Q"&amp;ROUNDUP(MONTH(Retail_data[[#This Row],[Order Date]])/3,0)</f>
        <v>Q3</v>
      </c>
      <c r="F309" s="1">
        <v>46229</v>
      </c>
      <c r="G309" s="1">
        <v>46233</v>
      </c>
      <c r="H309" t="s">
        <v>1123</v>
      </c>
      <c r="I309" t="s">
        <v>1124</v>
      </c>
      <c r="J309" t="s">
        <v>21</v>
      </c>
      <c r="K309" t="s">
        <v>22</v>
      </c>
      <c r="L309" t="s">
        <v>67</v>
      </c>
      <c r="M309" t="s">
        <v>68</v>
      </c>
      <c r="N309" t="s">
        <v>69</v>
      </c>
      <c r="O309" t="s">
        <v>57</v>
      </c>
      <c r="P309" t="s">
        <v>79</v>
      </c>
      <c r="Q309" t="s">
        <v>80</v>
      </c>
      <c r="R309">
        <v>13695.96</v>
      </c>
      <c r="S309">
        <v>2</v>
      </c>
      <c r="T309">
        <v>0.3</v>
      </c>
      <c r="U309" t="str">
        <f>IF(Retail_data[[#This Row],[Sales]]&gt;30000,"High",IF(Retail_data[[#This Row],[Sales]]&gt;10000,"Medium","Low"))</f>
        <v>Medium</v>
      </c>
      <c r="V309" s="3">
        <f>Retail_data[[#This Row],[Profit]]/Retail_data[[#This Row],[Sales]]</f>
        <v>-2.3289349560016243E-2</v>
      </c>
      <c r="W309">
        <v>-318.97000000000003</v>
      </c>
      <c r="X309" t="s">
        <v>40</v>
      </c>
    </row>
    <row r="310" spans="1:24" ht="13.8" x14ac:dyDescent="0.25">
      <c r="A310" t="s">
        <v>1125</v>
      </c>
      <c r="B310">
        <f>YEAR(Retail_data[[#This Row],[Order Date]])</f>
        <v>2026</v>
      </c>
      <c r="C310" t="str">
        <f>TEXT(Retail_data[[#This Row],[Order Date]],"mmmm")</f>
        <v>July</v>
      </c>
      <c r="D310">
        <f>MONTH(Retail_data[[#This Row],[Order Date]])</f>
        <v>7</v>
      </c>
      <c r="E310" t="str">
        <f>"Q"&amp;ROUNDUP(MONTH(Retail_data[[#This Row],[Order Date]])/3,0)</f>
        <v>Q3</v>
      </c>
      <c r="F310" s="1">
        <v>46230</v>
      </c>
      <c r="G310" s="1">
        <v>46234</v>
      </c>
      <c r="H310" t="s">
        <v>1126</v>
      </c>
      <c r="I310" t="s">
        <v>1127</v>
      </c>
      <c r="J310" t="s">
        <v>33</v>
      </c>
      <c r="K310" t="s">
        <v>22</v>
      </c>
      <c r="L310" t="s">
        <v>45</v>
      </c>
      <c r="M310" t="s">
        <v>45</v>
      </c>
      <c r="N310" t="s">
        <v>25</v>
      </c>
      <c r="O310" t="s">
        <v>26</v>
      </c>
      <c r="P310" t="s">
        <v>27</v>
      </c>
      <c r="Q310" t="s">
        <v>511</v>
      </c>
      <c r="R310">
        <v>18504.310000000001</v>
      </c>
      <c r="S310">
        <v>4</v>
      </c>
      <c r="T310">
        <v>0</v>
      </c>
      <c r="U310" t="str">
        <f>IF(Retail_data[[#This Row],[Sales]]&gt;30000,"High",IF(Retail_data[[#This Row],[Sales]]&gt;10000,"Medium","Low"))</f>
        <v>Medium</v>
      </c>
      <c r="V310" s="3">
        <f>Retail_data[[#This Row],[Profit]]/Retail_data[[#This Row],[Sales]]</f>
        <v>5.4137657659215604E-2</v>
      </c>
      <c r="W310">
        <v>1001.78</v>
      </c>
      <c r="X310" t="s">
        <v>81</v>
      </c>
    </row>
    <row r="311" spans="1:24" ht="13.8" x14ac:dyDescent="0.25">
      <c r="A311" t="s">
        <v>1128</v>
      </c>
      <c r="B311">
        <f>YEAR(Retail_data[[#This Row],[Order Date]])</f>
        <v>2026</v>
      </c>
      <c r="C311" t="str">
        <f>TEXT(Retail_data[[#This Row],[Order Date]],"mmmm")</f>
        <v>July</v>
      </c>
      <c r="D311">
        <f>MONTH(Retail_data[[#This Row],[Order Date]])</f>
        <v>7</v>
      </c>
      <c r="E311" t="str">
        <f>"Q"&amp;ROUNDUP(MONTH(Retail_data[[#This Row],[Order Date]])/3,0)</f>
        <v>Q3</v>
      </c>
      <c r="F311" s="1">
        <v>46231</v>
      </c>
      <c r="G311" s="1">
        <v>46235</v>
      </c>
      <c r="H311" t="s">
        <v>1129</v>
      </c>
      <c r="I311" t="s">
        <v>1130</v>
      </c>
      <c r="J311" t="s">
        <v>33</v>
      </c>
      <c r="K311" t="s">
        <v>22</v>
      </c>
      <c r="L311" t="s">
        <v>67</v>
      </c>
      <c r="M311" t="s">
        <v>68</v>
      </c>
      <c r="N311" t="s">
        <v>69</v>
      </c>
      <c r="O311" t="s">
        <v>26</v>
      </c>
      <c r="P311" t="s">
        <v>70</v>
      </c>
      <c r="Q311" t="s">
        <v>133</v>
      </c>
      <c r="R311">
        <v>5209.5</v>
      </c>
      <c r="S311">
        <v>2</v>
      </c>
      <c r="T311">
        <v>0.3</v>
      </c>
      <c r="U311" t="str">
        <f>IF(Retail_data[[#This Row],[Sales]]&gt;30000,"High",IF(Retail_data[[#This Row],[Sales]]&gt;10000,"Medium","Low"))</f>
        <v>Low</v>
      </c>
      <c r="V311" s="3">
        <f>Retail_data[[#This Row],[Profit]]/Retail_data[[#This Row],[Sales]]</f>
        <v>-6.2505038871292828E-2</v>
      </c>
      <c r="W311">
        <v>-325.62</v>
      </c>
      <c r="X311" t="s">
        <v>48</v>
      </c>
    </row>
    <row r="312" spans="1:24" ht="13.8" x14ac:dyDescent="0.25">
      <c r="A312" t="s">
        <v>1131</v>
      </c>
      <c r="B312">
        <f>YEAR(Retail_data[[#This Row],[Order Date]])</f>
        <v>2026</v>
      </c>
      <c r="C312" t="str">
        <f>TEXT(Retail_data[[#This Row],[Order Date]],"mmmm")</f>
        <v>July</v>
      </c>
      <c r="D312">
        <f>MONTH(Retail_data[[#This Row],[Order Date]])</f>
        <v>7</v>
      </c>
      <c r="E312" t="str">
        <f>"Q"&amp;ROUNDUP(MONTH(Retail_data[[#This Row],[Order Date]])/3,0)</f>
        <v>Q3</v>
      </c>
      <c r="F312" s="1">
        <v>46232</v>
      </c>
      <c r="G312" s="1">
        <v>46236</v>
      </c>
      <c r="H312" t="s">
        <v>1132</v>
      </c>
      <c r="I312" t="s">
        <v>1133</v>
      </c>
      <c r="J312" t="s">
        <v>44</v>
      </c>
      <c r="K312" t="s">
        <v>22</v>
      </c>
      <c r="L312" t="s">
        <v>85</v>
      </c>
      <c r="M312" t="s">
        <v>86</v>
      </c>
      <c r="N312" t="s">
        <v>87</v>
      </c>
      <c r="O312" t="s">
        <v>57</v>
      </c>
      <c r="P312" t="s">
        <v>58</v>
      </c>
      <c r="Q312" t="s">
        <v>731</v>
      </c>
      <c r="R312">
        <v>40491.599999999999</v>
      </c>
      <c r="S312">
        <v>1</v>
      </c>
      <c r="T312">
        <v>0.2</v>
      </c>
      <c r="U312" t="str">
        <f>IF(Retail_data[[#This Row],[Sales]]&gt;30000,"High",IF(Retail_data[[#This Row],[Sales]]&gt;10000,"Medium","Low"))</f>
        <v>High</v>
      </c>
      <c r="V312" s="3">
        <f>Retail_data[[#This Row],[Profit]]/Retail_data[[#This Row],[Sales]]</f>
        <v>0.17358513864604017</v>
      </c>
      <c r="W312">
        <v>7028.74</v>
      </c>
      <c r="X312" t="s">
        <v>40</v>
      </c>
    </row>
    <row r="313" spans="1:24" ht="13.8" x14ac:dyDescent="0.25">
      <c r="A313" t="s">
        <v>1134</v>
      </c>
      <c r="B313">
        <f>YEAR(Retail_data[[#This Row],[Order Date]])</f>
        <v>2026</v>
      </c>
      <c r="C313" t="str">
        <f>TEXT(Retail_data[[#This Row],[Order Date]],"mmmm")</f>
        <v>July</v>
      </c>
      <c r="D313">
        <f>MONTH(Retail_data[[#This Row],[Order Date]])</f>
        <v>7</v>
      </c>
      <c r="E313" t="str">
        <f>"Q"&amp;ROUNDUP(MONTH(Retail_data[[#This Row],[Order Date]])/3,0)</f>
        <v>Q3</v>
      </c>
      <c r="F313" s="1">
        <v>46233</v>
      </c>
      <c r="G313" s="1">
        <v>46237</v>
      </c>
      <c r="H313" t="s">
        <v>1135</v>
      </c>
      <c r="I313" t="s">
        <v>1136</v>
      </c>
      <c r="J313" t="s">
        <v>44</v>
      </c>
      <c r="K313" t="s">
        <v>22</v>
      </c>
      <c r="L313" t="s">
        <v>85</v>
      </c>
      <c r="M313" t="s">
        <v>86</v>
      </c>
      <c r="N313" t="s">
        <v>87</v>
      </c>
      <c r="O313" t="s">
        <v>57</v>
      </c>
      <c r="P313" t="s">
        <v>79</v>
      </c>
      <c r="Q313" t="s">
        <v>80</v>
      </c>
      <c r="R313">
        <v>33845.730000000003</v>
      </c>
      <c r="S313">
        <v>1</v>
      </c>
      <c r="T313">
        <v>0.3</v>
      </c>
      <c r="U313" t="str">
        <f>IF(Retail_data[[#This Row],[Sales]]&gt;30000,"High",IF(Retail_data[[#This Row],[Sales]]&gt;10000,"Medium","Low"))</f>
        <v>High</v>
      </c>
      <c r="V313" s="3">
        <f>Retail_data[[#This Row],[Profit]]/Retail_data[[#This Row],[Sales]]</f>
        <v>8.9977967678640691E-2</v>
      </c>
      <c r="W313">
        <v>3045.37</v>
      </c>
      <c r="X313" t="s">
        <v>40</v>
      </c>
    </row>
    <row r="314" spans="1:24" ht="13.8" x14ac:dyDescent="0.25">
      <c r="A314" t="s">
        <v>1137</v>
      </c>
      <c r="B314">
        <f>YEAR(Retail_data[[#This Row],[Order Date]])</f>
        <v>2026</v>
      </c>
      <c r="C314" t="str">
        <f>TEXT(Retail_data[[#This Row],[Order Date]],"mmmm")</f>
        <v>July</v>
      </c>
      <c r="D314">
        <f>MONTH(Retail_data[[#This Row],[Order Date]])</f>
        <v>7</v>
      </c>
      <c r="E314" t="str">
        <f>"Q"&amp;ROUNDUP(MONTH(Retail_data[[#This Row],[Order Date]])/3,0)</f>
        <v>Q3</v>
      </c>
      <c r="F314" s="1">
        <v>46234</v>
      </c>
      <c r="G314" s="1">
        <v>46238</v>
      </c>
      <c r="H314" t="s">
        <v>1138</v>
      </c>
      <c r="I314" t="s">
        <v>1139</v>
      </c>
      <c r="J314" t="s">
        <v>21</v>
      </c>
      <c r="K314" t="s">
        <v>22</v>
      </c>
      <c r="L314" t="s">
        <v>85</v>
      </c>
      <c r="M314" t="s">
        <v>86</v>
      </c>
      <c r="N314" t="s">
        <v>87</v>
      </c>
      <c r="O314" t="s">
        <v>37</v>
      </c>
      <c r="P314" t="s">
        <v>38</v>
      </c>
      <c r="Q314" t="s">
        <v>595</v>
      </c>
      <c r="R314">
        <v>48589.36</v>
      </c>
      <c r="S314">
        <v>5</v>
      </c>
      <c r="T314">
        <v>0.2</v>
      </c>
      <c r="U314" t="str">
        <f>IF(Retail_data[[#This Row],[Sales]]&gt;30000,"High",IF(Retail_data[[#This Row],[Sales]]&gt;10000,"Medium","Low"))</f>
        <v>High</v>
      </c>
      <c r="V314" s="3">
        <f>Retail_data[[#This Row],[Profit]]/Retail_data[[#This Row],[Sales]]</f>
        <v>0.21125674427487828</v>
      </c>
      <c r="W314">
        <v>10264.83</v>
      </c>
      <c r="X314" t="s">
        <v>40</v>
      </c>
    </row>
    <row r="315" spans="1:24" ht="13.8" x14ac:dyDescent="0.25">
      <c r="A315" t="s">
        <v>1140</v>
      </c>
      <c r="B315">
        <f>YEAR(Retail_data[[#This Row],[Order Date]])</f>
        <v>2026</v>
      </c>
      <c r="C315" t="str">
        <f>TEXT(Retail_data[[#This Row],[Order Date]],"mmmm")</f>
        <v>August</v>
      </c>
      <c r="D315">
        <f>MONTH(Retail_data[[#This Row],[Order Date]])</f>
        <v>8</v>
      </c>
      <c r="E315" t="str">
        <f>"Q"&amp;ROUNDUP(MONTH(Retail_data[[#This Row],[Order Date]])/3,0)</f>
        <v>Q3</v>
      </c>
      <c r="F315" s="1">
        <v>46235</v>
      </c>
      <c r="G315" s="1">
        <v>46239</v>
      </c>
      <c r="H315" t="s">
        <v>1141</v>
      </c>
      <c r="I315" t="s">
        <v>1142</v>
      </c>
      <c r="J315" t="s">
        <v>44</v>
      </c>
      <c r="K315" t="s">
        <v>22</v>
      </c>
      <c r="L315" t="s">
        <v>45</v>
      </c>
      <c r="M315" t="s">
        <v>45</v>
      </c>
      <c r="N315" t="s">
        <v>25</v>
      </c>
      <c r="O315" t="s">
        <v>57</v>
      </c>
      <c r="P315" t="s">
        <v>79</v>
      </c>
      <c r="Q315" t="s">
        <v>1143</v>
      </c>
      <c r="R315">
        <v>28107.03</v>
      </c>
      <c r="S315">
        <v>2</v>
      </c>
      <c r="T315">
        <v>0.2</v>
      </c>
      <c r="U315" t="str">
        <f>IF(Retail_data[[#This Row],[Sales]]&gt;30000,"High",IF(Retail_data[[#This Row],[Sales]]&gt;10000,"Medium","Low"))</f>
        <v>Medium</v>
      </c>
      <c r="V315" s="3">
        <f>Retail_data[[#This Row],[Profit]]/Retail_data[[#This Row],[Sales]]</f>
        <v>2.0256853890290083E-2</v>
      </c>
      <c r="W315">
        <v>569.36</v>
      </c>
      <c r="X315" t="s">
        <v>81</v>
      </c>
    </row>
    <row r="316" spans="1:24" ht="13.8" x14ac:dyDescent="0.25">
      <c r="A316" t="s">
        <v>1144</v>
      </c>
      <c r="B316">
        <f>YEAR(Retail_data[[#This Row],[Order Date]])</f>
        <v>2026</v>
      </c>
      <c r="C316" t="str">
        <f>TEXT(Retail_data[[#This Row],[Order Date]],"mmmm")</f>
        <v>August</v>
      </c>
      <c r="D316">
        <f>MONTH(Retail_data[[#This Row],[Order Date]])</f>
        <v>8</v>
      </c>
      <c r="E316" t="str">
        <f>"Q"&amp;ROUNDUP(MONTH(Retail_data[[#This Row],[Order Date]])/3,0)</f>
        <v>Q3</v>
      </c>
      <c r="F316" s="1">
        <v>46236</v>
      </c>
      <c r="G316" s="1">
        <v>46240</v>
      </c>
      <c r="H316" t="s">
        <v>1145</v>
      </c>
      <c r="I316" t="s">
        <v>1146</v>
      </c>
      <c r="J316" t="s">
        <v>33</v>
      </c>
      <c r="K316" t="s">
        <v>22</v>
      </c>
      <c r="L316" t="s">
        <v>34</v>
      </c>
      <c r="M316" t="s">
        <v>35</v>
      </c>
      <c r="N316" t="s">
        <v>36</v>
      </c>
      <c r="O316" t="s">
        <v>26</v>
      </c>
      <c r="P316" t="s">
        <v>92</v>
      </c>
      <c r="Q316" t="s">
        <v>246</v>
      </c>
      <c r="R316">
        <v>7138.95</v>
      </c>
      <c r="S316">
        <v>2</v>
      </c>
      <c r="T316">
        <v>0.3</v>
      </c>
      <c r="U316" t="str">
        <f>IF(Retail_data[[#This Row],[Sales]]&gt;30000,"High",IF(Retail_data[[#This Row],[Sales]]&gt;10000,"Medium","Low"))</f>
        <v>Low</v>
      </c>
      <c r="V316" s="3">
        <f>Retail_data[[#This Row],[Profit]]/Retail_data[[#This Row],[Sales]]</f>
        <v>0.12927111129787994</v>
      </c>
      <c r="W316">
        <v>922.86</v>
      </c>
      <c r="X316" t="s">
        <v>48</v>
      </c>
    </row>
    <row r="317" spans="1:24" ht="13.8" x14ac:dyDescent="0.25">
      <c r="A317" t="s">
        <v>1147</v>
      </c>
      <c r="B317">
        <f>YEAR(Retail_data[[#This Row],[Order Date]])</f>
        <v>2026</v>
      </c>
      <c r="C317" t="str">
        <f>TEXT(Retail_data[[#This Row],[Order Date]],"mmmm")</f>
        <v>August</v>
      </c>
      <c r="D317">
        <f>MONTH(Retail_data[[#This Row],[Order Date]])</f>
        <v>8</v>
      </c>
      <c r="E317" t="str">
        <f>"Q"&amp;ROUNDUP(MONTH(Retail_data[[#This Row],[Order Date]])/3,0)</f>
        <v>Q3</v>
      </c>
      <c r="F317" s="1">
        <v>46237</v>
      </c>
      <c r="G317" s="1">
        <v>46241</v>
      </c>
      <c r="H317" t="s">
        <v>1148</v>
      </c>
      <c r="I317" t="s">
        <v>1149</v>
      </c>
      <c r="J317" t="s">
        <v>21</v>
      </c>
      <c r="K317" t="s">
        <v>22</v>
      </c>
      <c r="L317" t="s">
        <v>67</v>
      </c>
      <c r="M317" t="s">
        <v>68</v>
      </c>
      <c r="N317" t="s">
        <v>69</v>
      </c>
      <c r="O317" t="s">
        <v>57</v>
      </c>
      <c r="P317" t="s">
        <v>58</v>
      </c>
      <c r="Q317" t="s">
        <v>1150</v>
      </c>
      <c r="R317">
        <v>27865.18</v>
      </c>
      <c r="S317">
        <v>2</v>
      </c>
      <c r="T317">
        <v>0.2</v>
      </c>
      <c r="U317" t="str">
        <f>IF(Retail_data[[#This Row],[Sales]]&gt;30000,"High",IF(Retail_data[[#This Row],[Sales]]&gt;10000,"Medium","Low"))</f>
        <v>Medium</v>
      </c>
      <c r="V317" s="3">
        <f>Retail_data[[#This Row],[Profit]]/Retail_data[[#This Row],[Sales]]</f>
        <v>6.3016280533626554E-2</v>
      </c>
      <c r="W317">
        <v>1755.96</v>
      </c>
      <c r="X317" t="s">
        <v>29</v>
      </c>
    </row>
    <row r="318" spans="1:24" ht="13.8" x14ac:dyDescent="0.25">
      <c r="A318" t="s">
        <v>1151</v>
      </c>
      <c r="B318">
        <f>YEAR(Retail_data[[#This Row],[Order Date]])</f>
        <v>2026</v>
      </c>
      <c r="C318" t="str">
        <f>TEXT(Retail_data[[#This Row],[Order Date]],"mmmm")</f>
        <v>August</v>
      </c>
      <c r="D318">
        <f>MONTH(Retail_data[[#This Row],[Order Date]])</f>
        <v>8</v>
      </c>
      <c r="E318" t="str">
        <f>"Q"&amp;ROUNDUP(MONTH(Retail_data[[#This Row],[Order Date]])/3,0)</f>
        <v>Q3</v>
      </c>
      <c r="F318" s="1">
        <v>46238</v>
      </c>
      <c r="G318" s="1">
        <v>46242</v>
      </c>
      <c r="H318" t="s">
        <v>1152</v>
      </c>
      <c r="I318" t="s">
        <v>1153</v>
      </c>
      <c r="J318" t="s">
        <v>44</v>
      </c>
      <c r="K318" t="s">
        <v>22</v>
      </c>
      <c r="L318" t="s">
        <v>34</v>
      </c>
      <c r="M318" t="s">
        <v>35</v>
      </c>
      <c r="N318" t="s">
        <v>36</v>
      </c>
      <c r="O318" t="s">
        <v>26</v>
      </c>
      <c r="P318" t="s">
        <v>92</v>
      </c>
      <c r="Q318" t="s">
        <v>433</v>
      </c>
      <c r="R318">
        <v>33575.269999999997</v>
      </c>
      <c r="S318">
        <v>5</v>
      </c>
      <c r="T318">
        <v>0.1</v>
      </c>
      <c r="U318" t="str">
        <f>IF(Retail_data[[#This Row],[Sales]]&gt;30000,"High",IF(Retail_data[[#This Row],[Sales]]&gt;10000,"Medium","Low"))</f>
        <v>High</v>
      </c>
      <c r="V318" s="3">
        <f>Retail_data[[#This Row],[Profit]]/Retail_data[[#This Row],[Sales]]</f>
        <v>0.10401971451011414</v>
      </c>
      <c r="W318">
        <v>3492.49</v>
      </c>
      <c r="X318" t="s">
        <v>29</v>
      </c>
    </row>
    <row r="319" spans="1:24" ht="13.8" x14ac:dyDescent="0.25">
      <c r="A319" t="s">
        <v>1154</v>
      </c>
      <c r="B319">
        <f>YEAR(Retail_data[[#This Row],[Order Date]])</f>
        <v>2026</v>
      </c>
      <c r="C319" t="str">
        <f>TEXT(Retail_data[[#This Row],[Order Date]],"mmmm")</f>
        <v>August</v>
      </c>
      <c r="D319">
        <f>MONTH(Retail_data[[#This Row],[Order Date]])</f>
        <v>8</v>
      </c>
      <c r="E319" t="str">
        <f>"Q"&amp;ROUNDUP(MONTH(Retail_data[[#This Row],[Order Date]])/3,0)</f>
        <v>Q3</v>
      </c>
      <c r="F319" s="1">
        <v>46239</v>
      </c>
      <c r="G319" s="1">
        <v>46243</v>
      </c>
      <c r="H319" t="s">
        <v>1155</v>
      </c>
      <c r="I319" t="s">
        <v>1156</v>
      </c>
      <c r="J319" t="s">
        <v>44</v>
      </c>
      <c r="K319" t="s">
        <v>22</v>
      </c>
      <c r="L319" t="s">
        <v>34</v>
      </c>
      <c r="M319" t="s">
        <v>35</v>
      </c>
      <c r="N319" t="s">
        <v>36</v>
      </c>
      <c r="O319" t="s">
        <v>37</v>
      </c>
      <c r="P319" t="s">
        <v>38</v>
      </c>
      <c r="Q319" t="s">
        <v>1157</v>
      </c>
      <c r="R319">
        <v>40909.279999999999</v>
      </c>
      <c r="S319">
        <v>3</v>
      </c>
      <c r="T319">
        <v>0.3</v>
      </c>
      <c r="U319" t="str">
        <f>IF(Retail_data[[#This Row],[Sales]]&gt;30000,"High",IF(Retail_data[[#This Row],[Sales]]&gt;10000,"Medium","Low"))</f>
        <v>High</v>
      </c>
      <c r="V319" s="3">
        <f>Retail_data[[#This Row],[Profit]]/Retail_data[[#This Row],[Sales]]</f>
        <v>0.11701477024283977</v>
      </c>
      <c r="W319">
        <v>4786.99</v>
      </c>
      <c r="X319" t="s">
        <v>29</v>
      </c>
    </row>
    <row r="320" spans="1:24" ht="13.8" x14ac:dyDescent="0.25">
      <c r="A320" t="s">
        <v>1158</v>
      </c>
      <c r="B320">
        <f>YEAR(Retail_data[[#This Row],[Order Date]])</f>
        <v>2026</v>
      </c>
      <c r="C320" t="str">
        <f>TEXT(Retail_data[[#This Row],[Order Date]],"mmmm")</f>
        <v>August</v>
      </c>
      <c r="D320">
        <f>MONTH(Retail_data[[#This Row],[Order Date]])</f>
        <v>8</v>
      </c>
      <c r="E320" t="str">
        <f>"Q"&amp;ROUNDUP(MONTH(Retail_data[[#This Row],[Order Date]])/3,0)</f>
        <v>Q3</v>
      </c>
      <c r="F320" s="1">
        <v>46240</v>
      </c>
      <c r="G320" s="1">
        <v>46244</v>
      </c>
      <c r="H320" t="s">
        <v>1159</v>
      </c>
      <c r="I320" t="s">
        <v>1160</v>
      </c>
      <c r="J320" t="s">
        <v>33</v>
      </c>
      <c r="K320" t="s">
        <v>22</v>
      </c>
      <c r="L320" t="s">
        <v>85</v>
      </c>
      <c r="M320" t="s">
        <v>86</v>
      </c>
      <c r="N320" t="s">
        <v>87</v>
      </c>
      <c r="O320" t="s">
        <v>57</v>
      </c>
      <c r="P320" t="s">
        <v>58</v>
      </c>
      <c r="Q320" t="s">
        <v>97</v>
      </c>
      <c r="R320">
        <v>22767.55</v>
      </c>
      <c r="S320">
        <v>2</v>
      </c>
      <c r="T320">
        <v>0.2</v>
      </c>
      <c r="U320" t="str">
        <f>IF(Retail_data[[#This Row],[Sales]]&gt;30000,"High",IF(Retail_data[[#This Row],[Sales]]&gt;10000,"Medium","Low"))</f>
        <v>Medium</v>
      </c>
      <c r="V320" s="3">
        <f>Retail_data[[#This Row],[Profit]]/Retail_data[[#This Row],[Sales]]</f>
        <v>4.2472729828198469E-2</v>
      </c>
      <c r="W320">
        <v>967</v>
      </c>
      <c r="X320" t="s">
        <v>81</v>
      </c>
    </row>
    <row r="321" spans="1:24" ht="13.8" x14ac:dyDescent="0.25">
      <c r="A321" t="s">
        <v>1161</v>
      </c>
      <c r="B321">
        <f>YEAR(Retail_data[[#This Row],[Order Date]])</f>
        <v>2026</v>
      </c>
      <c r="C321" t="str">
        <f>TEXT(Retail_data[[#This Row],[Order Date]],"mmmm")</f>
        <v>August</v>
      </c>
      <c r="D321">
        <f>MONTH(Retail_data[[#This Row],[Order Date]])</f>
        <v>8</v>
      </c>
      <c r="E321" t="str">
        <f>"Q"&amp;ROUNDUP(MONTH(Retail_data[[#This Row],[Order Date]])/3,0)</f>
        <v>Q3</v>
      </c>
      <c r="F321" s="1">
        <v>46241</v>
      </c>
      <c r="G321" s="1">
        <v>46245</v>
      </c>
      <c r="H321" t="s">
        <v>1162</v>
      </c>
      <c r="I321" t="s">
        <v>1163</v>
      </c>
      <c r="J321" t="s">
        <v>33</v>
      </c>
      <c r="K321" t="s">
        <v>22</v>
      </c>
      <c r="L321" t="s">
        <v>45</v>
      </c>
      <c r="M321" t="s">
        <v>45</v>
      </c>
      <c r="N321" t="s">
        <v>25</v>
      </c>
      <c r="O321" t="s">
        <v>37</v>
      </c>
      <c r="P321" t="s">
        <v>38</v>
      </c>
      <c r="Q321" t="s">
        <v>998</v>
      </c>
      <c r="R321">
        <v>23827.51</v>
      </c>
      <c r="S321">
        <v>5</v>
      </c>
      <c r="T321">
        <v>0</v>
      </c>
      <c r="U321" t="str">
        <f>IF(Retail_data[[#This Row],[Sales]]&gt;30000,"High",IF(Retail_data[[#This Row],[Sales]]&gt;10000,"Medium","Low"))</f>
        <v>Medium</v>
      </c>
      <c r="V321" s="3">
        <f>Retail_data[[#This Row],[Profit]]/Retail_data[[#This Row],[Sales]]</f>
        <v>0.20679290450407953</v>
      </c>
      <c r="W321">
        <v>4927.3599999999997</v>
      </c>
      <c r="X321" t="s">
        <v>29</v>
      </c>
    </row>
    <row r="322" spans="1:24" ht="13.8" x14ac:dyDescent="0.25">
      <c r="A322" t="s">
        <v>1164</v>
      </c>
      <c r="B322">
        <f>YEAR(Retail_data[[#This Row],[Order Date]])</f>
        <v>2026</v>
      </c>
      <c r="C322" t="str">
        <f>TEXT(Retail_data[[#This Row],[Order Date]],"mmmm")</f>
        <v>August</v>
      </c>
      <c r="D322">
        <f>MONTH(Retail_data[[#This Row],[Order Date]])</f>
        <v>8</v>
      </c>
      <c r="E322" t="str">
        <f>"Q"&amp;ROUNDUP(MONTH(Retail_data[[#This Row],[Order Date]])/3,0)</f>
        <v>Q3</v>
      </c>
      <c r="F322" s="1">
        <v>46242</v>
      </c>
      <c r="G322" s="1">
        <v>46246</v>
      </c>
      <c r="H322" t="s">
        <v>1165</v>
      </c>
      <c r="I322" t="s">
        <v>1166</v>
      </c>
      <c r="J322" t="s">
        <v>21</v>
      </c>
      <c r="K322" t="s">
        <v>22</v>
      </c>
      <c r="L322" t="s">
        <v>23</v>
      </c>
      <c r="M322" t="s">
        <v>24</v>
      </c>
      <c r="N322" t="s">
        <v>25</v>
      </c>
      <c r="O322" t="s">
        <v>57</v>
      </c>
      <c r="P322" t="s">
        <v>79</v>
      </c>
      <c r="Q322" t="s">
        <v>258</v>
      </c>
      <c r="R322">
        <v>20792.48</v>
      </c>
      <c r="S322">
        <v>4</v>
      </c>
      <c r="T322">
        <v>0</v>
      </c>
      <c r="U322" t="str">
        <f>IF(Retail_data[[#This Row],[Sales]]&gt;30000,"High",IF(Retail_data[[#This Row],[Sales]]&gt;10000,"Medium","Low"))</f>
        <v>Medium</v>
      </c>
      <c r="V322" s="3">
        <f>Retail_data[[#This Row],[Profit]]/Retail_data[[#This Row],[Sales]]</f>
        <v>0.25961838126091741</v>
      </c>
      <c r="W322">
        <v>5398.11</v>
      </c>
      <c r="X322" t="s">
        <v>40</v>
      </c>
    </row>
    <row r="323" spans="1:24" ht="13.8" x14ac:dyDescent="0.25">
      <c r="A323" t="s">
        <v>1167</v>
      </c>
      <c r="B323">
        <f>YEAR(Retail_data[[#This Row],[Order Date]])</f>
        <v>2026</v>
      </c>
      <c r="C323" t="str">
        <f>TEXT(Retail_data[[#This Row],[Order Date]],"mmmm")</f>
        <v>August</v>
      </c>
      <c r="D323">
        <f>MONTH(Retail_data[[#This Row],[Order Date]])</f>
        <v>8</v>
      </c>
      <c r="E323" t="str">
        <f>"Q"&amp;ROUNDUP(MONTH(Retail_data[[#This Row],[Order Date]])/3,0)</f>
        <v>Q3</v>
      </c>
      <c r="F323" s="1">
        <v>46243</v>
      </c>
      <c r="G323" s="1">
        <v>46247</v>
      </c>
      <c r="H323" t="s">
        <v>1168</v>
      </c>
      <c r="I323" t="s">
        <v>1169</v>
      </c>
      <c r="J323" t="s">
        <v>33</v>
      </c>
      <c r="K323" t="s">
        <v>22</v>
      </c>
      <c r="L323" t="s">
        <v>34</v>
      </c>
      <c r="M323" t="s">
        <v>35</v>
      </c>
      <c r="N323" t="s">
        <v>36</v>
      </c>
      <c r="O323" t="s">
        <v>57</v>
      </c>
      <c r="P323" t="s">
        <v>79</v>
      </c>
      <c r="Q323" t="s">
        <v>254</v>
      </c>
      <c r="R323">
        <v>35688.400000000001</v>
      </c>
      <c r="S323">
        <v>2</v>
      </c>
      <c r="T323">
        <v>0</v>
      </c>
      <c r="U323" t="str">
        <f>IF(Retail_data[[#This Row],[Sales]]&gt;30000,"High",IF(Retail_data[[#This Row],[Sales]]&gt;10000,"Medium","Low"))</f>
        <v>High</v>
      </c>
      <c r="V323" s="3">
        <f>Retail_data[[#This Row],[Profit]]/Retail_data[[#This Row],[Sales]]</f>
        <v>9.6384259311148718E-2</v>
      </c>
      <c r="W323">
        <v>3439.8</v>
      </c>
      <c r="X323" t="s">
        <v>48</v>
      </c>
    </row>
    <row r="324" spans="1:24" ht="13.8" x14ac:dyDescent="0.25">
      <c r="A324" t="s">
        <v>1170</v>
      </c>
      <c r="B324">
        <f>YEAR(Retail_data[[#This Row],[Order Date]])</f>
        <v>2026</v>
      </c>
      <c r="C324" t="str">
        <f>TEXT(Retail_data[[#This Row],[Order Date]],"mmmm")</f>
        <v>August</v>
      </c>
      <c r="D324">
        <f>MONTH(Retail_data[[#This Row],[Order Date]])</f>
        <v>8</v>
      </c>
      <c r="E324" t="str">
        <f>"Q"&amp;ROUNDUP(MONTH(Retail_data[[#This Row],[Order Date]])/3,0)</f>
        <v>Q3</v>
      </c>
      <c r="F324" s="1">
        <v>46244</v>
      </c>
      <c r="G324" s="1">
        <v>46248</v>
      </c>
      <c r="H324" t="s">
        <v>1171</v>
      </c>
      <c r="I324" t="s">
        <v>1172</v>
      </c>
      <c r="J324" t="s">
        <v>33</v>
      </c>
      <c r="K324" t="s">
        <v>22</v>
      </c>
      <c r="L324" t="s">
        <v>85</v>
      </c>
      <c r="M324" t="s">
        <v>86</v>
      </c>
      <c r="N324" t="s">
        <v>87</v>
      </c>
      <c r="O324" t="s">
        <v>26</v>
      </c>
      <c r="P324" t="s">
        <v>92</v>
      </c>
      <c r="Q324" t="s">
        <v>831</v>
      </c>
      <c r="R324">
        <v>18743.16</v>
      </c>
      <c r="S324">
        <v>6</v>
      </c>
      <c r="T324">
        <v>0.1</v>
      </c>
      <c r="U324" t="str">
        <f>IF(Retail_data[[#This Row],[Sales]]&gt;30000,"High",IF(Retail_data[[#This Row],[Sales]]&gt;10000,"Medium","Low"))</f>
        <v>Medium</v>
      </c>
      <c r="V324" s="3">
        <f>Retail_data[[#This Row],[Profit]]/Retail_data[[#This Row],[Sales]]</f>
        <v>0.10526880205899111</v>
      </c>
      <c r="W324">
        <v>1973.07</v>
      </c>
      <c r="X324" t="s">
        <v>48</v>
      </c>
    </row>
    <row r="325" spans="1:24" ht="13.8" x14ac:dyDescent="0.25">
      <c r="A325" t="s">
        <v>1173</v>
      </c>
      <c r="B325">
        <f>YEAR(Retail_data[[#This Row],[Order Date]])</f>
        <v>2026</v>
      </c>
      <c r="C325" t="str">
        <f>TEXT(Retail_data[[#This Row],[Order Date]],"mmmm")</f>
        <v>August</v>
      </c>
      <c r="D325">
        <f>MONTH(Retail_data[[#This Row],[Order Date]])</f>
        <v>8</v>
      </c>
      <c r="E325" t="str">
        <f>"Q"&amp;ROUNDUP(MONTH(Retail_data[[#This Row],[Order Date]])/3,0)</f>
        <v>Q3</v>
      </c>
      <c r="F325" s="1">
        <v>46245</v>
      </c>
      <c r="G325" s="1">
        <v>46249</v>
      </c>
      <c r="H325" t="s">
        <v>1174</v>
      </c>
      <c r="I325" t="s">
        <v>1175</v>
      </c>
      <c r="J325" t="s">
        <v>33</v>
      </c>
      <c r="K325" t="s">
        <v>22</v>
      </c>
      <c r="L325" t="s">
        <v>67</v>
      </c>
      <c r="M325" t="s">
        <v>68</v>
      </c>
      <c r="N325" t="s">
        <v>69</v>
      </c>
      <c r="O325" t="s">
        <v>37</v>
      </c>
      <c r="P325" t="s">
        <v>38</v>
      </c>
      <c r="Q325" t="s">
        <v>930</v>
      </c>
      <c r="R325">
        <v>9775.82</v>
      </c>
      <c r="S325">
        <v>6</v>
      </c>
      <c r="T325">
        <v>0.1</v>
      </c>
      <c r="U325" t="str">
        <f>IF(Retail_data[[#This Row],[Sales]]&gt;30000,"High",IF(Retail_data[[#This Row],[Sales]]&gt;10000,"Medium","Low"))</f>
        <v>Low</v>
      </c>
      <c r="V325" s="3">
        <f>Retail_data[[#This Row],[Profit]]/Retail_data[[#This Row],[Sales]]</f>
        <v>1.1913067139124902E-2</v>
      </c>
      <c r="W325">
        <v>116.46</v>
      </c>
      <c r="X325" t="s">
        <v>29</v>
      </c>
    </row>
    <row r="326" spans="1:24" ht="13.8" x14ac:dyDescent="0.25">
      <c r="A326" t="s">
        <v>1176</v>
      </c>
      <c r="B326">
        <f>YEAR(Retail_data[[#This Row],[Order Date]])</f>
        <v>2026</v>
      </c>
      <c r="C326" t="str">
        <f>TEXT(Retail_data[[#This Row],[Order Date]],"mmmm")</f>
        <v>August</v>
      </c>
      <c r="D326">
        <f>MONTH(Retail_data[[#This Row],[Order Date]])</f>
        <v>8</v>
      </c>
      <c r="E326" t="str">
        <f>"Q"&amp;ROUNDUP(MONTH(Retail_data[[#This Row],[Order Date]])/3,0)</f>
        <v>Q3</v>
      </c>
      <c r="F326" s="1">
        <v>46246</v>
      </c>
      <c r="G326" s="1">
        <v>46250</v>
      </c>
      <c r="H326" t="s">
        <v>1177</v>
      </c>
      <c r="I326" t="s">
        <v>1178</v>
      </c>
      <c r="J326" t="s">
        <v>33</v>
      </c>
      <c r="K326" t="s">
        <v>22</v>
      </c>
      <c r="L326" t="s">
        <v>85</v>
      </c>
      <c r="M326" t="s">
        <v>86</v>
      </c>
      <c r="N326" t="s">
        <v>87</v>
      </c>
      <c r="O326" t="s">
        <v>57</v>
      </c>
      <c r="P326" t="s">
        <v>58</v>
      </c>
      <c r="Q326" t="s">
        <v>59</v>
      </c>
      <c r="R326">
        <v>19533.57</v>
      </c>
      <c r="S326">
        <v>7</v>
      </c>
      <c r="T326">
        <v>0.3</v>
      </c>
      <c r="U326" t="str">
        <f>IF(Retail_data[[#This Row],[Sales]]&gt;30000,"High",IF(Retail_data[[#This Row],[Sales]]&gt;10000,"Medium","Low"))</f>
        <v>Medium</v>
      </c>
      <c r="V326" s="3">
        <f>Retail_data[[#This Row],[Profit]]/Retail_data[[#This Row],[Sales]]</f>
        <v>8.7897399195333986E-2</v>
      </c>
      <c r="W326">
        <v>1716.95</v>
      </c>
      <c r="X326" t="s">
        <v>29</v>
      </c>
    </row>
    <row r="327" spans="1:24" ht="13.8" x14ac:dyDescent="0.25">
      <c r="A327" t="s">
        <v>1179</v>
      </c>
      <c r="B327">
        <f>YEAR(Retail_data[[#This Row],[Order Date]])</f>
        <v>2026</v>
      </c>
      <c r="C327" t="str">
        <f>TEXT(Retail_data[[#This Row],[Order Date]],"mmmm")</f>
        <v>August</v>
      </c>
      <c r="D327">
        <f>MONTH(Retail_data[[#This Row],[Order Date]])</f>
        <v>8</v>
      </c>
      <c r="E327" t="str">
        <f>"Q"&amp;ROUNDUP(MONTH(Retail_data[[#This Row],[Order Date]])/3,0)</f>
        <v>Q3</v>
      </c>
      <c r="F327" s="1">
        <v>46247</v>
      </c>
      <c r="G327" s="1">
        <v>46251</v>
      </c>
      <c r="H327" t="s">
        <v>1180</v>
      </c>
      <c r="I327" t="s">
        <v>1181</v>
      </c>
      <c r="J327" t="s">
        <v>44</v>
      </c>
      <c r="K327" t="s">
        <v>22</v>
      </c>
      <c r="L327" t="s">
        <v>34</v>
      </c>
      <c r="M327" t="s">
        <v>35</v>
      </c>
      <c r="N327" t="s">
        <v>36</v>
      </c>
      <c r="O327" t="s">
        <v>26</v>
      </c>
      <c r="P327" t="s">
        <v>92</v>
      </c>
      <c r="Q327" t="s">
        <v>631</v>
      </c>
      <c r="R327">
        <v>25437.77</v>
      </c>
      <c r="S327">
        <v>8</v>
      </c>
      <c r="T327">
        <v>0.1</v>
      </c>
      <c r="U327" t="str">
        <f>IF(Retail_data[[#This Row],[Sales]]&gt;30000,"High",IF(Retail_data[[#This Row],[Sales]]&gt;10000,"Medium","Low"))</f>
        <v>Medium</v>
      </c>
      <c r="V327" s="3">
        <f>Retail_data[[#This Row],[Profit]]/Retail_data[[#This Row],[Sales]]</f>
        <v>0.19040033776545662</v>
      </c>
      <c r="W327">
        <v>4843.3599999999997</v>
      </c>
      <c r="X327" t="s">
        <v>81</v>
      </c>
    </row>
    <row r="328" spans="1:24" ht="13.8" x14ac:dyDescent="0.25">
      <c r="A328" t="s">
        <v>1182</v>
      </c>
      <c r="B328">
        <f>YEAR(Retail_data[[#This Row],[Order Date]])</f>
        <v>2026</v>
      </c>
      <c r="C328" t="str">
        <f>TEXT(Retail_data[[#This Row],[Order Date]],"mmmm")</f>
        <v>August</v>
      </c>
      <c r="D328">
        <f>MONTH(Retail_data[[#This Row],[Order Date]])</f>
        <v>8</v>
      </c>
      <c r="E328" t="str">
        <f>"Q"&amp;ROUNDUP(MONTH(Retail_data[[#This Row],[Order Date]])/3,0)</f>
        <v>Q3</v>
      </c>
      <c r="F328" s="1">
        <v>46248</v>
      </c>
      <c r="G328" s="1">
        <v>46252</v>
      </c>
      <c r="H328" t="s">
        <v>1183</v>
      </c>
      <c r="I328" t="s">
        <v>1184</v>
      </c>
      <c r="J328" t="s">
        <v>33</v>
      </c>
      <c r="K328" t="s">
        <v>22</v>
      </c>
      <c r="L328" t="s">
        <v>45</v>
      </c>
      <c r="M328" t="s">
        <v>45</v>
      </c>
      <c r="N328" t="s">
        <v>25</v>
      </c>
      <c r="O328" t="s">
        <v>26</v>
      </c>
      <c r="P328" t="s">
        <v>92</v>
      </c>
      <c r="Q328" t="s">
        <v>246</v>
      </c>
      <c r="R328">
        <v>22848.03</v>
      </c>
      <c r="S328">
        <v>4</v>
      </c>
      <c r="T328">
        <v>0.3</v>
      </c>
      <c r="U328" t="str">
        <f>IF(Retail_data[[#This Row],[Sales]]&gt;30000,"High",IF(Retail_data[[#This Row],[Sales]]&gt;10000,"Medium","Low"))</f>
        <v>Medium</v>
      </c>
      <c r="V328" s="3">
        <f>Retail_data[[#This Row],[Profit]]/Retail_data[[#This Row],[Sales]]</f>
        <v>1.8244023664184615E-2</v>
      </c>
      <c r="W328">
        <v>416.84</v>
      </c>
      <c r="X328" t="s">
        <v>29</v>
      </c>
    </row>
    <row r="329" spans="1:24" ht="13.8" x14ac:dyDescent="0.25">
      <c r="A329" t="s">
        <v>1185</v>
      </c>
      <c r="B329">
        <f>YEAR(Retail_data[[#This Row],[Order Date]])</f>
        <v>2026</v>
      </c>
      <c r="C329" t="str">
        <f>TEXT(Retail_data[[#This Row],[Order Date]],"mmmm")</f>
        <v>August</v>
      </c>
      <c r="D329">
        <f>MONTH(Retail_data[[#This Row],[Order Date]])</f>
        <v>8</v>
      </c>
      <c r="E329" t="str">
        <f>"Q"&amp;ROUNDUP(MONTH(Retail_data[[#This Row],[Order Date]])/3,0)</f>
        <v>Q3</v>
      </c>
      <c r="F329" s="1">
        <v>46249</v>
      </c>
      <c r="G329" s="1">
        <v>46253</v>
      </c>
      <c r="H329" t="s">
        <v>1186</v>
      </c>
      <c r="I329" t="s">
        <v>1187</v>
      </c>
      <c r="J329" t="s">
        <v>33</v>
      </c>
      <c r="K329" t="s">
        <v>22</v>
      </c>
      <c r="L329" t="s">
        <v>45</v>
      </c>
      <c r="M329" t="s">
        <v>45</v>
      </c>
      <c r="N329" t="s">
        <v>25</v>
      </c>
      <c r="O329" t="s">
        <v>37</v>
      </c>
      <c r="P329" t="s">
        <v>38</v>
      </c>
      <c r="Q329" t="s">
        <v>1188</v>
      </c>
      <c r="R329">
        <v>8444.3799999999992</v>
      </c>
      <c r="S329">
        <v>4</v>
      </c>
      <c r="T329">
        <v>0</v>
      </c>
      <c r="U329" t="str">
        <f>IF(Retail_data[[#This Row],[Sales]]&gt;30000,"High",IF(Retail_data[[#This Row],[Sales]]&gt;10000,"Medium","Low"))</f>
        <v>Low</v>
      </c>
      <c r="V329" s="3">
        <f>Retail_data[[#This Row],[Profit]]/Retail_data[[#This Row],[Sales]]</f>
        <v>0.23324625372141</v>
      </c>
      <c r="W329">
        <v>1969.62</v>
      </c>
      <c r="X329" t="s">
        <v>48</v>
      </c>
    </row>
    <row r="330" spans="1:24" ht="13.8" x14ac:dyDescent="0.25">
      <c r="A330" t="s">
        <v>1189</v>
      </c>
      <c r="B330">
        <f>YEAR(Retail_data[[#This Row],[Order Date]])</f>
        <v>2026</v>
      </c>
      <c r="C330" t="str">
        <f>TEXT(Retail_data[[#This Row],[Order Date]],"mmmm")</f>
        <v>August</v>
      </c>
      <c r="D330">
        <f>MONTH(Retail_data[[#This Row],[Order Date]])</f>
        <v>8</v>
      </c>
      <c r="E330" t="str">
        <f>"Q"&amp;ROUNDUP(MONTH(Retail_data[[#This Row],[Order Date]])/3,0)</f>
        <v>Q3</v>
      </c>
      <c r="F330" s="1">
        <v>46250</v>
      </c>
      <c r="G330" s="1">
        <v>46254</v>
      </c>
      <c r="H330" t="s">
        <v>1190</v>
      </c>
      <c r="I330" t="s">
        <v>1191</v>
      </c>
      <c r="J330" t="s">
        <v>33</v>
      </c>
      <c r="K330" t="s">
        <v>22</v>
      </c>
      <c r="L330" t="s">
        <v>67</v>
      </c>
      <c r="M330" t="s">
        <v>68</v>
      </c>
      <c r="N330" t="s">
        <v>69</v>
      </c>
      <c r="O330" t="s">
        <v>57</v>
      </c>
      <c r="P330" t="s">
        <v>58</v>
      </c>
      <c r="Q330" t="s">
        <v>542</v>
      </c>
      <c r="R330">
        <v>914.72</v>
      </c>
      <c r="S330">
        <v>8</v>
      </c>
      <c r="T330">
        <v>0</v>
      </c>
      <c r="U330" t="str">
        <f>IF(Retail_data[[#This Row],[Sales]]&gt;30000,"High",IF(Retail_data[[#This Row],[Sales]]&gt;10000,"Medium","Low"))</f>
        <v>Low</v>
      </c>
      <c r="V330" s="3">
        <f>Retail_data[[#This Row],[Profit]]/Retail_data[[#This Row],[Sales]]</f>
        <v>0.10996807766311002</v>
      </c>
      <c r="W330">
        <v>100.59</v>
      </c>
      <c r="X330" t="s">
        <v>40</v>
      </c>
    </row>
    <row r="331" spans="1:24" ht="13.8" x14ac:dyDescent="0.25">
      <c r="A331" t="s">
        <v>1192</v>
      </c>
      <c r="B331">
        <f>YEAR(Retail_data[[#This Row],[Order Date]])</f>
        <v>2026</v>
      </c>
      <c r="C331" t="str">
        <f>TEXT(Retail_data[[#This Row],[Order Date]],"mmmm")</f>
        <v>August</v>
      </c>
      <c r="D331">
        <f>MONTH(Retail_data[[#This Row],[Order Date]])</f>
        <v>8</v>
      </c>
      <c r="E331" t="str">
        <f>"Q"&amp;ROUNDUP(MONTH(Retail_data[[#This Row],[Order Date]])/3,0)</f>
        <v>Q3</v>
      </c>
      <c r="F331" s="1">
        <v>46251</v>
      </c>
      <c r="G331" s="1">
        <v>46255</v>
      </c>
      <c r="H331" t="s">
        <v>1193</v>
      </c>
      <c r="I331" t="s">
        <v>1194</v>
      </c>
      <c r="J331" t="s">
        <v>21</v>
      </c>
      <c r="K331" t="s">
        <v>22</v>
      </c>
      <c r="L331" t="s">
        <v>85</v>
      </c>
      <c r="M331" t="s">
        <v>86</v>
      </c>
      <c r="N331" t="s">
        <v>87</v>
      </c>
      <c r="O331" t="s">
        <v>26</v>
      </c>
      <c r="P331" t="s">
        <v>92</v>
      </c>
      <c r="Q331" t="s">
        <v>570</v>
      </c>
      <c r="R331">
        <v>23807.18</v>
      </c>
      <c r="S331">
        <v>5</v>
      </c>
      <c r="T331">
        <v>0</v>
      </c>
      <c r="U331" t="str">
        <f>IF(Retail_data[[#This Row],[Sales]]&gt;30000,"High",IF(Retail_data[[#This Row],[Sales]]&gt;10000,"Medium","Low"))</f>
        <v>Medium</v>
      </c>
      <c r="V331" s="3">
        <f>Retail_data[[#This Row],[Profit]]/Retail_data[[#This Row],[Sales]]</f>
        <v>0.29685876277660772</v>
      </c>
      <c r="W331">
        <v>7067.37</v>
      </c>
      <c r="X331" t="s">
        <v>48</v>
      </c>
    </row>
    <row r="332" spans="1:24" ht="13.8" x14ac:dyDescent="0.25">
      <c r="A332" t="s">
        <v>1195</v>
      </c>
      <c r="B332">
        <f>YEAR(Retail_data[[#This Row],[Order Date]])</f>
        <v>2026</v>
      </c>
      <c r="C332" t="str">
        <f>TEXT(Retail_data[[#This Row],[Order Date]],"mmmm")</f>
        <v>August</v>
      </c>
      <c r="D332">
        <f>MONTH(Retail_data[[#This Row],[Order Date]])</f>
        <v>8</v>
      </c>
      <c r="E332" t="str">
        <f>"Q"&amp;ROUNDUP(MONTH(Retail_data[[#This Row],[Order Date]])/3,0)</f>
        <v>Q3</v>
      </c>
      <c r="F332" s="1">
        <v>46252</v>
      </c>
      <c r="G332" s="1">
        <v>46256</v>
      </c>
      <c r="H332" t="s">
        <v>1196</v>
      </c>
      <c r="I332" t="s">
        <v>1197</v>
      </c>
      <c r="J332" t="s">
        <v>33</v>
      </c>
      <c r="K332" t="s">
        <v>22</v>
      </c>
      <c r="L332" t="s">
        <v>45</v>
      </c>
      <c r="M332" t="s">
        <v>45</v>
      </c>
      <c r="N332" t="s">
        <v>25</v>
      </c>
      <c r="O332" t="s">
        <v>37</v>
      </c>
      <c r="P332" t="s">
        <v>38</v>
      </c>
      <c r="Q332" t="s">
        <v>715</v>
      </c>
      <c r="R332">
        <v>7186.03</v>
      </c>
      <c r="S332">
        <v>6</v>
      </c>
      <c r="T332">
        <v>0</v>
      </c>
      <c r="U332" t="str">
        <f>IF(Retail_data[[#This Row],[Sales]]&gt;30000,"High",IF(Retail_data[[#This Row],[Sales]]&gt;10000,"Medium","Low"))</f>
        <v>Low</v>
      </c>
      <c r="V332" s="3">
        <f>Retail_data[[#This Row],[Profit]]/Retail_data[[#This Row],[Sales]]</f>
        <v>0.15965978433154329</v>
      </c>
      <c r="W332">
        <v>1147.32</v>
      </c>
      <c r="X332" t="s">
        <v>40</v>
      </c>
    </row>
    <row r="333" spans="1:24" ht="13.8" x14ac:dyDescent="0.25">
      <c r="A333" t="s">
        <v>1198</v>
      </c>
      <c r="B333">
        <f>YEAR(Retail_data[[#This Row],[Order Date]])</f>
        <v>2026</v>
      </c>
      <c r="C333" t="str">
        <f>TEXT(Retail_data[[#This Row],[Order Date]],"mmmm")</f>
        <v>August</v>
      </c>
      <c r="D333">
        <f>MONTH(Retail_data[[#This Row],[Order Date]])</f>
        <v>8</v>
      </c>
      <c r="E333" t="str">
        <f>"Q"&amp;ROUNDUP(MONTH(Retail_data[[#This Row],[Order Date]])/3,0)</f>
        <v>Q3</v>
      </c>
      <c r="F333" s="1">
        <v>46253</v>
      </c>
      <c r="G333" s="1">
        <v>46257</v>
      </c>
      <c r="H333" t="s">
        <v>1199</v>
      </c>
      <c r="I333" t="s">
        <v>1200</v>
      </c>
      <c r="J333" t="s">
        <v>33</v>
      </c>
      <c r="K333" t="s">
        <v>22</v>
      </c>
      <c r="L333" t="s">
        <v>67</v>
      </c>
      <c r="M333" t="s">
        <v>68</v>
      </c>
      <c r="N333" t="s">
        <v>69</v>
      </c>
      <c r="O333" t="s">
        <v>57</v>
      </c>
      <c r="P333" t="s">
        <v>79</v>
      </c>
      <c r="Q333" t="s">
        <v>137</v>
      </c>
      <c r="R333">
        <v>49883.74</v>
      </c>
      <c r="S333">
        <v>6</v>
      </c>
      <c r="T333">
        <v>0.2</v>
      </c>
      <c r="U333" t="str">
        <f>IF(Retail_data[[#This Row],[Sales]]&gt;30000,"High",IF(Retail_data[[#This Row],[Sales]]&gt;10000,"Medium","Low"))</f>
        <v>High</v>
      </c>
      <c r="V333" s="3">
        <f>Retail_data[[#This Row],[Profit]]/Retail_data[[#This Row],[Sales]]</f>
        <v>0.16543907894636609</v>
      </c>
      <c r="W333">
        <v>8252.7199999999993</v>
      </c>
      <c r="X333" t="s">
        <v>81</v>
      </c>
    </row>
    <row r="334" spans="1:24" ht="13.8" x14ac:dyDescent="0.25">
      <c r="A334" t="s">
        <v>1201</v>
      </c>
      <c r="B334">
        <f>YEAR(Retail_data[[#This Row],[Order Date]])</f>
        <v>2026</v>
      </c>
      <c r="C334" t="str">
        <f>TEXT(Retail_data[[#This Row],[Order Date]],"mmmm")</f>
        <v>August</v>
      </c>
      <c r="D334">
        <f>MONTH(Retail_data[[#This Row],[Order Date]])</f>
        <v>8</v>
      </c>
      <c r="E334" t="str">
        <f>"Q"&amp;ROUNDUP(MONTH(Retail_data[[#This Row],[Order Date]])/3,0)</f>
        <v>Q3</v>
      </c>
      <c r="F334" s="1">
        <v>46254</v>
      </c>
      <c r="G334" s="1">
        <v>46258</v>
      </c>
      <c r="H334" t="s">
        <v>1202</v>
      </c>
      <c r="I334" t="s">
        <v>1203</v>
      </c>
      <c r="J334" t="s">
        <v>33</v>
      </c>
      <c r="K334" t="s">
        <v>22</v>
      </c>
      <c r="L334" t="s">
        <v>85</v>
      </c>
      <c r="M334" t="s">
        <v>86</v>
      </c>
      <c r="N334" t="s">
        <v>87</v>
      </c>
      <c r="O334" t="s">
        <v>26</v>
      </c>
      <c r="P334" t="s">
        <v>92</v>
      </c>
      <c r="Q334" t="s">
        <v>631</v>
      </c>
      <c r="R334">
        <v>15115.25</v>
      </c>
      <c r="S334">
        <v>8</v>
      </c>
      <c r="T334">
        <v>0.1</v>
      </c>
      <c r="U334" t="str">
        <f>IF(Retail_data[[#This Row],[Sales]]&gt;30000,"High",IF(Retail_data[[#This Row],[Sales]]&gt;10000,"Medium","Low"))</f>
        <v>Medium</v>
      </c>
      <c r="V334" s="3">
        <f>Retail_data[[#This Row],[Profit]]/Retail_data[[#This Row],[Sales]]</f>
        <v>0.19258894163179571</v>
      </c>
      <c r="W334">
        <v>2911.03</v>
      </c>
      <c r="X334" t="s">
        <v>29</v>
      </c>
    </row>
    <row r="335" spans="1:24" ht="13.8" x14ac:dyDescent="0.25">
      <c r="A335" t="s">
        <v>1204</v>
      </c>
      <c r="B335">
        <f>YEAR(Retail_data[[#This Row],[Order Date]])</f>
        <v>2026</v>
      </c>
      <c r="C335" t="str">
        <f>TEXT(Retail_data[[#This Row],[Order Date]],"mmmm")</f>
        <v>August</v>
      </c>
      <c r="D335">
        <f>MONTH(Retail_data[[#This Row],[Order Date]])</f>
        <v>8</v>
      </c>
      <c r="E335" t="str">
        <f>"Q"&amp;ROUNDUP(MONTH(Retail_data[[#This Row],[Order Date]])/3,0)</f>
        <v>Q3</v>
      </c>
      <c r="F335" s="1">
        <v>46255</v>
      </c>
      <c r="G335" s="1">
        <v>46259</v>
      </c>
      <c r="H335" t="s">
        <v>1205</v>
      </c>
      <c r="I335" t="s">
        <v>1206</v>
      </c>
      <c r="J335" t="s">
        <v>33</v>
      </c>
      <c r="K335" t="s">
        <v>22</v>
      </c>
      <c r="L335" t="s">
        <v>45</v>
      </c>
      <c r="M335" t="s">
        <v>45</v>
      </c>
      <c r="N335" t="s">
        <v>25</v>
      </c>
      <c r="O335" t="s">
        <v>37</v>
      </c>
      <c r="P335" t="s">
        <v>52</v>
      </c>
      <c r="Q335" t="s">
        <v>358</v>
      </c>
      <c r="R335">
        <v>34838.97</v>
      </c>
      <c r="S335">
        <v>3</v>
      </c>
      <c r="T335">
        <v>0</v>
      </c>
      <c r="U335" t="str">
        <f>IF(Retail_data[[#This Row],[Sales]]&gt;30000,"High",IF(Retail_data[[#This Row],[Sales]]&gt;10000,"Medium","Low"))</f>
        <v>High</v>
      </c>
      <c r="V335" s="3">
        <f>Retail_data[[#This Row],[Profit]]/Retail_data[[#This Row],[Sales]]</f>
        <v>0.23665854644956497</v>
      </c>
      <c r="W335">
        <v>8244.94</v>
      </c>
      <c r="X335" t="s">
        <v>48</v>
      </c>
    </row>
    <row r="336" spans="1:24" ht="13.8" x14ac:dyDescent="0.25">
      <c r="A336" t="s">
        <v>1207</v>
      </c>
      <c r="B336">
        <f>YEAR(Retail_data[[#This Row],[Order Date]])</f>
        <v>2026</v>
      </c>
      <c r="C336" t="str">
        <f>TEXT(Retail_data[[#This Row],[Order Date]],"mmmm")</f>
        <v>August</v>
      </c>
      <c r="D336">
        <f>MONTH(Retail_data[[#This Row],[Order Date]])</f>
        <v>8</v>
      </c>
      <c r="E336" t="str">
        <f>"Q"&amp;ROUNDUP(MONTH(Retail_data[[#This Row],[Order Date]])/3,0)</f>
        <v>Q3</v>
      </c>
      <c r="F336" s="1">
        <v>46256</v>
      </c>
      <c r="G336" s="1">
        <v>46260</v>
      </c>
      <c r="H336" t="s">
        <v>1208</v>
      </c>
      <c r="I336" t="s">
        <v>1209</v>
      </c>
      <c r="J336" t="s">
        <v>33</v>
      </c>
      <c r="K336" t="s">
        <v>22</v>
      </c>
      <c r="L336" t="s">
        <v>23</v>
      </c>
      <c r="M336" t="s">
        <v>24</v>
      </c>
      <c r="N336" t="s">
        <v>25</v>
      </c>
      <c r="O336" t="s">
        <v>57</v>
      </c>
      <c r="P336" t="s">
        <v>149</v>
      </c>
      <c r="Q336" t="s">
        <v>681</v>
      </c>
      <c r="R336">
        <v>23825.58</v>
      </c>
      <c r="S336">
        <v>3</v>
      </c>
      <c r="T336">
        <v>0.3</v>
      </c>
      <c r="U336" t="str">
        <f>IF(Retail_data[[#This Row],[Sales]]&gt;30000,"High",IF(Retail_data[[#This Row],[Sales]]&gt;10000,"Medium","Low"))</f>
        <v>Medium</v>
      </c>
      <c r="V336" s="3">
        <f>Retail_data[[#This Row],[Profit]]/Retail_data[[#This Row],[Sales]]</f>
        <v>6.5838481161843695E-2</v>
      </c>
      <c r="W336">
        <v>1568.64</v>
      </c>
      <c r="X336" t="s">
        <v>29</v>
      </c>
    </row>
    <row r="337" spans="1:24" ht="13.8" x14ac:dyDescent="0.25">
      <c r="A337" t="s">
        <v>1210</v>
      </c>
      <c r="B337">
        <f>YEAR(Retail_data[[#This Row],[Order Date]])</f>
        <v>2026</v>
      </c>
      <c r="C337" t="str">
        <f>TEXT(Retail_data[[#This Row],[Order Date]],"mmmm")</f>
        <v>August</v>
      </c>
      <c r="D337">
        <f>MONTH(Retail_data[[#This Row],[Order Date]])</f>
        <v>8</v>
      </c>
      <c r="E337" t="str">
        <f>"Q"&amp;ROUNDUP(MONTH(Retail_data[[#This Row],[Order Date]])/3,0)</f>
        <v>Q3</v>
      </c>
      <c r="F337" s="1">
        <v>46257</v>
      </c>
      <c r="G337" s="1">
        <v>46261</v>
      </c>
      <c r="H337" t="s">
        <v>1211</v>
      </c>
      <c r="I337" t="s">
        <v>1212</v>
      </c>
      <c r="J337" t="s">
        <v>44</v>
      </c>
      <c r="K337" t="s">
        <v>22</v>
      </c>
      <c r="L337" t="s">
        <v>67</v>
      </c>
      <c r="M337" t="s">
        <v>68</v>
      </c>
      <c r="N337" t="s">
        <v>69</v>
      </c>
      <c r="O337" t="s">
        <v>26</v>
      </c>
      <c r="P337" t="s">
        <v>70</v>
      </c>
      <c r="Q337" t="s">
        <v>75</v>
      </c>
      <c r="R337">
        <v>16792.900000000001</v>
      </c>
      <c r="S337">
        <v>3</v>
      </c>
      <c r="T337">
        <v>0.2</v>
      </c>
      <c r="U337" t="str">
        <f>IF(Retail_data[[#This Row],[Sales]]&gt;30000,"High",IF(Retail_data[[#This Row],[Sales]]&gt;10000,"Medium","Low"))</f>
        <v>Medium</v>
      </c>
      <c r="V337" s="3">
        <f>Retail_data[[#This Row],[Profit]]/Retail_data[[#This Row],[Sales]]</f>
        <v>-2.6116394428597797E-2</v>
      </c>
      <c r="W337">
        <v>-438.57</v>
      </c>
      <c r="X337" t="s">
        <v>40</v>
      </c>
    </row>
    <row r="338" spans="1:24" ht="13.8" x14ac:dyDescent="0.25">
      <c r="A338" t="s">
        <v>1213</v>
      </c>
      <c r="B338">
        <f>YEAR(Retail_data[[#This Row],[Order Date]])</f>
        <v>2026</v>
      </c>
      <c r="C338" t="str">
        <f>TEXT(Retail_data[[#This Row],[Order Date]],"mmmm")</f>
        <v>August</v>
      </c>
      <c r="D338">
        <f>MONTH(Retail_data[[#This Row],[Order Date]])</f>
        <v>8</v>
      </c>
      <c r="E338" t="str">
        <f>"Q"&amp;ROUNDUP(MONTH(Retail_data[[#This Row],[Order Date]])/3,0)</f>
        <v>Q3</v>
      </c>
      <c r="F338" s="1">
        <v>46258</v>
      </c>
      <c r="G338" s="1">
        <v>46262</v>
      </c>
      <c r="H338" t="s">
        <v>1214</v>
      </c>
      <c r="I338" t="s">
        <v>1215</v>
      </c>
      <c r="J338" t="s">
        <v>44</v>
      </c>
      <c r="K338" t="s">
        <v>22</v>
      </c>
      <c r="L338" t="s">
        <v>45</v>
      </c>
      <c r="M338" t="s">
        <v>45</v>
      </c>
      <c r="N338" t="s">
        <v>25</v>
      </c>
      <c r="O338" t="s">
        <v>57</v>
      </c>
      <c r="P338" t="s">
        <v>149</v>
      </c>
      <c r="Q338" t="s">
        <v>681</v>
      </c>
      <c r="R338">
        <v>18847.47</v>
      </c>
      <c r="S338">
        <v>6</v>
      </c>
      <c r="T338">
        <v>0.1</v>
      </c>
      <c r="U338" t="str">
        <f>IF(Retail_data[[#This Row],[Sales]]&gt;30000,"High",IF(Retail_data[[#This Row],[Sales]]&gt;10000,"Medium","Low"))</f>
        <v>Medium</v>
      </c>
      <c r="V338" s="3">
        <f>Retail_data[[#This Row],[Profit]]/Retail_data[[#This Row],[Sales]]</f>
        <v>0.18333919618919672</v>
      </c>
      <c r="W338">
        <v>3455.48</v>
      </c>
      <c r="X338" t="s">
        <v>81</v>
      </c>
    </row>
    <row r="339" spans="1:24" ht="13.8" x14ac:dyDescent="0.25">
      <c r="A339" t="s">
        <v>1216</v>
      </c>
      <c r="B339">
        <f>YEAR(Retail_data[[#This Row],[Order Date]])</f>
        <v>2026</v>
      </c>
      <c r="C339" t="str">
        <f>TEXT(Retail_data[[#This Row],[Order Date]],"mmmm")</f>
        <v>August</v>
      </c>
      <c r="D339">
        <f>MONTH(Retail_data[[#This Row],[Order Date]])</f>
        <v>8</v>
      </c>
      <c r="E339" t="str">
        <f>"Q"&amp;ROUNDUP(MONTH(Retail_data[[#This Row],[Order Date]])/3,0)</f>
        <v>Q3</v>
      </c>
      <c r="F339" s="1">
        <v>46259</v>
      </c>
      <c r="G339" s="1">
        <v>46263</v>
      </c>
      <c r="H339" t="s">
        <v>1217</v>
      </c>
      <c r="I339" t="s">
        <v>1218</v>
      </c>
      <c r="J339" t="s">
        <v>21</v>
      </c>
      <c r="K339" t="s">
        <v>22</v>
      </c>
      <c r="L339" t="s">
        <v>45</v>
      </c>
      <c r="M339" t="s">
        <v>45</v>
      </c>
      <c r="N339" t="s">
        <v>25</v>
      </c>
      <c r="O339" t="s">
        <v>26</v>
      </c>
      <c r="P339" t="s">
        <v>92</v>
      </c>
      <c r="Q339" t="s">
        <v>653</v>
      </c>
      <c r="R339">
        <v>10757.36</v>
      </c>
      <c r="S339">
        <v>6</v>
      </c>
      <c r="T339">
        <v>0.3</v>
      </c>
      <c r="U339" t="str">
        <f>IF(Retail_data[[#This Row],[Sales]]&gt;30000,"High",IF(Retail_data[[#This Row],[Sales]]&gt;10000,"Medium","Low"))</f>
        <v>Medium</v>
      </c>
      <c r="V339" s="3">
        <f>Retail_data[[#This Row],[Profit]]/Retail_data[[#This Row],[Sales]]</f>
        <v>-2.4762581153740321E-2</v>
      </c>
      <c r="W339">
        <v>-266.38</v>
      </c>
      <c r="X339" t="s">
        <v>48</v>
      </c>
    </row>
    <row r="340" spans="1:24" ht="13.8" x14ac:dyDescent="0.25">
      <c r="A340" t="s">
        <v>1219</v>
      </c>
      <c r="B340">
        <f>YEAR(Retail_data[[#This Row],[Order Date]])</f>
        <v>2026</v>
      </c>
      <c r="C340" t="str">
        <f>TEXT(Retail_data[[#This Row],[Order Date]],"mmmm")</f>
        <v>August</v>
      </c>
      <c r="D340">
        <f>MONTH(Retail_data[[#This Row],[Order Date]])</f>
        <v>8</v>
      </c>
      <c r="E340" t="str">
        <f>"Q"&amp;ROUNDUP(MONTH(Retail_data[[#This Row],[Order Date]])/3,0)</f>
        <v>Q3</v>
      </c>
      <c r="F340" s="1">
        <v>46260</v>
      </c>
      <c r="G340" s="1">
        <v>46264</v>
      </c>
      <c r="H340" t="s">
        <v>1220</v>
      </c>
      <c r="I340" t="s">
        <v>1221</v>
      </c>
      <c r="J340" t="s">
        <v>33</v>
      </c>
      <c r="K340" t="s">
        <v>22</v>
      </c>
      <c r="L340" t="s">
        <v>23</v>
      </c>
      <c r="M340" t="s">
        <v>24</v>
      </c>
      <c r="N340" t="s">
        <v>25</v>
      </c>
      <c r="O340" t="s">
        <v>37</v>
      </c>
      <c r="P340" t="s">
        <v>46</v>
      </c>
      <c r="Q340" t="s">
        <v>129</v>
      </c>
      <c r="R340">
        <v>44461.43</v>
      </c>
      <c r="S340">
        <v>2</v>
      </c>
      <c r="T340">
        <v>0</v>
      </c>
      <c r="U340" t="str">
        <f>IF(Retail_data[[#This Row],[Sales]]&gt;30000,"High",IF(Retail_data[[#This Row],[Sales]]&gt;10000,"Medium","Low"))</f>
        <v>High</v>
      </c>
      <c r="V340" s="3">
        <f>Retail_data[[#This Row],[Profit]]/Retail_data[[#This Row],[Sales]]</f>
        <v>0.21340811575336197</v>
      </c>
      <c r="W340">
        <v>9488.43</v>
      </c>
      <c r="X340" t="s">
        <v>29</v>
      </c>
    </row>
    <row r="341" spans="1:24" ht="13.8" x14ac:dyDescent="0.25">
      <c r="A341" t="s">
        <v>1222</v>
      </c>
      <c r="B341">
        <f>YEAR(Retail_data[[#This Row],[Order Date]])</f>
        <v>2026</v>
      </c>
      <c r="C341" t="str">
        <f>TEXT(Retail_data[[#This Row],[Order Date]],"mmmm")</f>
        <v>August</v>
      </c>
      <c r="D341">
        <f>MONTH(Retail_data[[#This Row],[Order Date]])</f>
        <v>8</v>
      </c>
      <c r="E341" t="str">
        <f>"Q"&amp;ROUNDUP(MONTH(Retail_data[[#This Row],[Order Date]])/3,0)</f>
        <v>Q3</v>
      </c>
      <c r="F341" s="1">
        <v>46261</v>
      </c>
      <c r="G341" s="1">
        <v>46265</v>
      </c>
      <c r="H341" t="s">
        <v>1223</v>
      </c>
      <c r="I341" t="s">
        <v>1224</v>
      </c>
      <c r="J341" t="s">
        <v>21</v>
      </c>
      <c r="K341" t="s">
        <v>22</v>
      </c>
      <c r="L341" t="s">
        <v>23</v>
      </c>
      <c r="M341" t="s">
        <v>24</v>
      </c>
      <c r="N341" t="s">
        <v>25</v>
      </c>
      <c r="O341" t="s">
        <v>26</v>
      </c>
      <c r="P341" t="s">
        <v>70</v>
      </c>
      <c r="Q341" t="s">
        <v>231</v>
      </c>
      <c r="R341">
        <v>9565.0300000000007</v>
      </c>
      <c r="S341">
        <v>6</v>
      </c>
      <c r="T341">
        <v>0.1</v>
      </c>
      <c r="U341" t="str">
        <f>IF(Retail_data[[#This Row],[Sales]]&gt;30000,"High",IF(Retail_data[[#This Row],[Sales]]&gt;10000,"Medium","Low"))</f>
        <v>Low</v>
      </c>
      <c r="V341" s="3">
        <f>Retail_data[[#This Row],[Profit]]/Retail_data[[#This Row],[Sales]]</f>
        <v>6.2455632653530616E-2</v>
      </c>
      <c r="W341">
        <v>597.39</v>
      </c>
      <c r="X341" t="s">
        <v>40</v>
      </c>
    </row>
    <row r="342" spans="1:24" ht="13.8" x14ac:dyDescent="0.25">
      <c r="A342" t="s">
        <v>1225</v>
      </c>
      <c r="B342">
        <f>YEAR(Retail_data[[#This Row],[Order Date]])</f>
        <v>2026</v>
      </c>
      <c r="C342" t="str">
        <f>TEXT(Retail_data[[#This Row],[Order Date]],"mmmm")</f>
        <v>August</v>
      </c>
      <c r="D342">
        <f>MONTH(Retail_data[[#This Row],[Order Date]])</f>
        <v>8</v>
      </c>
      <c r="E342" t="str">
        <f>"Q"&amp;ROUNDUP(MONTH(Retail_data[[#This Row],[Order Date]])/3,0)</f>
        <v>Q3</v>
      </c>
      <c r="F342" s="1">
        <v>46262</v>
      </c>
      <c r="G342" s="1">
        <v>46266</v>
      </c>
      <c r="H342" t="s">
        <v>1226</v>
      </c>
      <c r="I342" t="s">
        <v>1227</v>
      </c>
      <c r="J342" t="s">
        <v>44</v>
      </c>
      <c r="K342" t="s">
        <v>22</v>
      </c>
      <c r="L342" t="s">
        <v>67</v>
      </c>
      <c r="M342" t="s">
        <v>68</v>
      </c>
      <c r="N342" t="s">
        <v>69</v>
      </c>
      <c r="O342" t="s">
        <v>26</v>
      </c>
      <c r="P342" t="s">
        <v>70</v>
      </c>
      <c r="Q342" t="s">
        <v>324</v>
      </c>
      <c r="R342">
        <v>49663.16</v>
      </c>
      <c r="S342">
        <v>3</v>
      </c>
      <c r="T342">
        <v>0.1</v>
      </c>
      <c r="U342" t="str">
        <f>IF(Retail_data[[#This Row],[Sales]]&gt;30000,"High",IF(Retail_data[[#This Row],[Sales]]&gt;10000,"Medium","Low"))</f>
        <v>High</v>
      </c>
      <c r="V342" s="3">
        <f>Retail_data[[#This Row],[Profit]]/Retail_data[[#This Row],[Sales]]</f>
        <v>0.23906312042971084</v>
      </c>
      <c r="W342">
        <v>11872.63</v>
      </c>
      <c r="X342" t="s">
        <v>40</v>
      </c>
    </row>
    <row r="343" spans="1:24" ht="13.8" x14ac:dyDescent="0.25">
      <c r="A343" t="s">
        <v>1228</v>
      </c>
      <c r="B343">
        <f>YEAR(Retail_data[[#This Row],[Order Date]])</f>
        <v>2026</v>
      </c>
      <c r="C343" t="str">
        <f>TEXT(Retail_data[[#This Row],[Order Date]],"mmmm")</f>
        <v>August</v>
      </c>
      <c r="D343">
        <f>MONTH(Retail_data[[#This Row],[Order Date]])</f>
        <v>8</v>
      </c>
      <c r="E343" t="str">
        <f>"Q"&amp;ROUNDUP(MONTH(Retail_data[[#This Row],[Order Date]])/3,0)</f>
        <v>Q3</v>
      </c>
      <c r="F343" s="1">
        <v>46263</v>
      </c>
      <c r="G343" s="1">
        <v>46267</v>
      </c>
      <c r="H343" t="s">
        <v>1229</v>
      </c>
      <c r="I343" t="s">
        <v>1230</v>
      </c>
      <c r="J343" t="s">
        <v>33</v>
      </c>
      <c r="K343" t="s">
        <v>22</v>
      </c>
      <c r="L343" t="s">
        <v>67</v>
      </c>
      <c r="M343" t="s">
        <v>68</v>
      </c>
      <c r="N343" t="s">
        <v>69</v>
      </c>
      <c r="O343" t="s">
        <v>57</v>
      </c>
      <c r="P343" t="s">
        <v>149</v>
      </c>
      <c r="Q343" t="s">
        <v>399</v>
      </c>
      <c r="R343">
        <v>37772.44</v>
      </c>
      <c r="S343">
        <v>4</v>
      </c>
      <c r="T343">
        <v>0.3</v>
      </c>
      <c r="U343" t="str">
        <f>IF(Retail_data[[#This Row],[Sales]]&gt;30000,"High",IF(Retail_data[[#This Row],[Sales]]&gt;10000,"Medium","Low"))</f>
        <v>High</v>
      </c>
      <c r="V343" s="3">
        <f>Retail_data[[#This Row],[Profit]]/Retail_data[[#This Row],[Sales]]</f>
        <v>8.2837645648520447E-2</v>
      </c>
      <c r="W343">
        <v>3128.98</v>
      </c>
      <c r="X343" t="s">
        <v>48</v>
      </c>
    </row>
    <row r="344" spans="1:24" ht="13.8" x14ac:dyDescent="0.25">
      <c r="A344" t="s">
        <v>1231</v>
      </c>
      <c r="B344">
        <f>YEAR(Retail_data[[#This Row],[Order Date]])</f>
        <v>2026</v>
      </c>
      <c r="C344" t="str">
        <f>TEXT(Retail_data[[#This Row],[Order Date]],"mmmm")</f>
        <v>August</v>
      </c>
      <c r="D344">
        <f>MONTH(Retail_data[[#This Row],[Order Date]])</f>
        <v>8</v>
      </c>
      <c r="E344" t="str">
        <f>"Q"&amp;ROUNDUP(MONTH(Retail_data[[#This Row],[Order Date]])/3,0)</f>
        <v>Q3</v>
      </c>
      <c r="F344" s="1">
        <v>46264</v>
      </c>
      <c r="G344" s="1">
        <v>46268</v>
      </c>
      <c r="H344" t="s">
        <v>1232</v>
      </c>
      <c r="I344" t="s">
        <v>1233</v>
      </c>
      <c r="J344" t="s">
        <v>21</v>
      </c>
      <c r="K344" t="s">
        <v>22</v>
      </c>
      <c r="L344" t="s">
        <v>67</v>
      </c>
      <c r="M344" t="s">
        <v>68</v>
      </c>
      <c r="N344" t="s">
        <v>69</v>
      </c>
      <c r="O344" t="s">
        <v>37</v>
      </c>
      <c r="P344" t="s">
        <v>52</v>
      </c>
      <c r="Q344" t="s">
        <v>702</v>
      </c>
      <c r="R344">
        <v>17681.27</v>
      </c>
      <c r="S344">
        <v>5</v>
      </c>
      <c r="T344">
        <v>0.1</v>
      </c>
      <c r="U344" t="str">
        <f>IF(Retail_data[[#This Row],[Sales]]&gt;30000,"High",IF(Retail_data[[#This Row],[Sales]]&gt;10000,"Medium","Low"))</f>
        <v>Medium</v>
      </c>
      <c r="V344" s="3">
        <f>Retail_data[[#This Row],[Profit]]/Retail_data[[#This Row],[Sales]]</f>
        <v>2.2823021197006778E-2</v>
      </c>
      <c r="W344">
        <v>403.54</v>
      </c>
      <c r="X344" t="s">
        <v>29</v>
      </c>
    </row>
    <row r="345" spans="1:24" ht="13.8" x14ac:dyDescent="0.25">
      <c r="A345" t="s">
        <v>1234</v>
      </c>
      <c r="B345">
        <f>YEAR(Retail_data[[#This Row],[Order Date]])</f>
        <v>2026</v>
      </c>
      <c r="C345" t="str">
        <f>TEXT(Retail_data[[#This Row],[Order Date]],"mmmm")</f>
        <v>August</v>
      </c>
      <c r="D345">
        <f>MONTH(Retail_data[[#This Row],[Order Date]])</f>
        <v>8</v>
      </c>
      <c r="E345" t="str">
        <f>"Q"&amp;ROUNDUP(MONTH(Retail_data[[#This Row],[Order Date]])/3,0)</f>
        <v>Q3</v>
      </c>
      <c r="F345" s="1">
        <v>46265</v>
      </c>
      <c r="G345" s="1">
        <v>46269</v>
      </c>
      <c r="H345" t="s">
        <v>1235</v>
      </c>
      <c r="I345" t="s">
        <v>1236</v>
      </c>
      <c r="J345" t="s">
        <v>21</v>
      </c>
      <c r="K345" t="s">
        <v>22</v>
      </c>
      <c r="L345" t="s">
        <v>67</v>
      </c>
      <c r="M345" t="s">
        <v>68</v>
      </c>
      <c r="N345" t="s">
        <v>69</v>
      </c>
      <c r="O345" t="s">
        <v>37</v>
      </c>
      <c r="P345" t="s">
        <v>46</v>
      </c>
      <c r="Q345" t="s">
        <v>474</v>
      </c>
      <c r="R345">
        <v>882</v>
      </c>
      <c r="S345">
        <v>1</v>
      </c>
      <c r="T345">
        <v>0.3</v>
      </c>
      <c r="U345" t="str">
        <f>IF(Retail_data[[#This Row],[Sales]]&gt;30000,"High",IF(Retail_data[[#This Row],[Sales]]&gt;10000,"Medium","Low"))</f>
        <v>Low</v>
      </c>
      <c r="V345" s="3">
        <f>Retail_data[[#This Row],[Profit]]/Retail_data[[#This Row],[Sales]]</f>
        <v>-4.3265306122448978E-2</v>
      </c>
      <c r="W345">
        <v>-38.159999999999997</v>
      </c>
      <c r="X345" t="s">
        <v>48</v>
      </c>
    </row>
    <row r="346" spans="1:24" ht="13.8" x14ac:dyDescent="0.25">
      <c r="A346" t="s">
        <v>1237</v>
      </c>
      <c r="B346">
        <f>YEAR(Retail_data[[#This Row],[Order Date]])</f>
        <v>2026</v>
      </c>
      <c r="C346" t="str">
        <f>TEXT(Retail_data[[#This Row],[Order Date]],"mmmm")</f>
        <v>September</v>
      </c>
      <c r="D346">
        <f>MONTH(Retail_data[[#This Row],[Order Date]])</f>
        <v>9</v>
      </c>
      <c r="E346" t="str">
        <f>"Q"&amp;ROUNDUP(MONTH(Retail_data[[#This Row],[Order Date]])/3,0)</f>
        <v>Q3</v>
      </c>
      <c r="F346" s="1">
        <v>46266</v>
      </c>
      <c r="G346" s="1">
        <v>46270</v>
      </c>
      <c r="H346" t="s">
        <v>1238</v>
      </c>
      <c r="I346" t="s">
        <v>1239</v>
      </c>
      <c r="J346" t="s">
        <v>44</v>
      </c>
      <c r="K346" t="s">
        <v>22</v>
      </c>
      <c r="L346" t="s">
        <v>45</v>
      </c>
      <c r="M346" t="s">
        <v>45</v>
      </c>
      <c r="N346" t="s">
        <v>25</v>
      </c>
      <c r="O346" t="s">
        <v>37</v>
      </c>
      <c r="P346" t="s">
        <v>46</v>
      </c>
      <c r="Q346" t="s">
        <v>391</v>
      </c>
      <c r="R346">
        <v>35678.29</v>
      </c>
      <c r="S346">
        <v>2</v>
      </c>
      <c r="T346">
        <v>0.1</v>
      </c>
      <c r="U346" t="str">
        <f>IF(Retail_data[[#This Row],[Sales]]&gt;30000,"High",IF(Retail_data[[#This Row],[Sales]]&gt;10000,"Medium","Low"))</f>
        <v>High</v>
      </c>
      <c r="V346" s="3">
        <f>Retail_data[[#This Row],[Profit]]/Retail_data[[#This Row],[Sales]]</f>
        <v>0.15272873223464467</v>
      </c>
      <c r="W346">
        <v>5449.1</v>
      </c>
      <c r="X346" t="s">
        <v>40</v>
      </c>
    </row>
    <row r="347" spans="1:24" ht="13.8" x14ac:dyDescent="0.25">
      <c r="A347" t="s">
        <v>1240</v>
      </c>
      <c r="B347">
        <f>YEAR(Retail_data[[#This Row],[Order Date]])</f>
        <v>2026</v>
      </c>
      <c r="C347" t="str">
        <f>TEXT(Retail_data[[#This Row],[Order Date]],"mmmm")</f>
        <v>September</v>
      </c>
      <c r="D347">
        <f>MONTH(Retail_data[[#This Row],[Order Date]])</f>
        <v>9</v>
      </c>
      <c r="E347" t="str">
        <f>"Q"&amp;ROUNDUP(MONTH(Retail_data[[#This Row],[Order Date]])/3,0)</f>
        <v>Q3</v>
      </c>
      <c r="F347" s="1">
        <v>46267</v>
      </c>
      <c r="G347" s="1">
        <v>46271</v>
      </c>
      <c r="H347" t="s">
        <v>1241</v>
      </c>
      <c r="I347" t="s">
        <v>1242</v>
      </c>
      <c r="J347" t="s">
        <v>33</v>
      </c>
      <c r="K347" t="s">
        <v>22</v>
      </c>
      <c r="L347" t="s">
        <v>23</v>
      </c>
      <c r="M347" t="s">
        <v>24</v>
      </c>
      <c r="N347" t="s">
        <v>25</v>
      </c>
      <c r="O347" t="s">
        <v>26</v>
      </c>
      <c r="P347" t="s">
        <v>27</v>
      </c>
      <c r="Q347" t="s">
        <v>28</v>
      </c>
      <c r="R347">
        <v>46583.32</v>
      </c>
      <c r="S347">
        <v>8</v>
      </c>
      <c r="T347">
        <v>0.3</v>
      </c>
      <c r="U347" t="str">
        <f>IF(Retail_data[[#This Row],[Sales]]&gt;30000,"High",IF(Retail_data[[#This Row],[Sales]]&gt;10000,"Medium","Low"))</f>
        <v>High</v>
      </c>
      <c r="V347" s="3">
        <f>Retail_data[[#This Row],[Profit]]/Retail_data[[#This Row],[Sales]]</f>
        <v>0.13378458212081062</v>
      </c>
      <c r="W347">
        <v>6232.13</v>
      </c>
      <c r="X347" t="s">
        <v>29</v>
      </c>
    </row>
    <row r="348" spans="1:24" ht="13.8" x14ac:dyDescent="0.25">
      <c r="A348" t="s">
        <v>1243</v>
      </c>
      <c r="B348">
        <f>YEAR(Retail_data[[#This Row],[Order Date]])</f>
        <v>2026</v>
      </c>
      <c r="C348" t="str">
        <f>TEXT(Retail_data[[#This Row],[Order Date]],"mmmm")</f>
        <v>September</v>
      </c>
      <c r="D348">
        <f>MONTH(Retail_data[[#This Row],[Order Date]])</f>
        <v>9</v>
      </c>
      <c r="E348" t="str">
        <f>"Q"&amp;ROUNDUP(MONTH(Retail_data[[#This Row],[Order Date]])/3,0)</f>
        <v>Q3</v>
      </c>
      <c r="F348" s="1">
        <v>46268</v>
      </c>
      <c r="G348" s="1">
        <v>46272</v>
      </c>
      <c r="H348" t="s">
        <v>1244</v>
      </c>
      <c r="I348" t="s">
        <v>1245</v>
      </c>
      <c r="J348" t="s">
        <v>21</v>
      </c>
      <c r="K348" t="s">
        <v>22</v>
      </c>
      <c r="L348" t="s">
        <v>67</v>
      </c>
      <c r="M348" t="s">
        <v>68</v>
      </c>
      <c r="N348" t="s">
        <v>69</v>
      </c>
      <c r="O348" t="s">
        <v>57</v>
      </c>
      <c r="P348" t="s">
        <v>58</v>
      </c>
      <c r="Q348" t="s">
        <v>542</v>
      </c>
      <c r="R348">
        <v>47310.27</v>
      </c>
      <c r="S348">
        <v>8</v>
      </c>
      <c r="T348">
        <v>0.1</v>
      </c>
      <c r="U348" t="str">
        <f>IF(Retail_data[[#This Row],[Sales]]&gt;30000,"High",IF(Retail_data[[#This Row],[Sales]]&gt;10000,"Medium","Low"))</f>
        <v>High</v>
      </c>
      <c r="V348" s="3">
        <f>Retail_data[[#This Row],[Profit]]/Retail_data[[#This Row],[Sales]]</f>
        <v>0.24265703831324575</v>
      </c>
      <c r="W348">
        <v>11480.17</v>
      </c>
      <c r="X348" t="s">
        <v>48</v>
      </c>
    </row>
    <row r="349" spans="1:24" ht="13.8" x14ac:dyDescent="0.25">
      <c r="A349" t="s">
        <v>1246</v>
      </c>
      <c r="B349">
        <f>YEAR(Retail_data[[#This Row],[Order Date]])</f>
        <v>2026</v>
      </c>
      <c r="C349" t="str">
        <f>TEXT(Retail_data[[#This Row],[Order Date]],"mmmm")</f>
        <v>September</v>
      </c>
      <c r="D349">
        <f>MONTH(Retail_data[[#This Row],[Order Date]])</f>
        <v>9</v>
      </c>
      <c r="E349" t="str">
        <f>"Q"&amp;ROUNDUP(MONTH(Retail_data[[#This Row],[Order Date]])/3,0)</f>
        <v>Q3</v>
      </c>
      <c r="F349" s="1">
        <v>46269</v>
      </c>
      <c r="G349" s="1">
        <v>46273</v>
      </c>
      <c r="H349" t="s">
        <v>1247</v>
      </c>
      <c r="I349" t="s">
        <v>1248</v>
      </c>
      <c r="J349" t="s">
        <v>21</v>
      </c>
      <c r="K349" t="s">
        <v>22</v>
      </c>
      <c r="L349" t="s">
        <v>23</v>
      </c>
      <c r="M349" t="s">
        <v>24</v>
      </c>
      <c r="N349" t="s">
        <v>25</v>
      </c>
      <c r="O349" t="s">
        <v>57</v>
      </c>
      <c r="P349" t="s">
        <v>58</v>
      </c>
      <c r="Q349" t="s">
        <v>309</v>
      </c>
      <c r="R349">
        <v>7929.68</v>
      </c>
      <c r="S349">
        <v>4</v>
      </c>
      <c r="T349">
        <v>0.3</v>
      </c>
      <c r="U349" t="str">
        <f>IF(Retail_data[[#This Row],[Sales]]&gt;30000,"High",IF(Retail_data[[#This Row],[Sales]]&gt;10000,"Medium","Low"))</f>
        <v>Low</v>
      </c>
      <c r="V349" s="3">
        <f>Retail_data[[#This Row],[Profit]]/Retail_data[[#This Row],[Sales]]</f>
        <v>0.14599580310933102</v>
      </c>
      <c r="W349">
        <v>1157.7</v>
      </c>
      <c r="X349" t="s">
        <v>81</v>
      </c>
    </row>
    <row r="350" spans="1:24" ht="13.8" x14ac:dyDescent="0.25">
      <c r="A350" t="s">
        <v>1249</v>
      </c>
      <c r="B350">
        <f>YEAR(Retail_data[[#This Row],[Order Date]])</f>
        <v>2026</v>
      </c>
      <c r="C350" t="str">
        <f>TEXT(Retail_data[[#This Row],[Order Date]],"mmmm")</f>
        <v>September</v>
      </c>
      <c r="D350">
        <f>MONTH(Retail_data[[#This Row],[Order Date]])</f>
        <v>9</v>
      </c>
      <c r="E350" t="str">
        <f>"Q"&amp;ROUNDUP(MONTH(Retail_data[[#This Row],[Order Date]])/3,0)</f>
        <v>Q3</v>
      </c>
      <c r="F350" s="1">
        <v>46270</v>
      </c>
      <c r="G350" s="1">
        <v>46274</v>
      </c>
      <c r="H350" t="s">
        <v>1250</v>
      </c>
      <c r="I350" t="s">
        <v>1251</v>
      </c>
      <c r="J350" t="s">
        <v>21</v>
      </c>
      <c r="K350" t="s">
        <v>22</v>
      </c>
      <c r="L350" t="s">
        <v>45</v>
      </c>
      <c r="M350" t="s">
        <v>45</v>
      </c>
      <c r="N350" t="s">
        <v>25</v>
      </c>
      <c r="O350" t="s">
        <v>37</v>
      </c>
      <c r="P350" t="s">
        <v>38</v>
      </c>
      <c r="Q350" t="s">
        <v>460</v>
      </c>
      <c r="R350">
        <v>32672.98</v>
      </c>
      <c r="S350">
        <v>3</v>
      </c>
      <c r="T350">
        <v>0.3</v>
      </c>
      <c r="U350" t="str">
        <f>IF(Retail_data[[#This Row],[Sales]]&gt;30000,"High",IF(Retail_data[[#This Row],[Sales]]&gt;10000,"Medium","Low"))</f>
        <v>High</v>
      </c>
      <c r="V350" s="3">
        <f>Retail_data[[#This Row],[Profit]]/Retail_data[[#This Row],[Sales]]</f>
        <v>-2.9798322650704038E-2</v>
      </c>
      <c r="W350">
        <v>-973.6</v>
      </c>
      <c r="X350" t="s">
        <v>29</v>
      </c>
    </row>
    <row r="351" spans="1:24" ht="13.8" x14ac:dyDescent="0.25">
      <c r="A351" t="s">
        <v>1252</v>
      </c>
      <c r="B351">
        <f>YEAR(Retail_data[[#This Row],[Order Date]])</f>
        <v>2026</v>
      </c>
      <c r="C351" t="str">
        <f>TEXT(Retail_data[[#This Row],[Order Date]],"mmmm")</f>
        <v>September</v>
      </c>
      <c r="D351">
        <f>MONTH(Retail_data[[#This Row],[Order Date]])</f>
        <v>9</v>
      </c>
      <c r="E351" t="str">
        <f>"Q"&amp;ROUNDUP(MONTH(Retail_data[[#This Row],[Order Date]])/3,0)</f>
        <v>Q3</v>
      </c>
      <c r="F351" s="1">
        <v>46271</v>
      </c>
      <c r="G351" s="1">
        <v>46275</v>
      </c>
      <c r="H351" t="s">
        <v>1253</v>
      </c>
      <c r="I351" t="s">
        <v>1254</v>
      </c>
      <c r="J351" t="s">
        <v>21</v>
      </c>
      <c r="K351" t="s">
        <v>22</v>
      </c>
      <c r="L351" t="s">
        <v>85</v>
      </c>
      <c r="M351" t="s">
        <v>86</v>
      </c>
      <c r="N351" t="s">
        <v>87</v>
      </c>
      <c r="O351" t="s">
        <v>57</v>
      </c>
      <c r="P351" t="s">
        <v>79</v>
      </c>
      <c r="Q351" t="s">
        <v>113</v>
      </c>
      <c r="R351">
        <v>40889.99</v>
      </c>
      <c r="S351">
        <v>7</v>
      </c>
      <c r="T351">
        <v>0.3</v>
      </c>
      <c r="U351" t="str">
        <f>IF(Retail_data[[#This Row],[Sales]]&gt;30000,"High",IF(Retail_data[[#This Row],[Sales]]&gt;10000,"Medium","Low"))</f>
        <v>High</v>
      </c>
      <c r="V351" s="3">
        <f>Retail_data[[#This Row],[Profit]]/Retail_data[[#This Row],[Sales]]</f>
        <v>-1.6981417701496138E-2</v>
      </c>
      <c r="W351">
        <v>-694.37</v>
      </c>
      <c r="X351" t="s">
        <v>40</v>
      </c>
    </row>
    <row r="352" spans="1:24" ht="13.8" x14ac:dyDescent="0.25">
      <c r="A352" t="s">
        <v>1255</v>
      </c>
      <c r="B352">
        <f>YEAR(Retail_data[[#This Row],[Order Date]])</f>
        <v>2026</v>
      </c>
      <c r="C352" t="str">
        <f>TEXT(Retail_data[[#This Row],[Order Date]],"mmmm")</f>
        <v>September</v>
      </c>
      <c r="D352">
        <f>MONTH(Retail_data[[#This Row],[Order Date]])</f>
        <v>9</v>
      </c>
      <c r="E352" t="str">
        <f>"Q"&amp;ROUNDUP(MONTH(Retail_data[[#This Row],[Order Date]])/3,0)</f>
        <v>Q3</v>
      </c>
      <c r="F352" s="1">
        <v>46272</v>
      </c>
      <c r="G352" s="1">
        <v>46276</v>
      </c>
      <c r="H352" t="s">
        <v>1256</v>
      </c>
      <c r="I352" t="s">
        <v>1257</v>
      </c>
      <c r="J352" t="s">
        <v>33</v>
      </c>
      <c r="K352" t="s">
        <v>22</v>
      </c>
      <c r="L352" t="s">
        <v>45</v>
      </c>
      <c r="M352" t="s">
        <v>45</v>
      </c>
      <c r="N352" t="s">
        <v>25</v>
      </c>
      <c r="O352" t="s">
        <v>37</v>
      </c>
      <c r="P352" t="s">
        <v>38</v>
      </c>
      <c r="Q352" t="s">
        <v>998</v>
      </c>
      <c r="R352">
        <v>44481.58</v>
      </c>
      <c r="S352">
        <v>8</v>
      </c>
      <c r="T352">
        <v>0.2</v>
      </c>
      <c r="U352" t="str">
        <f>IF(Retail_data[[#This Row],[Sales]]&gt;30000,"High",IF(Retail_data[[#This Row],[Sales]]&gt;10000,"Medium","Low"))</f>
        <v>High</v>
      </c>
      <c r="V352" s="3">
        <f>Retail_data[[#This Row],[Profit]]/Retail_data[[#This Row],[Sales]]</f>
        <v>0.13687688252080973</v>
      </c>
      <c r="W352">
        <v>6088.5</v>
      </c>
      <c r="X352" t="s">
        <v>29</v>
      </c>
    </row>
    <row r="353" spans="1:24" ht="13.8" x14ac:dyDescent="0.25">
      <c r="A353" t="s">
        <v>1258</v>
      </c>
      <c r="B353">
        <f>YEAR(Retail_data[[#This Row],[Order Date]])</f>
        <v>2026</v>
      </c>
      <c r="C353" t="str">
        <f>TEXT(Retail_data[[#This Row],[Order Date]],"mmmm")</f>
        <v>September</v>
      </c>
      <c r="D353">
        <f>MONTH(Retail_data[[#This Row],[Order Date]])</f>
        <v>9</v>
      </c>
      <c r="E353" t="str">
        <f>"Q"&amp;ROUNDUP(MONTH(Retail_data[[#This Row],[Order Date]])/3,0)</f>
        <v>Q3</v>
      </c>
      <c r="F353" s="1">
        <v>46273</v>
      </c>
      <c r="G353" s="1">
        <v>46277</v>
      </c>
      <c r="H353" t="s">
        <v>1259</v>
      </c>
      <c r="I353" t="s">
        <v>1260</v>
      </c>
      <c r="J353" t="s">
        <v>21</v>
      </c>
      <c r="K353" t="s">
        <v>22</v>
      </c>
      <c r="L353" t="s">
        <v>45</v>
      </c>
      <c r="M353" t="s">
        <v>45</v>
      </c>
      <c r="N353" t="s">
        <v>25</v>
      </c>
      <c r="O353" t="s">
        <v>37</v>
      </c>
      <c r="P353" t="s">
        <v>52</v>
      </c>
      <c r="Q353" t="s">
        <v>328</v>
      </c>
      <c r="R353">
        <v>19606.21</v>
      </c>
      <c r="S353">
        <v>5</v>
      </c>
      <c r="T353">
        <v>0.1</v>
      </c>
      <c r="U353" t="str">
        <f>IF(Retail_data[[#This Row],[Sales]]&gt;30000,"High",IF(Retail_data[[#This Row],[Sales]]&gt;10000,"Medium","Low"))</f>
        <v>Medium</v>
      </c>
      <c r="V353" s="3">
        <f>Retail_data[[#This Row],[Profit]]/Retail_data[[#This Row],[Sales]]</f>
        <v>0.22568716748417977</v>
      </c>
      <c r="W353">
        <v>4424.87</v>
      </c>
      <c r="X353" t="s">
        <v>29</v>
      </c>
    </row>
    <row r="354" spans="1:24" ht="13.8" x14ac:dyDescent="0.25">
      <c r="A354" t="s">
        <v>1261</v>
      </c>
      <c r="B354">
        <f>YEAR(Retail_data[[#This Row],[Order Date]])</f>
        <v>2026</v>
      </c>
      <c r="C354" t="str">
        <f>TEXT(Retail_data[[#This Row],[Order Date]],"mmmm")</f>
        <v>September</v>
      </c>
      <c r="D354">
        <f>MONTH(Retail_data[[#This Row],[Order Date]])</f>
        <v>9</v>
      </c>
      <c r="E354" t="str">
        <f>"Q"&amp;ROUNDUP(MONTH(Retail_data[[#This Row],[Order Date]])/3,0)</f>
        <v>Q3</v>
      </c>
      <c r="F354" s="1">
        <v>46274</v>
      </c>
      <c r="G354" s="1">
        <v>46278</v>
      </c>
      <c r="H354" t="s">
        <v>1262</v>
      </c>
      <c r="I354" t="s">
        <v>1263</v>
      </c>
      <c r="J354" t="s">
        <v>21</v>
      </c>
      <c r="K354" t="s">
        <v>22</v>
      </c>
      <c r="L354" t="s">
        <v>85</v>
      </c>
      <c r="M354" t="s">
        <v>86</v>
      </c>
      <c r="N354" t="s">
        <v>87</v>
      </c>
      <c r="O354" t="s">
        <v>57</v>
      </c>
      <c r="P354" t="s">
        <v>58</v>
      </c>
      <c r="Q354" t="s">
        <v>542</v>
      </c>
      <c r="R354">
        <v>12930.86</v>
      </c>
      <c r="S354">
        <v>7</v>
      </c>
      <c r="T354">
        <v>0.2</v>
      </c>
      <c r="U354" t="str">
        <f>IF(Retail_data[[#This Row],[Sales]]&gt;30000,"High",IF(Retail_data[[#This Row],[Sales]]&gt;10000,"Medium","Low"))</f>
        <v>Medium</v>
      </c>
      <c r="V354" s="3">
        <f>Retail_data[[#This Row],[Profit]]/Retail_data[[#This Row],[Sales]]</f>
        <v>0.17197696054245423</v>
      </c>
      <c r="W354">
        <v>2223.81</v>
      </c>
      <c r="X354" t="s">
        <v>48</v>
      </c>
    </row>
    <row r="355" spans="1:24" ht="13.8" x14ac:dyDescent="0.25">
      <c r="A355" t="s">
        <v>1264</v>
      </c>
      <c r="B355">
        <f>YEAR(Retail_data[[#This Row],[Order Date]])</f>
        <v>2026</v>
      </c>
      <c r="C355" t="str">
        <f>TEXT(Retail_data[[#This Row],[Order Date]],"mmmm")</f>
        <v>September</v>
      </c>
      <c r="D355">
        <f>MONTH(Retail_data[[#This Row],[Order Date]])</f>
        <v>9</v>
      </c>
      <c r="E355" t="str">
        <f>"Q"&amp;ROUNDUP(MONTH(Retail_data[[#This Row],[Order Date]])/3,0)</f>
        <v>Q3</v>
      </c>
      <c r="F355" s="1">
        <v>46275</v>
      </c>
      <c r="G355" s="1">
        <v>46279</v>
      </c>
      <c r="H355" t="s">
        <v>1265</v>
      </c>
      <c r="I355" t="s">
        <v>1266</v>
      </c>
      <c r="J355" t="s">
        <v>44</v>
      </c>
      <c r="K355" t="s">
        <v>22</v>
      </c>
      <c r="L355" t="s">
        <v>23</v>
      </c>
      <c r="M355" t="s">
        <v>24</v>
      </c>
      <c r="N355" t="s">
        <v>25</v>
      </c>
      <c r="O355" t="s">
        <v>57</v>
      </c>
      <c r="P355" t="s">
        <v>79</v>
      </c>
      <c r="Q355" t="s">
        <v>866</v>
      </c>
      <c r="R355">
        <v>10621.57</v>
      </c>
      <c r="S355">
        <v>2</v>
      </c>
      <c r="T355">
        <v>0.1</v>
      </c>
      <c r="U355" t="str">
        <f>IF(Retail_data[[#This Row],[Sales]]&gt;30000,"High",IF(Retail_data[[#This Row],[Sales]]&gt;10000,"Medium","Low"))</f>
        <v>Medium</v>
      </c>
      <c r="V355" s="3">
        <f>Retail_data[[#This Row],[Profit]]/Retail_data[[#This Row],[Sales]]</f>
        <v>0.21984603029495642</v>
      </c>
      <c r="W355">
        <v>2335.11</v>
      </c>
      <c r="X355" t="s">
        <v>81</v>
      </c>
    </row>
    <row r="356" spans="1:24" ht="13.8" x14ac:dyDescent="0.25">
      <c r="A356" t="s">
        <v>1267</v>
      </c>
      <c r="B356">
        <f>YEAR(Retail_data[[#This Row],[Order Date]])</f>
        <v>2026</v>
      </c>
      <c r="C356" t="str">
        <f>TEXT(Retail_data[[#This Row],[Order Date]],"mmmm")</f>
        <v>September</v>
      </c>
      <c r="D356">
        <f>MONTH(Retail_data[[#This Row],[Order Date]])</f>
        <v>9</v>
      </c>
      <c r="E356" t="str">
        <f>"Q"&amp;ROUNDUP(MONTH(Retail_data[[#This Row],[Order Date]])/3,0)</f>
        <v>Q3</v>
      </c>
      <c r="F356" s="1">
        <v>46276</v>
      </c>
      <c r="G356" s="1">
        <v>46280</v>
      </c>
      <c r="H356" t="s">
        <v>1268</v>
      </c>
      <c r="I356" t="s">
        <v>1269</v>
      </c>
      <c r="J356" t="s">
        <v>33</v>
      </c>
      <c r="K356" t="s">
        <v>22</v>
      </c>
      <c r="L356" t="s">
        <v>23</v>
      </c>
      <c r="M356" t="s">
        <v>24</v>
      </c>
      <c r="N356" t="s">
        <v>25</v>
      </c>
      <c r="O356" t="s">
        <v>57</v>
      </c>
      <c r="P356" t="s">
        <v>149</v>
      </c>
      <c r="Q356" t="s">
        <v>157</v>
      </c>
      <c r="R356">
        <v>5923.32</v>
      </c>
      <c r="S356">
        <v>1</v>
      </c>
      <c r="T356">
        <v>0.3</v>
      </c>
      <c r="U356" t="str">
        <f>IF(Retail_data[[#This Row],[Sales]]&gt;30000,"High",IF(Retail_data[[#This Row],[Sales]]&gt;10000,"Medium","Low"))</f>
        <v>Low</v>
      </c>
      <c r="V356" s="3">
        <f>Retail_data[[#This Row],[Profit]]/Retail_data[[#This Row],[Sales]]</f>
        <v>-6.9888170823119475E-2</v>
      </c>
      <c r="W356">
        <v>-413.97</v>
      </c>
      <c r="X356" t="s">
        <v>48</v>
      </c>
    </row>
    <row r="357" spans="1:24" ht="13.8" x14ac:dyDescent="0.25">
      <c r="A357" t="s">
        <v>1270</v>
      </c>
      <c r="B357">
        <f>YEAR(Retail_data[[#This Row],[Order Date]])</f>
        <v>2026</v>
      </c>
      <c r="C357" t="str">
        <f>TEXT(Retail_data[[#This Row],[Order Date]],"mmmm")</f>
        <v>September</v>
      </c>
      <c r="D357">
        <f>MONTH(Retail_data[[#This Row],[Order Date]])</f>
        <v>9</v>
      </c>
      <c r="E357" t="str">
        <f>"Q"&amp;ROUNDUP(MONTH(Retail_data[[#This Row],[Order Date]])/3,0)</f>
        <v>Q3</v>
      </c>
      <c r="F357" s="1">
        <v>46277</v>
      </c>
      <c r="G357" s="1">
        <v>46281</v>
      </c>
      <c r="H357" t="s">
        <v>1271</v>
      </c>
      <c r="I357" t="s">
        <v>1272</v>
      </c>
      <c r="J357" t="s">
        <v>33</v>
      </c>
      <c r="K357" t="s">
        <v>22</v>
      </c>
      <c r="L357" t="s">
        <v>45</v>
      </c>
      <c r="M357" t="s">
        <v>45</v>
      </c>
      <c r="N357" t="s">
        <v>25</v>
      </c>
      <c r="O357" t="s">
        <v>57</v>
      </c>
      <c r="P357" t="s">
        <v>149</v>
      </c>
      <c r="Q357" t="s">
        <v>366</v>
      </c>
      <c r="R357">
        <v>13184.89</v>
      </c>
      <c r="S357">
        <v>7</v>
      </c>
      <c r="T357">
        <v>0.2</v>
      </c>
      <c r="U357" t="str">
        <f>IF(Retail_data[[#This Row],[Sales]]&gt;30000,"High",IF(Retail_data[[#This Row],[Sales]]&gt;10000,"Medium","Low"))</f>
        <v>Medium</v>
      </c>
      <c r="V357" s="3">
        <f>Retail_data[[#This Row],[Profit]]/Retail_data[[#This Row],[Sales]]</f>
        <v>-1.1025499643910568E-2</v>
      </c>
      <c r="W357">
        <v>-145.37</v>
      </c>
      <c r="X357" t="s">
        <v>29</v>
      </c>
    </row>
    <row r="358" spans="1:24" ht="13.8" x14ac:dyDescent="0.25">
      <c r="A358" t="s">
        <v>1273</v>
      </c>
      <c r="B358">
        <f>YEAR(Retail_data[[#This Row],[Order Date]])</f>
        <v>2026</v>
      </c>
      <c r="C358" t="str">
        <f>TEXT(Retail_data[[#This Row],[Order Date]],"mmmm")</f>
        <v>September</v>
      </c>
      <c r="D358">
        <f>MONTH(Retail_data[[#This Row],[Order Date]])</f>
        <v>9</v>
      </c>
      <c r="E358" t="str">
        <f>"Q"&amp;ROUNDUP(MONTH(Retail_data[[#This Row],[Order Date]])/3,0)</f>
        <v>Q3</v>
      </c>
      <c r="F358" s="1">
        <v>46278</v>
      </c>
      <c r="G358" s="1">
        <v>46282</v>
      </c>
      <c r="H358" t="s">
        <v>1274</v>
      </c>
      <c r="I358" t="s">
        <v>1275</v>
      </c>
      <c r="J358" t="s">
        <v>21</v>
      </c>
      <c r="K358" t="s">
        <v>22</v>
      </c>
      <c r="L358" t="s">
        <v>45</v>
      </c>
      <c r="M358" t="s">
        <v>45</v>
      </c>
      <c r="N358" t="s">
        <v>25</v>
      </c>
      <c r="O358" t="s">
        <v>57</v>
      </c>
      <c r="P358" t="s">
        <v>58</v>
      </c>
      <c r="Q358" t="s">
        <v>1150</v>
      </c>
      <c r="R358">
        <v>34393.230000000003</v>
      </c>
      <c r="S358">
        <v>1</v>
      </c>
      <c r="T358">
        <v>0.3</v>
      </c>
      <c r="U358" t="str">
        <f>IF(Retail_data[[#This Row],[Sales]]&gt;30000,"High",IF(Retail_data[[#This Row],[Sales]]&gt;10000,"Medium","Low"))</f>
        <v>High</v>
      </c>
      <c r="V358" s="3">
        <f>Retail_data[[#This Row],[Profit]]/Retail_data[[#This Row],[Sales]]</f>
        <v>9.3920809415108719E-2</v>
      </c>
      <c r="W358">
        <v>3230.24</v>
      </c>
      <c r="X358" t="s">
        <v>48</v>
      </c>
    </row>
    <row r="359" spans="1:24" ht="13.8" x14ac:dyDescent="0.25">
      <c r="A359" t="s">
        <v>1276</v>
      </c>
      <c r="B359">
        <f>YEAR(Retail_data[[#This Row],[Order Date]])</f>
        <v>2026</v>
      </c>
      <c r="C359" t="str">
        <f>TEXT(Retail_data[[#This Row],[Order Date]],"mmmm")</f>
        <v>September</v>
      </c>
      <c r="D359">
        <f>MONTH(Retail_data[[#This Row],[Order Date]])</f>
        <v>9</v>
      </c>
      <c r="E359" t="str">
        <f>"Q"&amp;ROUNDUP(MONTH(Retail_data[[#This Row],[Order Date]])/3,0)</f>
        <v>Q3</v>
      </c>
      <c r="F359" s="1">
        <v>46279</v>
      </c>
      <c r="G359" s="1">
        <v>46283</v>
      </c>
      <c r="H359" t="s">
        <v>1277</v>
      </c>
      <c r="I359" t="s">
        <v>1278</v>
      </c>
      <c r="J359" t="s">
        <v>33</v>
      </c>
      <c r="K359" t="s">
        <v>22</v>
      </c>
      <c r="L359" t="s">
        <v>67</v>
      </c>
      <c r="M359" t="s">
        <v>68</v>
      </c>
      <c r="N359" t="s">
        <v>69</v>
      </c>
      <c r="O359" t="s">
        <v>26</v>
      </c>
      <c r="P359" t="s">
        <v>92</v>
      </c>
      <c r="Q359" t="s">
        <v>570</v>
      </c>
      <c r="R359">
        <v>41946.01</v>
      </c>
      <c r="S359">
        <v>1</v>
      </c>
      <c r="T359">
        <v>0.2</v>
      </c>
      <c r="U359" t="str">
        <f>IF(Retail_data[[#This Row],[Sales]]&gt;30000,"High",IF(Retail_data[[#This Row],[Sales]]&gt;10000,"Medium","Low"))</f>
        <v>High</v>
      </c>
      <c r="V359" s="3">
        <f>Retail_data[[#This Row],[Profit]]/Retail_data[[#This Row],[Sales]]</f>
        <v>0.13913981329809436</v>
      </c>
      <c r="W359">
        <v>5836.36</v>
      </c>
      <c r="X359" t="s">
        <v>48</v>
      </c>
    </row>
    <row r="360" spans="1:24" ht="13.8" x14ac:dyDescent="0.25">
      <c r="A360" t="s">
        <v>1279</v>
      </c>
      <c r="B360">
        <f>YEAR(Retail_data[[#This Row],[Order Date]])</f>
        <v>2026</v>
      </c>
      <c r="C360" t="str">
        <f>TEXT(Retail_data[[#This Row],[Order Date]],"mmmm")</f>
        <v>September</v>
      </c>
      <c r="D360">
        <f>MONTH(Retail_data[[#This Row],[Order Date]])</f>
        <v>9</v>
      </c>
      <c r="E360" t="str">
        <f>"Q"&amp;ROUNDUP(MONTH(Retail_data[[#This Row],[Order Date]])/3,0)</f>
        <v>Q3</v>
      </c>
      <c r="F360" s="1">
        <v>46280</v>
      </c>
      <c r="G360" s="1">
        <v>46284</v>
      </c>
      <c r="H360" t="s">
        <v>1280</v>
      </c>
      <c r="I360" t="s">
        <v>1281</v>
      </c>
      <c r="J360" t="s">
        <v>33</v>
      </c>
      <c r="K360" t="s">
        <v>22</v>
      </c>
      <c r="L360" t="s">
        <v>34</v>
      </c>
      <c r="M360" t="s">
        <v>35</v>
      </c>
      <c r="N360" t="s">
        <v>36</v>
      </c>
      <c r="O360" t="s">
        <v>57</v>
      </c>
      <c r="P360" t="s">
        <v>58</v>
      </c>
      <c r="Q360" t="s">
        <v>1282</v>
      </c>
      <c r="R360">
        <v>39973.699999999997</v>
      </c>
      <c r="S360">
        <v>5</v>
      </c>
      <c r="T360">
        <v>0.2</v>
      </c>
      <c r="U360" t="str">
        <f>IF(Retail_data[[#This Row],[Sales]]&gt;30000,"High",IF(Retail_data[[#This Row],[Sales]]&gt;10000,"Medium","Low"))</f>
        <v>High</v>
      </c>
      <c r="V360" s="3">
        <f>Retail_data[[#This Row],[Profit]]/Retail_data[[#This Row],[Sales]]</f>
        <v>0.14758954012263065</v>
      </c>
      <c r="W360">
        <v>5899.7</v>
      </c>
      <c r="X360" t="s">
        <v>40</v>
      </c>
    </row>
    <row r="361" spans="1:24" ht="13.8" x14ac:dyDescent="0.25">
      <c r="A361" t="s">
        <v>1283</v>
      </c>
      <c r="B361">
        <f>YEAR(Retail_data[[#This Row],[Order Date]])</f>
        <v>2026</v>
      </c>
      <c r="C361" t="str">
        <f>TEXT(Retail_data[[#This Row],[Order Date]],"mmmm")</f>
        <v>September</v>
      </c>
      <c r="D361">
        <f>MONTH(Retail_data[[#This Row],[Order Date]])</f>
        <v>9</v>
      </c>
      <c r="E361" t="str">
        <f>"Q"&amp;ROUNDUP(MONTH(Retail_data[[#This Row],[Order Date]])/3,0)</f>
        <v>Q3</v>
      </c>
      <c r="F361" s="1">
        <v>46281</v>
      </c>
      <c r="G361" s="1">
        <v>46285</v>
      </c>
      <c r="H361" t="s">
        <v>1284</v>
      </c>
      <c r="I361" t="s">
        <v>1285</v>
      </c>
      <c r="J361" t="s">
        <v>44</v>
      </c>
      <c r="K361" t="s">
        <v>22</v>
      </c>
      <c r="L361" t="s">
        <v>67</v>
      </c>
      <c r="M361" t="s">
        <v>68</v>
      </c>
      <c r="N361" t="s">
        <v>69</v>
      </c>
      <c r="O361" t="s">
        <v>37</v>
      </c>
      <c r="P361" t="s">
        <v>52</v>
      </c>
      <c r="Q361" t="s">
        <v>184</v>
      </c>
      <c r="R361">
        <v>42413.48</v>
      </c>
      <c r="S361">
        <v>2</v>
      </c>
      <c r="T361">
        <v>0</v>
      </c>
      <c r="U361" t="str">
        <f>IF(Retail_data[[#This Row],[Sales]]&gt;30000,"High",IF(Retail_data[[#This Row],[Sales]]&gt;10000,"Medium","Low"))</f>
        <v>High</v>
      </c>
      <c r="V361" s="3">
        <f>Retail_data[[#This Row],[Profit]]/Retail_data[[#This Row],[Sales]]</f>
        <v>0.28024510132156094</v>
      </c>
      <c r="W361">
        <v>11886.17</v>
      </c>
      <c r="X361" t="s">
        <v>29</v>
      </c>
    </row>
    <row r="362" spans="1:24" ht="13.8" x14ac:dyDescent="0.25">
      <c r="A362" t="s">
        <v>1286</v>
      </c>
      <c r="B362">
        <f>YEAR(Retail_data[[#This Row],[Order Date]])</f>
        <v>2026</v>
      </c>
      <c r="C362" t="str">
        <f>TEXT(Retail_data[[#This Row],[Order Date]],"mmmm")</f>
        <v>September</v>
      </c>
      <c r="D362">
        <f>MONTH(Retail_data[[#This Row],[Order Date]])</f>
        <v>9</v>
      </c>
      <c r="E362" t="str">
        <f>"Q"&amp;ROUNDUP(MONTH(Retail_data[[#This Row],[Order Date]])/3,0)</f>
        <v>Q3</v>
      </c>
      <c r="F362" s="1">
        <v>46282</v>
      </c>
      <c r="G362" s="1">
        <v>46286</v>
      </c>
      <c r="H362" t="s">
        <v>1287</v>
      </c>
      <c r="I362" t="s">
        <v>1288</v>
      </c>
      <c r="J362" t="s">
        <v>33</v>
      </c>
      <c r="K362" t="s">
        <v>22</v>
      </c>
      <c r="L362" t="s">
        <v>23</v>
      </c>
      <c r="M362" t="s">
        <v>24</v>
      </c>
      <c r="N362" t="s">
        <v>25</v>
      </c>
      <c r="O362" t="s">
        <v>26</v>
      </c>
      <c r="P362" t="s">
        <v>27</v>
      </c>
      <c r="Q362" t="s">
        <v>168</v>
      </c>
      <c r="R362">
        <v>8752.14</v>
      </c>
      <c r="S362">
        <v>5</v>
      </c>
      <c r="T362">
        <v>0</v>
      </c>
      <c r="U362" t="str">
        <f>IF(Retail_data[[#This Row],[Sales]]&gt;30000,"High",IF(Retail_data[[#This Row],[Sales]]&gt;10000,"Medium","Low"))</f>
        <v>Low</v>
      </c>
      <c r="V362" s="3">
        <f>Retail_data[[#This Row],[Profit]]/Retail_data[[#This Row],[Sales]]</f>
        <v>5.2935624887170456E-2</v>
      </c>
      <c r="W362">
        <v>463.3</v>
      </c>
      <c r="X362" t="s">
        <v>40</v>
      </c>
    </row>
    <row r="363" spans="1:24" ht="13.8" x14ac:dyDescent="0.25">
      <c r="A363" t="s">
        <v>1289</v>
      </c>
      <c r="B363">
        <f>YEAR(Retail_data[[#This Row],[Order Date]])</f>
        <v>2026</v>
      </c>
      <c r="C363" t="str">
        <f>TEXT(Retail_data[[#This Row],[Order Date]],"mmmm")</f>
        <v>September</v>
      </c>
      <c r="D363">
        <f>MONTH(Retail_data[[#This Row],[Order Date]])</f>
        <v>9</v>
      </c>
      <c r="E363" t="str">
        <f>"Q"&amp;ROUNDUP(MONTH(Retail_data[[#This Row],[Order Date]])/3,0)</f>
        <v>Q3</v>
      </c>
      <c r="F363" s="1">
        <v>46283</v>
      </c>
      <c r="G363" s="1">
        <v>46287</v>
      </c>
      <c r="H363" t="s">
        <v>1290</v>
      </c>
      <c r="I363" t="s">
        <v>1291</v>
      </c>
      <c r="J363" t="s">
        <v>33</v>
      </c>
      <c r="K363" t="s">
        <v>22</v>
      </c>
      <c r="L363" t="s">
        <v>23</v>
      </c>
      <c r="M363" t="s">
        <v>24</v>
      </c>
      <c r="N363" t="s">
        <v>25</v>
      </c>
      <c r="O363" t="s">
        <v>37</v>
      </c>
      <c r="P363" t="s">
        <v>52</v>
      </c>
      <c r="Q363" t="s">
        <v>53</v>
      </c>
      <c r="R363">
        <v>42472.99</v>
      </c>
      <c r="S363">
        <v>4</v>
      </c>
      <c r="T363">
        <v>0</v>
      </c>
      <c r="U363" t="str">
        <f>IF(Retail_data[[#This Row],[Sales]]&gt;30000,"High",IF(Retail_data[[#This Row],[Sales]]&gt;10000,"Medium","Low"))</f>
        <v>High</v>
      </c>
      <c r="V363" s="3">
        <f>Retail_data[[#This Row],[Profit]]/Retail_data[[#This Row],[Sales]]</f>
        <v>0.21557653464001478</v>
      </c>
      <c r="W363">
        <v>9156.18</v>
      </c>
      <c r="X363" t="s">
        <v>40</v>
      </c>
    </row>
    <row r="364" spans="1:24" ht="13.8" x14ac:dyDescent="0.25">
      <c r="A364" t="s">
        <v>1292</v>
      </c>
      <c r="B364">
        <f>YEAR(Retail_data[[#This Row],[Order Date]])</f>
        <v>2026</v>
      </c>
      <c r="C364" t="str">
        <f>TEXT(Retail_data[[#This Row],[Order Date]],"mmmm")</f>
        <v>September</v>
      </c>
      <c r="D364">
        <f>MONTH(Retail_data[[#This Row],[Order Date]])</f>
        <v>9</v>
      </c>
      <c r="E364" t="str">
        <f>"Q"&amp;ROUNDUP(MONTH(Retail_data[[#This Row],[Order Date]])/3,0)</f>
        <v>Q3</v>
      </c>
      <c r="F364" s="1">
        <v>46284</v>
      </c>
      <c r="G364" s="1">
        <v>46288</v>
      </c>
      <c r="H364" t="s">
        <v>1293</v>
      </c>
      <c r="I364" t="s">
        <v>1294</v>
      </c>
      <c r="J364" t="s">
        <v>44</v>
      </c>
      <c r="K364" t="s">
        <v>22</v>
      </c>
      <c r="L364" t="s">
        <v>67</v>
      </c>
      <c r="M364" t="s">
        <v>68</v>
      </c>
      <c r="N364" t="s">
        <v>69</v>
      </c>
      <c r="O364" t="s">
        <v>37</v>
      </c>
      <c r="P364" t="s">
        <v>46</v>
      </c>
      <c r="Q364" t="s">
        <v>474</v>
      </c>
      <c r="R364">
        <v>32750.94</v>
      </c>
      <c r="S364">
        <v>3</v>
      </c>
      <c r="T364">
        <v>0.3</v>
      </c>
      <c r="U364" t="str">
        <f>IF(Retail_data[[#This Row],[Sales]]&gt;30000,"High",IF(Retail_data[[#This Row],[Sales]]&gt;10000,"Medium","Low"))</f>
        <v>High</v>
      </c>
      <c r="V364" s="3">
        <f>Retail_data[[#This Row],[Profit]]/Retail_data[[#This Row],[Sales]]</f>
        <v>0.17885593512735817</v>
      </c>
      <c r="W364">
        <v>5857.7</v>
      </c>
      <c r="X364" t="s">
        <v>81</v>
      </c>
    </row>
    <row r="365" spans="1:24" ht="13.8" x14ac:dyDescent="0.25">
      <c r="A365" t="s">
        <v>1295</v>
      </c>
      <c r="B365">
        <f>YEAR(Retail_data[[#This Row],[Order Date]])</f>
        <v>2026</v>
      </c>
      <c r="C365" t="str">
        <f>TEXT(Retail_data[[#This Row],[Order Date]],"mmmm")</f>
        <v>September</v>
      </c>
      <c r="D365">
        <f>MONTH(Retail_data[[#This Row],[Order Date]])</f>
        <v>9</v>
      </c>
      <c r="E365" t="str">
        <f>"Q"&amp;ROUNDUP(MONTH(Retail_data[[#This Row],[Order Date]])/3,0)</f>
        <v>Q3</v>
      </c>
      <c r="F365" s="1">
        <v>46285</v>
      </c>
      <c r="G365" s="1">
        <v>46289</v>
      </c>
      <c r="H365" t="s">
        <v>1296</v>
      </c>
      <c r="I365" t="s">
        <v>1297</v>
      </c>
      <c r="J365" t="s">
        <v>21</v>
      </c>
      <c r="K365" t="s">
        <v>22</v>
      </c>
      <c r="L365" t="s">
        <v>85</v>
      </c>
      <c r="M365" t="s">
        <v>86</v>
      </c>
      <c r="N365" t="s">
        <v>87</v>
      </c>
      <c r="O365" t="s">
        <v>37</v>
      </c>
      <c r="P365" t="s">
        <v>46</v>
      </c>
      <c r="Q365" t="s">
        <v>320</v>
      </c>
      <c r="R365">
        <v>10442.06</v>
      </c>
      <c r="S365">
        <v>1</v>
      </c>
      <c r="T365">
        <v>0.1</v>
      </c>
      <c r="U365" t="str">
        <f>IF(Retail_data[[#This Row],[Sales]]&gt;30000,"High",IF(Retail_data[[#This Row],[Sales]]&gt;10000,"Medium","Low"))</f>
        <v>Medium</v>
      </c>
      <c r="V365" s="3">
        <f>Retail_data[[#This Row],[Profit]]/Retail_data[[#This Row],[Sales]]</f>
        <v>2.8880316719114812E-2</v>
      </c>
      <c r="W365">
        <v>301.57</v>
      </c>
      <c r="X365" t="s">
        <v>81</v>
      </c>
    </row>
    <row r="366" spans="1:24" ht="13.8" x14ac:dyDescent="0.25">
      <c r="A366" t="s">
        <v>1298</v>
      </c>
      <c r="B366">
        <f>YEAR(Retail_data[[#This Row],[Order Date]])</f>
        <v>2026</v>
      </c>
      <c r="C366" t="str">
        <f>TEXT(Retail_data[[#This Row],[Order Date]],"mmmm")</f>
        <v>September</v>
      </c>
      <c r="D366">
        <f>MONTH(Retail_data[[#This Row],[Order Date]])</f>
        <v>9</v>
      </c>
      <c r="E366" t="str">
        <f>"Q"&amp;ROUNDUP(MONTH(Retail_data[[#This Row],[Order Date]])/3,0)</f>
        <v>Q3</v>
      </c>
      <c r="F366" s="1">
        <v>46286</v>
      </c>
      <c r="G366" s="1">
        <v>46290</v>
      </c>
      <c r="H366" t="s">
        <v>1299</v>
      </c>
      <c r="I366" t="s">
        <v>1300</v>
      </c>
      <c r="J366" t="s">
        <v>33</v>
      </c>
      <c r="K366" t="s">
        <v>22</v>
      </c>
      <c r="L366" t="s">
        <v>45</v>
      </c>
      <c r="M366" t="s">
        <v>45</v>
      </c>
      <c r="N366" t="s">
        <v>25</v>
      </c>
      <c r="O366" t="s">
        <v>26</v>
      </c>
      <c r="P366" t="s">
        <v>27</v>
      </c>
      <c r="Q366" t="s">
        <v>511</v>
      </c>
      <c r="R366">
        <v>31082.799999999999</v>
      </c>
      <c r="S366">
        <v>4</v>
      </c>
      <c r="T366">
        <v>0.2</v>
      </c>
      <c r="U366" t="str">
        <f>IF(Retail_data[[#This Row],[Sales]]&gt;30000,"High",IF(Retail_data[[#This Row],[Sales]]&gt;10000,"Medium","Low"))</f>
        <v>High</v>
      </c>
      <c r="V366" s="3">
        <f>Retail_data[[#This Row],[Profit]]/Retail_data[[#This Row],[Sales]]</f>
        <v>7.9128328207240028E-2</v>
      </c>
      <c r="W366">
        <v>2459.5300000000002</v>
      </c>
      <c r="X366" t="s">
        <v>29</v>
      </c>
    </row>
    <row r="367" spans="1:24" ht="13.8" x14ac:dyDescent="0.25">
      <c r="A367" t="s">
        <v>1301</v>
      </c>
      <c r="B367">
        <f>YEAR(Retail_data[[#This Row],[Order Date]])</f>
        <v>2026</v>
      </c>
      <c r="C367" t="str">
        <f>TEXT(Retail_data[[#This Row],[Order Date]],"mmmm")</f>
        <v>September</v>
      </c>
      <c r="D367">
        <f>MONTH(Retail_data[[#This Row],[Order Date]])</f>
        <v>9</v>
      </c>
      <c r="E367" t="str">
        <f>"Q"&amp;ROUNDUP(MONTH(Retail_data[[#This Row],[Order Date]])/3,0)</f>
        <v>Q3</v>
      </c>
      <c r="F367" s="1">
        <v>46287</v>
      </c>
      <c r="G367" s="1">
        <v>46291</v>
      </c>
      <c r="H367" t="s">
        <v>1302</v>
      </c>
      <c r="I367" t="s">
        <v>1303</v>
      </c>
      <c r="J367" t="s">
        <v>44</v>
      </c>
      <c r="K367" t="s">
        <v>22</v>
      </c>
      <c r="L367" t="s">
        <v>34</v>
      </c>
      <c r="M367" t="s">
        <v>35</v>
      </c>
      <c r="N367" t="s">
        <v>36</v>
      </c>
      <c r="O367" t="s">
        <v>57</v>
      </c>
      <c r="P367" t="s">
        <v>58</v>
      </c>
      <c r="Q367" t="s">
        <v>125</v>
      </c>
      <c r="R367">
        <v>28093.32</v>
      </c>
      <c r="S367">
        <v>6</v>
      </c>
      <c r="T367">
        <v>0.3</v>
      </c>
      <c r="U367" t="str">
        <f>IF(Retail_data[[#This Row],[Sales]]&gt;30000,"High",IF(Retail_data[[#This Row],[Sales]]&gt;10000,"Medium","Low"))</f>
        <v>Medium</v>
      </c>
      <c r="V367" s="3">
        <f>Retail_data[[#This Row],[Profit]]/Retail_data[[#This Row],[Sales]]</f>
        <v>2.3398088940716159E-2</v>
      </c>
      <c r="W367">
        <v>657.33</v>
      </c>
      <c r="X367" t="s">
        <v>81</v>
      </c>
    </row>
    <row r="368" spans="1:24" ht="13.8" x14ac:dyDescent="0.25">
      <c r="A368" t="s">
        <v>1304</v>
      </c>
      <c r="B368">
        <f>YEAR(Retail_data[[#This Row],[Order Date]])</f>
        <v>2026</v>
      </c>
      <c r="C368" t="str">
        <f>TEXT(Retail_data[[#This Row],[Order Date]],"mmmm")</f>
        <v>September</v>
      </c>
      <c r="D368">
        <f>MONTH(Retail_data[[#This Row],[Order Date]])</f>
        <v>9</v>
      </c>
      <c r="E368" t="str">
        <f>"Q"&amp;ROUNDUP(MONTH(Retail_data[[#This Row],[Order Date]])/3,0)</f>
        <v>Q3</v>
      </c>
      <c r="F368" s="1">
        <v>46288</v>
      </c>
      <c r="G368" s="1">
        <v>46292</v>
      </c>
      <c r="H368" t="s">
        <v>1305</v>
      </c>
      <c r="I368" t="s">
        <v>1306</v>
      </c>
      <c r="J368" t="s">
        <v>33</v>
      </c>
      <c r="K368" t="s">
        <v>22</v>
      </c>
      <c r="L368" t="s">
        <v>23</v>
      </c>
      <c r="M368" t="s">
        <v>24</v>
      </c>
      <c r="N368" t="s">
        <v>25</v>
      </c>
      <c r="O368" t="s">
        <v>37</v>
      </c>
      <c r="P368" t="s">
        <v>46</v>
      </c>
      <c r="Q368" t="s">
        <v>172</v>
      </c>
      <c r="R368">
        <v>30198.49</v>
      </c>
      <c r="S368">
        <v>5</v>
      </c>
      <c r="T368">
        <v>0.1</v>
      </c>
      <c r="U368" t="str">
        <f>IF(Retail_data[[#This Row],[Sales]]&gt;30000,"High",IF(Retail_data[[#This Row],[Sales]]&gt;10000,"Medium","Low"))</f>
        <v>High</v>
      </c>
      <c r="V368" s="3">
        <f>Retail_data[[#This Row],[Profit]]/Retail_data[[#This Row],[Sales]]</f>
        <v>0.24849917992588372</v>
      </c>
      <c r="W368">
        <v>7504.3</v>
      </c>
      <c r="X368" t="s">
        <v>48</v>
      </c>
    </row>
    <row r="369" spans="1:24" ht="13.8" x14ac:dyDescent="0.25">
      <c r="A369" t="s">
        <v>1307</v>
      </c>
      <c r="B369">
        <f>YEAR(Retail_data[[#This Row],[Order Date]])</f>
        <v>2026</v>
      </c>
      <c r="C369" t="str">
        <f>TEXT(Retail_data[[#This Row],[Order Date]],"mmmm")</f>
        <v>September</v>
      </c>
      <c r="D369">
        <f>MONTH(Retail_data[[#This Row],[Order Date]])</f>
        <v>9</v>
      </c>
      <c r="E369" t="str">
        <f>"Q"&amp;ROUNDUP(MONTH(Retail_data[[#This Row],[Order Date]])/3,0)</f>
        <v>Q3</v>
      </c>
      <c r="F369" s="1">
        <v>46289</v>
      </c>
      <c r="G369" s="1">
        <v>46293</v>
      </c>
      <c r="H369" t="s">
        <v>1308</v>
      </c>
      <c r="I369" t="s">
        <v>1309</v>
      </c>
      <c r="J369" t="s">
        <v>44</v>
      </c>
      <c r="K369" t="s">
        <v>22</v>
      </c>
      <c r="L369" t="s">
        <v>45</v>
      </c>
      <c r="M369" t="s">
        <v>45</v>
      </c>
      <c r="N369" t="s">
        <v>25</v>
      </c>
      <c r="O369" t="s">
        <v>57</v>
      </c>
      <c r="P369" t="s">
        <v>58</v>
      </c>
      <c r="Q369" t="s">
        <v>309</v>
      </c>
      <c r="R369">
        <v>27932.13</v>
      </c>
      <c r="S369">
        <v>1</v>
      </c>
      <c r="T369">
        <v>0.2</v>
      </c>
      <c r="U369" t="str">
        <f>IF(Retail_data[[#This Row],[Sales]]&gt;30000,"High",IF(Retail_data[[#This Row],[Sales]]&gt;10000,"Medium","Low"))</f>
        <v>Medium</v>
      </c>
      <c r="V369" s="3">
        <f>Retail_data[[#This Row],[Profit]]/Retail_data[[#This Row],[Sales]]</f>
        <v>0.21355979654970816</v>
      </c>
      <c r="W369">
        <v>5965.18</v>
      </c>
      <c r="X369" t="s">
        <v>40</v>
      </c>
    </row>
    <row r="370" spans="1:24" ht="13.8" x14ac:dyDescent="0.25">
      <c r="A370" t="s">
        <v>1310</v>
      </c>
      <c r="B370">
        <f>YEAR(Retail_data[[#This Row],[Order Date]])</f>
        <v>2026</v>
      </c>
      <c r="C370" t="str">
        <f>TEXT(Retail_data[[#This Row],[Order Date]],"mmmm")</f>
        <v>September</v>
      </c>
      <c r="D370">
        <f>MONTH(Retail_data[[#This Row],[Order Date]])</f>
        <v>9</v>
      </c>
      <c r="E370" t="str">
        <f>"Q"&amp;ROUNDUP(MONTH(Retail_data[[#This Row],[Order Date]])/3,0)</f>
        <v>Q3</v>
      </c>
      <c r="F370" s="1">
        <v>46290</v>
      </c>
      <c r="G370" s="1">
        <v>46294</v>
      </c>
      <c r="H370" t="s">
        <v>1311</v>
      </c>
      <c r="I370" t="s">
        <v>1312</v>
      </c>
      <c r="J370" t="s">
        <v>33</v>
      </c>
      <c r="K370" t="s">
        <v>22</v>
      </c>
      <c r="L370" t="s">
        <v>67</v>
      </c>
      <c r="M370" t="s">
        <v>68</v>
      </c>
      <c r="N370" t="s">
        <v>69</v>
      </c>
      <c r="O370" t="s">
        <v>26</v>
      </c>
      <c r="P370" t="s">
        <v>92</v>
      </c>
      <c r="Q370" t="s">
        <v>570</v>
      </c>
      <c r="R370">
        <v>40381.760000000002</v>
      </c>
      <c r="S370">
        <v>2</v>
      </c>
      <c r="T370">
        <v>0.2</v>
      </c>
      <c r="U370" t="str">
        <f>IF(Retail_data[[#This Row],[Sales]]&gt;30000,"High",IF(Retail_data[[#This Row],[Sales]]&gt;10000,"Medium","Low"))</f>
        <v>High</v>
      </c>
      <c r="V370" s="3">
        <f>Retail_data[[#This Row],[Profit]]/Retail_data[[#This Row],[Sales]]</f>
        <v>0.13477867235108129</v>
      </c>
      <c r="W370">
        <v>5442.6</v>
      </c>
      <c r="X370" t="s">
        <v>40</v>
      </c>
    </row>
    <row r="371" spans="1:24" ht="13.8" x14ac:dyDescent="0.25">
      <c r="A371" t="s">
        <v>1313</v>
      </c>
      <c r="B371">
        <f>YEAR(Retail_data[[#This Row],[Order Date]])</f>
        <v>2026</v>
      </c>
      <c r="C371" t="str">
        <f>TEXT(Retail_data[[#This Row],[Order Date]],"mmmm")</f>
        <v>September</v>
      </c>
      <c r="D371">
        <f>MONTH(Retail_data[[#This Row],[Order Date]])</f>
        <v>9</v>
      </c>
      <c r="E371" t="str">
        <f>"Q"&amp;ROUNDUP(MONTH(Retail_data[[#This Row],[Order Date]])/3,0)</f>
        <v>Q3</v>
      </c>
      <c r="F371" s="1">
        <v>46291</v>
      </c>
      <c r="G371" s="1">
        <v>46295</v>
      </c>
      <c r="H371" t="s">
        <v>1314</v>
      </c>
      <c r="I371" t="s">
        <v>1315</v>
      </c>
      <c r="J371" t="s">
        <v>44</v>
      </c>
      <c r="K371" t="s">
        <v>22</v>
      </c>
      <c r="L371" t="s">
        <v>85</v>
      </c>
      <c r="M371" t="s">
        <v>86</v>
      </c>
      <c r="N371" t="s">
        <v>87</v>
      </c>
      <c r="O371" t="s">
        <v>37</v>
      </c>
      <c r="P371" t="s">
        <v>52</v>
      </c>
      <c r="Q371" t="s">
        <v>335</v>
      </c>
      <c r="R371">
        <v>34619.199999999997</v>
      </c>
      <c r="S371">
        <v>1</v>
      </c>
      <c r="T371">
        <v>0.3</v>
      </c>
      <c r="U371" t="str">
        <f>IF(Retail_data[[#This Row],[Sales]]&gt;30000,"High",IF(Retail_data[[#This Row],[Sales]]&gt;10000,"Medium","Low"))</f>
        <v>High</v>
      </c>
      <c r="V371" s="3">
        <f>Retail_data[[#This Row],[Profit]]/Retail_data[[#This Row],[Sales]]</f>
        <v>2.3114918888940243E-2</v>
      </c>
      <c r="W371">
        <v>800.22</v>
      </c>
      <c r="X371" t="s">
        <v>29</v>
      </c>
    </row>
    <row r="372" spans="1:24" ht="13.8" x14ac:dyDescent="0.25">
      <c r="A372" t="s">
        <v>1316</v>
      </c>
      <c r="B372">
        <f>YEAR(Retail_data[[#This Row],[Order Date]])</f>
        <v>2026</v>
      </c>
      <c r="C372" t="str">
        <f>TEXT(Retail_data[[#This Row],[Order Date]],"mmmm")</f>
        <v>September</v>
      </c>
      <c r="D372">
        <f>MONTH(Retail_data[[#This Row],[Order Date]])</f>
        <v>9</v>
      </c>
      <c r="E372" t="str">
        <f>"Q"&amp;ROUNDUP(MONTH(Retail_data[[#This Row],[Order Date]])/3,0)</f>
        <v>Q3</v>
      </c>
      <c r="F372" s="1">
        <v>46292</v>
      </c>
      <c r="G372" s="1">
        <v>46296</v>
      </c>
      <c r="H372" t="s">
        <v>1317</v>
      </c>
      <c r="I372" t="s">
        <v>1318</v>
      </c>
      <c r="J372" t="s">
        <v>44</v>
      </c>
      <c r="K372" t="s">
        <v>22</v>
      </c>
      <c r="L372" t="s">
        <v>45</v>
      </c>
      <c r="M372" t="s">
        <v>45</v>
      </c>
      <c r="N372" t="s">
        <v>25</v>
      </c>
      <c r="O372" t="s">
        <v>57</v>
      </c>
      <c r="P372" t="s">
        <v>79</v>
      </c>
      <c r="Q372" t="s">
        <v>1319</v>
      </c>
      <c r="R372">
        <v>11942.93</v>
      </c>
      <c r="S372">
        <v>2</v>
      </c>
      <c r="T372">
        <v>0.1</v>
      </c>
      <c r="U372" t="str">
        <f>IF(Retail_data[[#This Row],[Sales]]&gt;30000,"High",IF(Retail_data[[#This Row],[Sales]]&gt;10000,"Medium","Low"))</f>
        <v>Medium</v>
      </c>
      <c r="V372" s="3">
        <f>Retail_data[[#This Row],[Profit]]/Retail_data[[#This Row],[Sales]]</f>
        <v>0.22362267885686343</v>
      </c>
      <c r="W372">
        <v>2670.71</v>
      </c>
      <c r="X372" t="s">
        <v>29</v>
      </c>
    </row>
    <row r="373" spans="1:24" ht="13.8" x14ac:dyDescent="0.25">
      <c r="A373" t="s">
        <v>1320</v>
      </c>
      <c r="B373">
        <f>YEAR(Retail_data[[#This Row],[Order Date]])</f>
        <v>2026</v>
      </c>
      <c r="C373" t="str">
        <f>TEXT(Retail_data[[#This Row],[Order Date]],"mmmm")</f>
        <v>September</v>
      </c>
      <c r="D373">
        <f>MONTH(Retail_data[[#This Row],[Order Date]])</f>
        <v>9</v>
      </c>
      <c r="E373" t="str">
        <f>"Q"&amp;ROUNDUP(MONTH(Retail_data[[#This Row],[Order Date]])/3,0)</f>
        <v>Q3</v>
      </c>
      <c r="F373" s="1">
        <v>46293</v>
      </c>
      <c r="G373" s="1">
        <v>46297</v>
      </c>
      <c r="H373" t="s">
        <v>1321</v>
      </c>
      <c r="I373" t="s">
        <v>1322</v>
      </c>
      <c r="J373" t="s">
        <v>33</v>
      </c>
      <c r="K373" t="s">
        <v>22</v>
      </c>
      <c r="L373" t="s">
        <v>34</v>
      </c>
      <c r="M373" t="s">
        <v>35</v>
      </c>
      <c r="N373" t="s">
        <v>36</v>
      </c>
      <c r="O373" t="s">
        <v>57</v>
      </c>
      <c r="P373" t="s">
        <v>79</v>
      </c>
      <c r="Q373" t="s">
        <v>1143</v>
      </c>
      <c r="R373">
        <v>35368.699999999997</v>
      </c>
      <c r="S373">
        <v>7</v>
      </c>
      <c r="T373">
        <v>0.2</v>
      </c>
      <c r="U373" t="str">
        <f>IF(Retail_data[[#This Row],[Sales]]&gt;30000,"High",IF(Retail_data[[#This Row],[Sales]]&gt;10000,"Medium","Low"))</f>
        <v>High</v>
      </c>
      <c r="V373" s="3">
        <f>Retail_data[[#This Row],[Profit]]/Retail_data[[#This Row],[Sales]]</f>
        <v>5.5385694130686176E-2</v>
      </c>
      <c r="W373">
        <v>1958.92</v>
      </c>
      <c r="X373" t="s">
        <v>81</v>
      </c>
    </row>
    <row r="374" spans="1:24" ht="13.8" x14ac:dyDescent="0.25">
      <c r="A374" t="s">
        <v>1323</v>
      </c>
      <c r="B374">
        <f>YEAR(Retail_data[[#This Row],[Order Date]])</f>
        <v>2026</v>
      </c>
      <c r="C374" t="str">
        <f>TEXT(Retail_data[[#This Row],[Order Date]],"mmmm")</f>
        <v>September</v>
      </c>
      <c r="D374">
        <f>MONTH(Retail_data[[#This Row],[Order Date]])</f>
        <v>9</v>
      </c>
      <c r="E374" t="str">
        <f>"Q"&amp;ROUNDUP(MONTH(Retail_data[[#This Row],[Order Date]])/3,0)</f>
        <v>Q3</v>
      </c>
      <c r="F374" s="1">
        <v>46294</v>
      </c>
      <c r="G374" s="1">
        <v>46298</v>
      </c>
      <c r="H374" t="s">
        <v>1324</v>
      </c>
      <c r="I374" t="s">
        <v>1325</v>
      </c>
      <c r="J374" t="s">
        <v>33</v>
      </c>
      <c r="K374" t="s">
        <v>22</v>
      </c>
      <c r="L374" t="s">
        <v>45</v>
      </c>
      <c r="M374" t="s">
        <v>45</v>
      </c>
      <c r="N374" t="s">
        <v>25</v>
      </c>
      <c r="O374" t="s">
        <v>37</v>
      </c>
      <c r="P374" t="s">
        <v>52</v>
      </c>
      <c r="Q374" t="s">
        <v>292</v>
      </c>
      <c r="R374">
        <v>17096</v>
      </c>
      <c r="S374">
        <v>1</v>
      </c>
      <c r="T374">
        <v>0</v>
      </c>
      <c r="U374" t="str">
        <f>IF(Retail_data[[#This Row],[Sales]]&gt;30000,"High",IF(Retail_data[[#This Row],[Sales]]&gt;10000,"Medium","Low"))</f>
        <v>Medium</v>
      </c>
      <c r="V374" s="3">
        <f>Retail_data[[#This Row],[Profit]]/Retail_data[[#This Row],[Sales]]</f>
        <v>0.16498771642489471</v>
      </c>
      <c r="W374">
        <v>2820.63</v>
      </c>
      <c r="X374" t="s">
        <v>81</v>
      </c>
    </row>
    <row r="375" spans="1:24" ht="13.8" x14ac:dyDescent="0.25">
      <c r="A375" t="s">
        <v>1326</v>
      </c>
      <c r="B375">
        <f>YEAR(Retail_data[[#This Row],[Order Date]])</f>
        <v>2026</v>
      </c>
      <c r="C375" t="str">
        <f>TEXT(Retail_data[[#This Row],[Order Date]],"mmmm")</f>
        <v>September</v>
      </c>
      <c r="D375">
        <f>MONTH(Retail_data[[#This Row],[Order Date]])</f>
        <v>9</v>
      </c>
      <c r="E375" t="str">
        <f>"Q"&amp;ROUNDUP(MONTH(Retail_data[[#This Row],[Order Date]])/3,0)</f>
        <v>Q3</v>
      </c>
      <c r="F375" s="1">
        <v>46295</v>
      </c>
      <c r="G375" s="1">
        <v>46299</v>
      </c>
      <c r="H375" t="s">
        <v>1327</v>
      </c>
      <c r="I375" t="s">
        <v>1328</v>
      </c>
      <c r="J375" t="s">
        <v>21</v>
      </c>
      <c r="K375" t="s">
        <v>22</v>
      </c>
      <c r="L375" t="s">
        <v>67</v>
      </c>
      <c r="M375" t="s">
        <v>68</v>
      </c>
      <c r="N375" t="s">
        <v>69</v>
      </c>
      <c r="O375" t="s">
        <v>26</v>
      </c>
      <c r="P375" t="s">
        <v>27</v>
      </c>
      <c r="Q375" t="s">
        <v>168</v>
      </c>
      <c r="R375">
        <v>44025.2</v>
      </c>
      <c r="S375">
        <v>1</v>
      </c>
      <c r="T375">
        <v>0.1</v>
      </c>
      <c r="U375" t="str">
        <f>IF(Retail_data[[#This Row],[Sales]]&gt;30000,"High",IF(Retail_data[[#This Row],[Sales]]&gt;10000,"Medium","Low"))</f>
        <v>High</v>
      </c>
      <c r="V375" s="3">
        <f>Retail_data[[#This Row],[Profit]]/Retail_data[[#This Row],[Sales]]</f>
        <v>0.17213232421431363</v>
      </c>
      <c r="W375">
        <v>7578.16</v>
      </c>
      <c r="X375" t="s">
        <v>48</v>
      </c>
    </row>
    <row r="376" spans="1:24" ht="13.8" x14ac:dyDescent="0.25">
      <c r="A376" t="s">
        <v>1329</v>
      </c>
      <c r="B376">
        <f>YEAR(Retail_data[[#This Row],[Order Date]])</f>
        <v>2026</v>
      </c>
      <c r="C376" t="str">
        <f>TEXT(Retail_data[[#This Row],[Order Date]],"mmmm")</f>
        <v>October</v>
      </c>
      <c r="D376">
        <f>MONTH(Retail_data[[#This Row],[Order Date]])</f>
        <v>10</v>
      </c>
      <c r="E376" t="str">
        <f>"Q"&amp;ROUNDUP(MONTH(Retail_data[[#This Row],[Order Date]])/3,0)</f>
        <v>Q4</v>
      </c>
      <c r="F376" s="1">
        <v>46296</v>
      </c>
      <c r="G376" s="1">
        <v>46300</v>
      </c>
      <c r="H376" t="s">
        <v>1330</v>
      </c>
      <c r="I376" t="s">
        <v>1331</v>
      </c>
      <c r="J376" t="s">
        <v>33</v>
      </c>
      <c r="K376" t="s">
        <v>22</v>
      </c>
      <c r="L376" t="s">
        <v>85</v>
      </c>
      <c r="M376" t="s">
        <v>86</v>
      </c>
      <c r="N376" t="s">
        <v>87</v>
      </c>
      <c r="O376" t="s">
        <v>37</v>
      </c>
      <c r="P376" t="s">
        <v>38</v>
      </c>
      <c r="Q376" t="s">
        <v>930</v>
      </c>
      <c r="R376">
        <v>7633.17</v>
      </c>
      <c r="S376">
        <v>5</v>
      </c>
      <c r="T376">
        <v>0.1</v>
      </c>
      <c r="U376" t="str">
        <f>IF(Retail_data[[#This Row],[Sales]]&gt;30000,"High",IF(Retail_data[[#This Row],[Sales]]&gt;10000,"Medium","Low"))</f>
        <v>Low</v>
      </c>
      <c r="V376" s="3">
        <f>Retail_data[[#This Row],[Profit]]/Retail_data[[#This Row],[Sales]]</f>
        <v>0.22188553379526463</v>
      </c>
      <c r="W376">
        <v>1693.69</v>
      </c>
      <c r="X376" t="s">
        <v>48</v>
      </c>
    </row>
    <row r="377" spans="1:24" ht="13.8" x14ac:dyDescent="0.25">
      <c r="A377" t="s">
        <v>1332</v>
      </c>
      <c r="B377">
        <f>YEAR(Retail_data[[#This Row],[Order Date]])</f>
        <v>2026</v>
      </c>
      <c r="C377" t="str">
        <f>TEXT(Retail_data[[#This Row],[Order Date]],"mmmm")</f>
        <v>October</v>
      </c>
      <c r="D377">
        <f>MONTH(Retail_data[[#This Row],[Order Date]])</f>
        <v>10</v>
      </c>
      <c r="E377" t="str">
        <f>"Q"&amp;ROUNDUP(MONTH(Retail_data[[#This Row],[Order Date]])/3,0)</f>
        <v>Q4</v>
      </c>
      <c r="F377" s="1">
        <v>46297</v>
      </c>
      <c r="G377" s="1">
        <v>46301</v>
      </c>
      <c r="H377" t="s">
        <v>1333</v>
      </c>
      <c r="I377" t="s">
        <v>1334</v>
      </c>
      <c r="J377" t="s">
        <v>44</v>
      </c>
      <c r="K377" t="s">
        <v>22</v>
      </c>
      <c r="L377" t="s">
        <v>23</v>
      </c>
      <c r="M377" t="s">
        <v>24</v>
      </c>
      <c r="N377" t="s">
        <v>25</v>
      </c>
      <c r="O377" t="s">
        <v>26</v>
      </c>
      <c r="P377" t="s">
        <v>27</v>
      </c>
      <c r="Q377" t="s">
        <v>511</v>
      </c>
      <c r="R377">
        <v>37424.870000000003</v>
      </c>
      <c r="S377">
        <v>7</v>
      </c>
      <c r="T377">
        <v>0.1</v>
      </c>
      <c r="U377" t="str">
        <f>IF(Retail_data[[#This Row],[Sales]]&gt;30000,"High",IF(Retail_data[[#This Row],[Sales]]&gt;10000,"Medium","Low"))</f>
        <v>High</v>
      </c>
      <c r="V377" s="3">
        <f>Retail_data[[#This Row],[Profit]]/Retail_data[[#This Row],[Sales]]</f>
        <v>0.17302585152600397</v>
      </c>
      <c r="W377">
        <v>6475.47</v>
      </c>
      <c r="X377" t="s">
        <v>29</v>
      </c>
    </row>
    <row r="378" spans="1:24" ht="13.8" x14ac:dyDescent="0.25">
      <c r="A378" t="s">
        <v>1335</v>
      </c>
      <c r="B378">
        <f>YEAR(Retail_data[[#This Row],[Order Date]])</f>
        <v>2026</v>
      </c>
      <c r="C378" t="str">
        <f>TEXT(Retail_data[[#This Row],[Order Date]],"mmmm")</f>
        <v>October</v>
      </c>
      <c r="D378">
        <f>MONTH(Retail_data[[#This Row],[Order Date]])</f>
        <v>10</v>
      </c>
      <c r="E378" t="str">
        <f>"Q"&amp;ROUNDUP(MONTH(Retail_data[[#This Row],[Order Date]])/3,0)</f>
        <v>Q4</v>
      </c>
      <c r="F378" s="1">
        <v>46298</v>
      </c>
      <c r="G378" s="1">
        <v>46302</v>
      </c>
      <c r="H378" t="s">
        <v>1336</v>
      </c>
      <c r="I378" t="s">
        <v>1337</v>
      </c>
      <c r="J378" t="s">
        <v>21</v>
      </c>
      <c r="K378" t="s">
        <v>22</v>
      </c>
      <c r="L378" t="s">
        <v>23</v>
      </c>
      <c r="M378" t="s">
        <v>24</v>
      </c>
      <c r="N378" t="s">
        <v>25</v>
      </c>
      <c r="O378" t="s">
        <v>37</v>
      </c>
      <c r="P378" t="s">
        <v>46</v>
      </c>
      <c r="Q378" t="s">
        <v>685</v>
      </c>
      <c r="R378">
        <v>12310.14</v>
      </c>
      <c r="S378">
        <v>7</v>
      </c>
      <c r="T378">
        <v>0.1</v>
      </c>
      <c r="U378" t="str">
        <f>IF(Retail_data[[#This Row],[Sales]]&gt;30000,"High",IF(Retail_data[[#This Row],[Sales]]&gt;10000,"Medium","Low"))</f>
        <v>Medium</v>
      </c>
      <c r="V378" s="3">
        <f>Retail_data[[#This Row],[Profit]]/Retail_data[[#This Row],[Sales]]</f>
        <v>8.0925156009598598E-2</v>
      </c>
      <c r="W378">
        <v>996.2</v>
      </c>
      <c r="X378" t="s">
        <v>40</v>
      </c>
    </row>
    <row r="379" spans="1:24" ht="13.8" x14ac:dyDescent="0.25">
      <c r="A379" t="s">
        <v>1338</v>
      </c>
      <c r="B379">
        <f>YEAR(Retail_data[[#This Row],[Order Date]])</f>
        <v>2026</v>
      </c>
      <c r="C379" t="str">
        <f>TEXT(Retail_data[[#This Row],[Order Date]],"mmmm")</f>
        <v>October</v>
      </c>
      <c r="D379">
        <f>MONTH(Retail_data[[#This Row],[Order Date]])</f>
        <v>10</v>
      </c>
      <c r="E379" t="str">
        <f>"Q"&amp;ROUNDUP(MONTH(Retail_data[[#This Row],[Order Date]])/3,0)</f>
        <v>Q4</v>
      </c>
      <c r="F379" s="1">
        <v>46299</v>
      </c>
      <c r="G379" s="1">
        <v>46303</v>
      </c>
      <c r="H379" t="s">
        <v>1339</v>
      </c>
      <c r="I379" t="s">
        <v>1340</v>
      </c>
      <c r="J379" t="s">
        <v>33</v>
      </c>
      <c r="K379" t="s">
        <v>22</v>
      </c>
      <c r="L379" t="s">
        <v>67</v>
      </c>
      <c r="M379" t="s">
        <v>68</v>
      </c>
      <c r="N379" t="s">
        <v>69</v>
      </c>
      <c r="O379" t="s">
        <v>26</v>
      </c>
      <c r="P379" t="s">
        <v>70</v>
      </c>
      <c r="Q379" t="s">
        <v>75</v>
      </c>
      <c r="R379">
        <v>25445.87</v>
      </c>
      <c r="S379">
        <v>1</v>
      </c>
      <c r="T379">
        <v>0.1</v>
      </c>
      <c r="U379" t="str">
        <f>IF(Retail_data[[#This Row],[Sales]]&gt;30000,"High",IF(Retail_data[[#This Row],[Sales]]&gt;10000,"Medium","Low"))</f>
        <v>Medium</v>
      </c>
      <c r="V379" s="3">
        <f>Retail_data[[#This Row],[Profit]]/Retail_data[[#This Row],[Sales]]</f>
        <v>2.3522874242460565E-2</v>
      </c>
      <c r="W379">
        <v>598.55999999999995</v>
      </c>
      <c r="X379" t="s">
        <v>48</v>
      </c>
    </row>
    <row r="380" spans="1:24" ht="13.8" x14ac:dyDescent="0.25">
      <c r="A380" t="s">
        <v>1341</v>
      </c>
      <c r="B380">
        <f>YEAR(Retail_data[[#This Row],[Order Date]])</f>
        <v>2026</v>
      </c>
      <c r="C380" t="str">
        <f>TEXT(Retail_data[[#This Row],[Order Date]],"mmmm")</f>
        <v>October</v>
      </c>
      <c r="D380">
        <f>MONTH(Retail_data[[#This Row],[Order Date]])</f>
        <v>10</v>
      </c>
      <c r="E380" t="str">
        <f>"Q"&amp;ROUNDUP(MONTH(Retail_data[[#This Row],[Order Date]])/3,0)</f>
        <v>Q4</v>
      </c>
      <c r="F380" s="1">
        <v>46300</v>
      </c>
      <c r="G380" s="1">
        <v>46304</v>
      </c>
      <c r="H380" t="s">
        <v>1342</v>
      </c>
      <c r="I380" t="s">
        <v>1343</v>
      </c>
      <c r="J380" t="s">
        <v>33</v>
      </c>
      <c r="K380" t="s">
        <v>22</v>
      </c>
      <c r="L380" t="s">
        <v>67</v>
      </c>
      <c r="M380" t="s">
        <v>68</v>
      </c>
      <c r="N380" t="s">
        <v>69</v>
      </c>
      <c r="O380" t="s">
        <v>37</v>
      </c>
      <c r="P380" t="s">
        <v>52</v>
      </c>
      <c r="Q380" t="s">
        <v>1344</v>
      </c>
      <c r="R380">
        <v>28972.27</v>
      </c>
      <c r="S380">
        <v>8</v>
      </c>
      <c r="T380">
        <v>0</v>
      </c>
      <c r="U380" t="str">
        <f>IF(Retail_data[[#This Row],[Sales]]&gt;30000,"High",IF(Retail_data[[#This Row],[Sales]]&gt;10000,"Medium","Low"))</f>
        <v>Medium</v>
      </c>
      <c r="V380" s="3">
        <f>Retail_data[[#This Row],[Profit]]/Retail_data[[#This Row],[Sales]]</f>
        <v>0.1089886985037762</v>
      </c>
      <c r="W380">
        <v>3157.65</v>
      </c>
      <c r="X380" t="s">
        <v>48</v>
      </c>
    </row>
    <row r="381" spans="1:24" ht="13.8" x14ac:dyDescent="0.25">
      <c r="A381" t="s">
        <v>1345</v>
      </c>
      <c r="B381">
        <f>YEAR(Retail_data[[#This Row],[Order Date]])</f>
        <v>2026</v>
      </c>
      <c r="C381" t="str">
        <f>TEXT(Retail_data[[#This Row],[Order Date]],"mmmm")</f>
        <v>October</v>
      </c>
      <c r="D381">
        <f>MONTH(Retail_data[[#This Row],[Order Date]])</f>
        <v>10</v>
      </c>
      <c r="E381" t="str">
        <f>"Q"&amp;ROUNDUP(MONTH(Retail_data[[#This Row],[Order Date]])/3,0)</f>
        <v>Q4</v>
      </c>
      <c r="F381" s="1">
        <v>46301</v>
      </c>
      <c r="G381" s="1">
        <v>46305</v>
      </c>
      <c r="H381" t="s">
        <v>1346</v>
      </c>
      <c r="I381" t="s">
        <v>1347</v>
      </c>
      <c r="J381" t="s">
        <v>44</v>
      </c>
      <c r="K381" t="s">
        <v>22</v>
      </c>
      <c r="L381" t="s">
        <v>34</v>
      </c>
      <c r="M381" t="s">
        <v>35</v>
      </c>
      <c r="N381" t="s">
        <v>36</v>
      </c>
      <c r="O381" t="s">
        <v>26</v>
      </c>
      <c r="P381" t="s">
        <v>92</v>
      </c>
      <c r="Q381" t="s">
        <v>653</v>
      </c>
      <c r="R381">
        <v>8315.27</v>
      </c>
      <c r="S381">
        <v>8</v>
      </c>
      <c r="T381">
        <v>0.2</v>
      </c>
      <c r="U381" t="str">
        <f>IF(Retail_data[[#This Row],[Sales]]&gt;30000,"High",IF(Retail_data[[#This Row],[Sales]]&gt;10000,"Medium","Low"))</f>
        <v>Low</v>
      </c>
      <c r="V381" s="3">
        <f>Retail_data[[#This Row],[Profit]]/Retail_data[[#This Row],[Sales]]</f>
        <v>-1.774205768423635E-2</v>
      </c>
      <c r="W381">
        <v>-147.53</v>
      </c>
      <c r="X381" t="s">
        <v>48</v>
      </c>
    </row>
    <row r="382" spans="1:24" ht="13.8" x14ac:dyDescent="0.25">
      <c r="A382" t="s">
        <v>1348</v>
      </c>
      <c r="B382">
        <f>YEAR(Retail_data[[#This Row],[Order Date]])</f>
        <v>2026</v>
      </c>
      <c r="C382" t="str">
        <f>TEXT(Retail_data[[#This Row],[Order Date]],"mmmm")</f>
        <v>October</v>
      </c>
      <c r="D382">
        <f>MONTH(Retail_data[[#This Row],[Order Date]])</f>
        <v>10</v>
      </c>
      <c r="E382" t="str">
        <f>"Q"&amp;ROUNDUP(MONTH(Retail_data[[#This Row],[Order Date]])/3,0)</f>
        <v>Q4</v>
      </c>
      <c r="F382" s="1">
        <v>46302</v>
      </c>
      <c r="G382" s="1">
        <v>46306</v>
      </c>
      <c r="H382" t="s">
        <v>1349</v>
      </c>
      <c r="I382" t="s">
        <v>1350</v>
      </c>
      <c r="J382" t="s">
        <v>21</v>
      </c>
      <c r="K382" t="s">
        <v>22</v>
      </c>
      <c r="L382" t="s">
        <v>23</v>
      </c>
      <c r="M382" t="s">
        <v>24</v>
      </c>
      <c r="N382" t="s">
        <v>25</v>
      </c>
      <c r="O382" t="s">
        <v>26</v>
      </c>
      <c r="P382" t="s">
        <v>92</v>
      </c>
      <c r="Q382" t="s">
        <v>767</v>
      </c>
      <c r="R382">
        <v>41361.730000000003</v>
      </c>
      <c r="S382">
        <v>6</v>
      </c>
      <c r="T382">
        <v>0</v>
      </c>
      <c r="U382" t="str">
        <f>IF(Retail_data[[#This Row],[Sales]]&gt;30000,"High",IF(Retail_data[[#This Row],[Sales]]&gt;10000,"Medium","Low"))</f>
        <v>High</v>
      </c>
      <c r="V382" s="3">
        <f>Retail_data[[#This Row],[Profit]]/Retail_data[[#This Row],[Sales]]</f>
        <v>8.9856492946499084E-2</v>
      </c>
      <c r="W382">
        <v>3716.62</v>
      </c>
      <c r="X382" t="s">
        <v>29</v>
      </c>
    </row>
    <row r="383" spans="1:24" ht="13.8" x14ac:dyDescent="0.25">
      <c r="A383" t="s">
        <v>1351</v>
      </c>
      <c r="B383">
        <f>YEAR(Retail_data[[#This Row],[Order Date]])</f>
        <v>2026</v>
      </c>
      <c r="C383" t="str">
        <f>TEXT(Retail_data[[#This Row],[Order Date]],"mmmm")</f>
        <v>October</v>
      </c>
      <c r="D383">
        <f>MONTH(Retail_data[[#This Row],[Order Date]])</f>
        <v>10</v>
      </c>
      <c r="E383" t="str">
        <f>"Q"&amp;ROUNDUP(MONTH(Retail_data[[#This Row],[Order Date]])/3,0)</f>
        <v>Q4</v>
      </c>
      <c r="F383" s="1">
        <v>46303</v>
      </c>
      <c r="G383" s="1">
        <v>46307</v>
      </c>
      <c r="H383" t="s">
        <v>1352</v>
      </c>
      <c r="I383" t="s">
        <v>1353</v>
      </c>
      <c r="J383" t="s">
        <v>21</v>
      </c>
      <c r="K383" t="s">
        <v>22</v>
      </c>
      <c r="L383" t="s">
        <v>85</v>
      </c>
      <c r="M383" t="s">
        <v>86</v>
      </c>
      <c r="N383" t="s">
        <v>87</v>
      </c>
      <c r="O383" t="s">
        <v>26</v>
      </c>
      <c r="P383" t="s">
        <v>70</v>
      </c>
      <c r="Q383" t="s">
        <v>117</v>
      </c>
      <c r="R383">
        <v>41896.699999999997</v>
      </c>
      <c r="S383">
        <v>5</v>
      </c>
      <c r="T383">
        <v>0.3</v>
      </c>
      <c r="U383" t="str">
        <f>IF(Retail_data[[#This Row],[Sales]]&gt;30000,"High",IF(Retail_data[[#This Row],[Sales]]&gt;10000,"Medium","Low"))</f>
        <v>High</v>
      </c>
      <c r="V383" s="3">
        <f>Retail_data[[#This Row],[Profit]]/Retail_data[[#This Row],[Sales]]</f>
        <v>-5.72228839025508E-2</v>
      </c>
      <c r="W383">
        <v>-2397.4499999999998</v>
      </c>
      <c r="X383" t="s">
        <v>29</v>
      </c>
    </row>
    <row r="384" spans="1:24" ht="13.8" x14ac:dyDescent="0.25">
      <c r="A384" t="s">
        <v>1354</v>
      </c>
      <c r="B384">
        <f>YEAR(Retail_data[[#This Row],[Order Date]])</f>
        <v>2026</v>
      </c>
      <c r="C384" t="str">
        <f>TEXT(Retail_data[[#This Row],[Order Date]],"mmmm")</f>
        <v>October</v>
      </c>
      <c r="D384">
        <f>MONTH(Retail_data[[#This Row],[Order Date]])</f>
        <v>10</v>
      </c>
      <c r="E384" t="str">
        <f>"Q"&amp;ROUNDUP(MONTH(Retail_data[[#This Row],[Order Date]])/3,0)</f>
        <v>Q4</v>
      </c>
      <c r="F384" s="1">
        <v>46304</v>
      </c>
      <c r="G384" s="1">
        <v>46308</v>
      </c>
      <c r="H384" t="s">
        <v>1355</v>
      </c>
      <c r="I384" t="s">
        <v>1356</v>
      </c>
      <c r="J384" t="s">
        <v>44</v>
      </c>
      <c r="K384" t="s">
        <v>22</v>
      </c>
      <c r="L384" t="s">
        <v>34</v>
      </c>
      <c r="M384" t="s">
        <v>35</v>
      </c>
      <c r="N384" t="s">
        <v>36</v>
      </c>
      <c r="O384" t="s">
        <v>26</v>
      </c>
      <c r="P384" t="s">
        <v>27</v>
      </c>
      <c r="Q384" t="s">
        <v>266</v>
      </c>
      <c r="R384">
        <v>29174.01</v>
      </c>
      <c r="S384">
        <v>4</v>
      </c>
      <c r="T384">
        <v>0</v>
      </c>
      <c r="U384" t="str">
        <f>IF(Retail_data[[#This Row],[Sales]]&gt;30000,"High",IF(Retail_data[[#This Row],[Sales]]&gt;10000,"Medium","Low"))</f>
        <v>Medium</v>
      </c>
      <c r="V384" s="3">
        <f>Retail_data[[#This Row],[Profit]]/Retail_data[[#This Row],[Sales]]</f>
        <v>0.20441550544474346</v>
      </c>
      <c r="W384">
        <v>5963.62</v>
      </c>
      <c r="X384" t="s">
        <v>48</v>
      </c>
    </row>
    <row r="385" spans="1:24" ht="13.8" x14ac:dyDescent="0.25">
      <c r="A385" t="s">
        <v>1357</v>
      </c>
      <c r="B385">
        <f>YEAR(Retail_data[[#This Row],[Order Date]])</f>
        <v>2026</v>
      </c>
      <c r="C385" t="str">
        <f>TEXT(Retail_data[[#This Row],[Order Date]],"mmmm")</f>
        <v>October</v>
      </c>
      <c r="D385">
        <f>MONTH(Retail_data[[#This Row],[Order Date]])</f>
        <v>10</v>
      </c>
      <c r="E385" t="str">
        <f>"Q"&amp;ROUNDUP(MONTH(Retail_data[[#This Row],[Order Date]])/3,0)</f>
        <v>Q4</v>
      </c>
      <c r="F385" s="1">
        <v>46305</v>
      </c>
      <c r="G385" s="1">
        <v>46309</v>
      </c>
      <c r="H385" t="s">
        <v>1358</v>
      </c>
      <c r="I385" t="s">
        <v>1359</v>
      </c>
      <c r="J385" t="s">
        <v>33</v>
      </c>
      <c r="K385" t="s">
        <v>22</v>
      </c>
      <c r="L385" t="s">
        <v>23</v>
      </c>
      <c r="M385" t="s">
        <v>24</v>
      </c>
      <c r="N385" t="s">
        <v>25</v>
      </c>
      <c r="O385" t="s">
        <v>57</v>
      </c>
      <c r="P385" t="s">
        <v>58</v>
      </c>
      <c r="Q385" t="s">
        <v>250</v>
      </c>
      <c r="R385">
        <v>30691.74</v>
      </c>
      <c r="S385">
        <v>1</v>
      </c>
      <c r="T385">
        <v>0</v>
      </c>
      <c r="U385" t="str">
        <f>IF(Retail_data[[#This Row],[Sales]]&gt;30000,"High",IF(Retail_data[[#This Row],[Sales]]&gt;10000,"Medium","Low"))</f>
        <v>High</v>
      </c>
      <c r="V385" s="3">
        <f>Retail_data[[#This Row],[Profit]]/Retail_data[[#This Row],[Sales]]</f>
        <v>9.9775705124570971E-2</v>
      </c>
      <c r="W385">
        <v>3062.29</v>
      </c>
      <c r="X385" t="s">
        <v>29</v>
      </c>
    </row>
    <row r="386" spans="1:24" ht="13.8" x14ac:dyDescent="0.25">
      <c r="A386" t="s">
        <v>1360</v>
      </c>
      <c r="B386">
        <f>YEAR(Retail_data[[#This Row],[Order Date]])</f>
        <v>2026</v>
      </c>
      <c r="C386" t="str">
        <f>TEXT(Retail_data[[#This Row],[Order Date]],"mmmm")</f>
        <v>October</v>
      </c>
      <c r="D386">
        <f>MONTH(Retail_data[[#This Row],[Order Date]])</f>
        <v>10</v>
      </c>
      <c r="E386" t="str">
        <f>"Q"&amp;ROUNDUP(MONTH(Retail_data[[#This Row],[Order Date]])/3,0)</f>
        <v>Q4</v>
      </c>
      <c r="F386" s="1">
        <v>46306</v>
      </c>
      <c r="G386" s="1">
        <v>46310</v>
      </c>
      <c r="H386" t="s">
        <v>1361</v>
      </c>
      <c r="I386" t="s">
        <v>1362</v>
      </c>
      <c r="J386" t="s">
        <v>21</v>
      </c>
      <c r="K386" t="s">
        <v>22</v>
      </c>
      <c r="L386" t="s">
        <v>67</v>
      </c>
      <c r="M386" t="s">
        <v>68</v>
      </c>
      <c r="N386" t="s">
        <v>69</v>
      </c>
      <c r="O386" t="s">
        <v>37</v>
      </c>
      <c r="P386" t="s">
        <v>46</v>
      </c>
      <c r="Q386" t="s">
        <v>978</v>
      </c>
      <c r="R386">
        <v>21588.22</v>
      </c>
      <c r="S386">
        <v>7</v>
      </c>
      <c r="T386">
        <v>0.1</v>
      </c>
      <c r="U386" t="str">
        <f>IF(Retail_data[[#This Row],[Sales]]&gt;30000,"High",IF(Retail_data[[#This Row],[Sales]]&gt;10000,"Medium","Low"))</f>
        <v>Medium</v>
      </c>
      <c r="V386" s="3">
        <f>Retail_data[[#This Row],[Profit]]/Retail_data[[#This Row],[Sales]]</f>
        <v>0.11446103476803554</v>
      </c>
      <c r="W386">
        <v>2471.0100000000002</v>
      </c>
      <c r="X386" t="s">
        <v>81</v>
      </c>
    </row>
    <row r="387" spans="1:24" ht="13.8" x14ac:dyDescent="0.25">
      <c r="A387" t="s">
        <v>1363</v>
      </c>
      <c r="B387">
        <f>YEAR(Retail_data[[#This Row],[Order Date]])</f>
        <v>2026</v>
      </c>
      <c r="C387" t="str">
        <f>TEXT(Retail_data[[#This Row],[Order Date]],"mmmm")</f>
        <v>October</v>
      </c>
      <c r="D387">
        <f>MONTH(Retail_data[[#This Row],[Order Date]])</f>
        <v>10</v>
      </c>
      <c r="E387" t="str">
        <f>"Q"&amp;ROUNDUP(MONTH(Retail_data[[#This Row],[Order Date]])/3,0)</f>
        <v>Q4</v>
      </c>
      <c r="F387" s="1">
        <v>46307</v>
      </c>
      <c r="G387" s="1">
        <v>46311</v>
      </c>
      <c r="H387" t="s">
        <v>1364</v>
      </c>
      <c r="I387" t="s">
        <v>1365</v>
      </c>
      <c r="J387" t="s">
        <v>44</v>
      </c>
      <c r="K387" t="s">
        <v>22</v>
      </c>
      <c r="L387" t="s">
        <v>85</v>
      </c>
      <c r="M387" t="s">
        <v>86</v>
      </c>
      <c r="N387" t="s">
        <v>87</v>
      </c>
      <c r="O387" t="s">
        <v>37</v>
      </c>
      <c r="P387" t="s">
        <v>46</v>
      </c>
      <c r="Q387" t="s">
        <v>320</v>
      </c>
      <c r="R387">
        <v>34048.949999999997</v>
      </c>
      <c r="S387">
        <v>7</v>
      </c>
      <c r="T387">
        <v>0.2</v>
      </c>
      <c r="U387" t="str">
        <f>IF(Retail_data[[#This Row],[Sales]]&gt;30000,"High",IF(Retail_data[[#This Row],[Sales]]&gt;10000,"Medium","Low"))</f>
        <v>High</v>
      </c>
      <c r="V387" s="3">
        <f>Retail_data[[#This Row],[Profit]]/Retail_data[[#This Row],[Sales]]</f>
        <v>0.18617049864973811</v>
      </c>
      <c r="W387">
        <v>6338.91</v>
      </c>
      <c r="X387" t="s">
        <v>29</v>
      </c>
    </row>
    <row r="388" spans="1:24" ht="13.8" x14ac:dyDescent="0.25">
      <c r="A388" t="s">
        <v>1366</v>
      </c>
      <c r="B388">
        <f>YEAR(Retail_data[[#This Row],[Order Date]])</f>
        <v>2026</v>
      </c>
      <c r="C388" t="str">
        <f>TEXT(Retail_data[[#This Row],[Order Date]],"mmmm")</f>
        <v>October</v>
      </c>
      <c r="D388">
        <f>MONTH(Retail_data[[#This Row],[Order Date]])</f>
        <v>10</v>
      </c>
      <c r="E388" t="str">
        <f>"Q"&amp;ROUNDUP(MONTH(Retail_data[[#This Row],[Order Date]])/3,0)</f>
        <v>Q4</v>
      </c>
      <c r="F388" s="1">
        <v>46308</v>
      </c>
      <c r="G388" s="1">
        <v>46312</v>
      </c>
      <c r="H388" t="s">
        <v>1367</v>
      </c>
      <c r="I388" t="s">
        <v>1368</v>
      </c>
      <c r="J388" t="s">
        <v>44</v>
      </c>
      <c r="K388" t="s">
        <v>22</v>
      </c>
      <c r="L388" t="s">
        <v>23</v>
      </c>
      <c r="M388" t="s">
        <v>24</v>
      </c>
      <c r="N388" t="s">
        <v>25</v>
      </c>
      <c r="O388" t="s">
        <v>26</v>
      </c>
      <c r="P388" t="s">
        <v>70</v>
      </c>
      <c r="Q388" t="s">
        <v>71</v>
      </c>
      <c r="R388">
        <v>31730.92</v>
      </c>
      <c r="S388">
        <v>7</v>
      </c>
      <c r="T388">
        <v>0</v>
      </c>
      <c r="U388" t="str">
        <f>IF(Retail_data[[#This Row],[Sales]]&gt;30000,"High",IF(Retail_data[[#This Row],[Sales]]&gt;10000,"Medium","Low"))</f>
        <v>High</v>
      </c>
      <c r="V388" s="3">
        <f>Retail_data[[#This Row],[Profit]]/Retail_data[[#This Row],[Sales]]</f>
        <v>0.26629829831596435</v>
      </c>
      <c r="W388">
        <v>8449.89</v>
      </c>
      <c r="X388" t="s">
        <v>81</v>
      </c>
    </row>
    <row r="389" spans="1:24" ht="13.8" x14ac:dyDescent="0.25">
      <c r="A389" t="s">
        <v>1369</v>
      </c>
      <c r="B389">
        <f>YEAR(Retail_data[[#This Row],[Order Date]])</f>
        <v>2026</v>
      </c>
      <c r="C389" t="str">
        <f>TEXT(Retail_data[[#This Row],[Order Date]],"mmmm")</f>
        <v>October</v>
      </c>
      <c r="D389">
        <f>MONTH(Retail_data[[#This Row],[Order Date]])</f>
        <v>10</v>
      </c>
      <c r="E389" t="str">
        <f>"Q"&amp;ROUNDUP(MONTH(Retail_data[[#This Row],[Order Date]])/3,0)</f>
        <v>Q4</v>
      </c>
      <c r="F389" s="1">
        <v>46309</v>
      </c>
      <c r="G389" s="1">
        <v>46313</v>
      </c>
      <c r="H389" t="s">
        <v>1370</v>
      </c>
      <c r="I389" t="s">
        <v>1371</v>
      </c>
      <c r="J389" t="s">
        <v>33</v>
      </c>
      <c r="K389" t="s">
        <v>22</v>
      </c>
      <c r="L389" t="s">
        <v>34</v>
      </c>
      <c r="M389" t="s">
        <v>35</v>
      </c>
      <c r="N389" t="s">
        <v>36</v>
      </c>
      <c r="O389" t="s">
        <v>26</v>
      </c>
      <c r="P389" t="s">
        <v>27</v>
      </c>
      <c r="Q389" t="s">
        <v>266</v>
      </c>
      <c r="R389">
        <v>14789.04</v>
      </c>
      <c r="S389">
        <v>8</v>
      </c>
      <c r="T389">
        <v>0.1</v>
      </c>
      <c r="U389" t="str">
        <f>IF(Retail_data[[#This Row],[Sales]]&gt;30000,"High",IF(Retail_data[[#This Row],[Sales]]&gt;10000,"Medium","Low"))</f>
        <v>Medium</v>
      </c>
      <c r="V389" s="3">
        <f>Retail_data[[#This Row],[Profit]]/Retail_data[[#This Row],[Sales]]</f>
        <v>0.25164716573895263</v>
      </c>
      <c r="W389">
        <v>3721.62</v>
      </c>
      <c r="X389" t="s">
        <v>81</v>
      </c>
    </row>
    <row r="390" spans="1:24" ht="13.8" x14ac:dyDescent="0.25">
      <c r="A390" t="s">
        <v>1372</v>
      </c>
      <c r="B390">
        <f>YEAR(Retail_data[[#This Row],[Order Date]])</f>
        <v>2026</v>
      </c>
      <c r="C390" t="str">
        <f>TEXT(Retail_data[[#This Row],[Order Date]],"mmmm")</f>
        <v>October</v>
      </c>
      <c r="D390">
        <f>MONTH(Retail_data[[#This Row],[Order Date]])</f>
        <v>10</v>
      </c>
      <c r="E390" t="str">
        <f>"Q"&amp;ROUNDUP(MONTH(Retail_data[[#This Row],[Order Date]])/3,0)</f>
        <v>Q4</v>
      </c>
      <c r="F390" s="1">
        <v>46310</v>
      </c>
      <c r="G390" s="1">
        <v>46314</v>
      </c>
      <c r="H390" t="s">
        <v>1373</v>
      </c>
      <c r="I390" t="s">
        <v>1374</v>
      </c>
      <c r="J390" t="s">
        <v>33</v>
      </c>
      <c r="K390" t="s">
        <v>22</v>
      </c>
      <c r="L390" t="s">
        <v>45</v>
      </c>
      <c r="M390" t="s">
        <v>45</v>
      </c>
      <c r="N390" t="s">
        <v>25</v>
      </c>
      <c r="O390" t="s">
        <v>57</v>
      </c>
      <c r="P390" t="s">
        <v>58</v>
      </c>
      <c r="Q390" t="s">
        <v>1282</v>
      </c>
      <c r="R390">
        <v>44830.82</v>
      </c>
      <c r="S390">
        <v>3</v>
      </c>
      <c r="T390">
        <v>0.3</v>
      </c>
      <c r="U390" t="str">
        <f>IF(Retail_data[[#This Row],[Sales]]&gt;30000,"High",IF(Retail_data[[#This Row],[Sales]]&gt;10000,"Medium","Low"))</f>
        <v>High</v>
      </c>
      <c r="V390" s="3">
        <f>Retail_data[[#This Row],[Profit]]/Retail_data[[#This Row],[Sales]]</f>
        <v>4.6331965375605438E-2</v>
      </c>
      <c r="W390">
        <v>2077.1</v>
      </c>
      <c r="X390" t="s">
        <v>81</v>
      </c>
    </row>
    <row r="391" spans="1:24" ht="13.8" x14ac:dyDescent="0.25">
      <c r="A391" t="s">
        <v>1375</v>
      </c>
      <c r="B391">
        <f>YEAR(Retail_data[[#This Row],[Order Date]])</f>
        <v>2026</v>
      </c>
      <c r="C391" t="str">
        <f>TEXT(Retail_data[[#This Row],[Order Date]],"mmmm")</f>
        <v>October</v>
      </c>
      <c r="D391">
        <f>MONTH(Retail_data[[#This Row],[Order Date]])</f>
        <v>10</v>
      </c>
      <c r="E391" t="str">
        <f>"Q"&amp;ROUNDUP(MONTH(Retail_data[[#This Row],[Order Date]])/3,0)</f>
        <v>Q4</v>
      </c>
      <c r="F391" s="1">
        <v>46311</v>
      </c>
      <c r="G391" s="1">
        <v>46315</v>
      </c>
      <c r="H391" t="s">
        <v>1376</v>
      </c>
      <c r="I391" t="s">
        <v>1377</v>
      </c>
      <c r="J391" t="s">
        <v>21</v>
      </c>
      <c r="K391" t="s">
        <v>22</v>
      </c>
      <c r="L391" t="s">
        <v>85</v>
      </c>
      <c r="M391" t="s">
        <v>86</v>
      </c>
      <c r="N391" t="s">
        <v>87</v>
      </c>
      <c r="O391" t="s">
        <v>57</v>
      </c>
      <c r="P391" t="s">
        <v>58</v>
      </c>
      <c r="Q391" t="s">
        <v>59</v>
      </c>
      <c r="R391">
        <v>26822.720000000001</v>
      </c>
      <c r="S391">
        <v>7</v>
      </c>
      <c r="T391">
        <v>0</v>
      </c>
      <c r="U391" t="str">
        <f>IF(Retail_data[[#This Row],[Sales]]&gt;30000,"High",IF(Retail_data[[#This Row],[Sales]]&gt;10000,"Medium","Low"))</f>
        <v>Medium</v>
      </c>
      <c r="V391" s="3">
        <f>Retail_data[[#This Row],[Profit]]/Retail_data[[#This Row],[Sales]]</f>
        <v>0.12379840672385202</v>
      </c>
      <c r="W391">
        <v>3320.61</v>
      </c>
      <c r="X391" t="s">
        <v>29</v>
      </c>
    </row>
    <row r="392" spans="1:24" ht="13.8" x14ac:dyDescent="0.25">
      <c r="A392" t="s">
        <v>1378</v>
      </c>
      <c r="B392">
        <f>YEAR(Retail_data[[#This Row],[Order Date]])</f>
        <v>2026</v>
      </c>
      <c r="C392" t="str">
        <f>TEXT(Retail_data[[#This Row],[Order Date]],"mmmm")</f>
        <v>October</v>
      </c>
      <c r="D392">
        <f>MONTH(Retail_data[[#This Row],[Order Date]])</f>
        <v>10</v>
      </c>
      <c r="E392" t="str">
        <f>"Q"&amp;ROUNDUP(MONTH(Retail_data[[#This Row],[Order Date]])/3,0)</f>
        <v>Q4</v>
      </c>
      <c r="F392" s="1">
        <v>46312</v>
      </c>
      <c r="G392" s="1">
        <v>46316</v>
      </c>
      <c r="H392" t="s">
        <v>1379</v>
      </c>
      <c r="I392" t="s">
        <v>1380</v>
      </c>
      <c r="J392" t="s">
        <v>44</v>
      </c>
      <c r="K392" t="s">
        <v>22</v>
      </c>
      <c r="L392" t="s">
        <v>45</v>
      </c>
      <c r="M392" t="s">
        <v>45</v>
      </c>
      <c r="N392" t="s">
        <v>25</v>
      </c>
      <c r="O392" t="s">
        <v>26</v>
      </c>
      <c r="P392" t="s">
        <v>27</v>
      </c>
      <c r="Q392" t="s">
        <v>889</v>
      </c>
      <c r="R392">
        <v>14485.53</v>
      </c>
      <c r="S392">
        <v>4</v>
      </c>
      <c r="T392">
        <v>0.1</v>
      </c>
      <c r="U392" t="str">
        <f>IF(Retail_data[[#This Row],[Sales]]&gt;30000,"High",IF(Retail_data[[#This Row],[Sales]]&gt;10000,"Medium","Low"))</f>
        <v>Medium</v>
      </c>
      <c r="V392" s="3">
        <f>Retail_data[[#This Row],[Profit]]/Retail_data[[#This Row],[Sales]]</f>
        <v>0.18790751874456785</v>
      </c>
      <c r="W392">
        <v>2721.94</v>
      </c>
      <c r="X392" t="s">
        <v>29</v>
      </c>
    </row>
    <row r="393" spans="1:24" ht="13.8" x14ac:dyDescent="0.25">
      <c r="A393" t="s">
        <v>1381</v>
      </c>
      <c r="B393">
        <f>YEAR(Retail_data[[#This Row],[Order Date]])</f>
        <v>2026</v>
      </c>
      <c r="C393" t="str">
        <f>TEXT(Retail_data[[#This Row],[Order Date]],"mmmm")</f>
        <v>October</v>
      </c>
      <c r="D393">
        <f>MONTH(Retail_data[[#This Row],[Order Date]])</f>
        <v>10</v>
      </c>
      <c r="E393" t="str">
        <f>"Q"&amp;ROUNDUP(MONTH(Retail_data[[#This Row],[Order Date]])/3,0)</f>
        <v>Q4</v>
      </c>
      <c r="F393" s="1">
        <v>46313</v>
      </c>
      <c r="G393" s="1">
        <v>46317</v>
      </c>
      <c r="H393" t="s">
        <v>1382</v>
      </c>
      <c r="I393" t="s">
        <v>1383</v>
      </c>
      <c r="J393" t="s">
        <v>33</v>
      </c>
      <c r="K393" t="s">
        <v>22</v>
      </c>
      <c r="L393" t="s">
        <v>67</v>
      </c>
      <c r="M393" t="s">
        <v>68</v>
      </c>
      <c r="N393" t="s">
        <v>69</v>
      </c>
      <c r="O393" t="s">
        <v>37</v>
      </c>
      <c r="P393" t="s">
        <v>46</v>
      </c>
      <c r="Q393" t="s">
        <v>849</v>
      </c>
      <c r="R393">
        <v>35905.46</v>
      </c>
      <c r="S393">
        <v>7</v>
      </c>
      <c r="T393">
        <v>0.3</v>
      </c>
      <c r="U393" t="str">
        <f>IF(Retail_data[[#This Row],[Sales]]&gt;30000,"High",IF(Retail_data[[#This Row],[Sales]]&gt;10000,"Medium","Low"))</f>
        <v>High</v>
      </c>
      <c r="V393" s="3">
        <f>Retail_data[[#This Row],[Profit]]/Retail_data[[#This Row],[Sales]]</f>
        <v>0.13196405226391753</v>
      </c>
      <c r="W393">
        <v>4738.2299999999996</v>
      </c>
      <c r="X393" t="s">
        <v>48</v>
      </c>
    </row>
    <row r="394" spans="1:24" ht="13.8" x14ac:dyDescent="0.25">
      <c r="A394" t="s">
        <v>1384</v>
      </c>
      <c r="B394">
        <f>YEAR(Retail_data[[#This Row],[Order Date]])</f>
        <v>2026</v>
      </c>
      <c r="C394" t="str">
        <f>TEXT(Retail_data[[#This Row],[Order Date]],"mmmm")</f>
        <v>October</v>
      </c>
      <c r="D394">
        <f>MONTH(Retail_data[[#This Row],[Order Date]])</f>
        <v>10</v>
      </c>
      <c r="E394" t="str">
        <f>"Q"&amp;ROUNDUP(MONTH(Retail_data[[#This Row],[Order Date]])/3,0)</f>
        <v>Q4</v>
      </c>
      <c r="F394" s="1">
        <v>46314</v>
      </c>
      <c r="G394" s="1">
        <v>46318</v>
      </c>
      <c r="H394" t="s">
        <v>1385</v>
      </c>
      <c r="I394" t="s">
        <v>1386</v>
      </c>
      <c r="J394" t="s">
        <v>44</v>
      </c>
      <c r="K394" t="s">
        <v>22</v>
      </c>
      <c r="L394" t="s">
        <v>45</v>
      </c>
      <c r="M394" t="s">
        <v>45</v>
      </c>
      <c r="N394" t="s">
        <v>25</v>
      </c>
      <c r="O394" t="s">
        <v>57</v>
      </c>
      <c r="P394" t="s">
        <v>58</v>
      </c>
      <c r="Q394" t="s">
        <v>549</v>
      </c>
      <c r="R394">
        <v>43720.37</v>
      </c>
      <c r="S394">
        <v>5</v>
      </c>
      <c r="T394">
        <v>0.3</v>
      </c>
      <c r="U394" t="str">
        <f>IF(Retail_data[[#This Row],[Sales]]&gt;30000,"High",IF(Retail_data[[#This Row],[Sales]]&gt;10000,"Medium","Low"))</f>
        <v>High</v>
      </c>
      <c r="V394" s="3">
        <f>Retail_data[[#This Row],[Profit]]/Retail_data[[#This Row],[Sales]]</f>
        <v>4.6966665652646575E-3</v>
      </c>
      <c r="W394">
        <v>205.34</v>
      </c>
      <c r="X394" t="s">
        <v>48</v>
      </c>
    </row>
    <row r="395" spans="1:24" ht="13.8" x14ac:dyDescent="0.25">
      <c r="A395" t="s">
        <v>1387</v>
      </c>
      <c r="B395">
        <f>YEAR(Retail_data[[#This Row],[Order Date]])</f>
        <v>2026</v>
      </c>
      <c r="C395" t="str">
        <f>TEXT(Retail_data[[#This Row],[Order Date]],"mmmm")</f>
        <v>October</v>
      </c>
      <c r="D395">
        <f>MONTH(Retail_data[[#This Row],[Order Date]])</f>
        <v>10</v>
      </c>
      <c r="E395" t="str">
        <f>"Q"&amp;ROUNDUP(MONTH(Retail_data[[#This Row],[Order Date]])/3,0)</f>
        <v>Q4</v>
      </c>
      <c r="F395" s="1">
        <v>46315</v>
      </c>
      <c r="G395" s="1">
        <v>46319</v>
      </c>
      <c r="H395" t="s">
        <v>1388</v>
      </c>
      <c r="I395" t="s">
        <v>1389</v>
      </c>
      <c r="J395" t="s">
        <v>44</v>
      </c>
      <c r="K395" t="s">
        <v>22</v>
      </c>
      <c r="L395" t="s">
        <v>45</v>
      </c>
      <c r="M395" t="s">
        <v>45</v>
      </c>
      <c r="N395" t="s">
        <v>25</v>
      </c>
      <c r="O395" t="s">
        <v>57</v>
      </c>
      <c r="P395" t="s">
        <v>58</v>
      </c>
      <c r="Q395" t="s">
        <v>731</v>
      </c>
      <c r="R395">
        <v>3326.42</v>
      </c>
      <c r="S395">
        <v>5</v>
      </c>
      <c r="T395">
        <v>0.2</v>
      </c>
      <c r="U395" t="str">
        <f>IF(Retail_data[[#This Row],[Sales]]&gt;30000,"High",IF(Retail_data[[#This Row],[Sales]]&gt;10000,"Medium","Low"))</f>
        <v>Low</v>
      </c>
      <c r="V395" s="3">
        <f>Retail_data[[#This Row],[Profit]]/Retail_data[[#This Row],[Sales]]</f>
        <v>0.18242134186302389</v>
      </c>
      <c r="W395">
        <v>606.80999999999995</v>
      </c>
      <c r="X395" t="s">
        <v>40</v>
      </c>
    </row>
    <row r="396" spans="1:24" ht="13.8" x14ac:dyDescent="0.25">
      <c r="A396" t="s">
        <v>1390</v>
      </c>
      <c r="B396">
        <f>YEAR(Retail_data[[#This Row],[Order Date]])</f>
        <v>2026</v>
      </c>
      <c r="C396" t="str">
        <f>TEXT(Retail_data[[#This Row],[Order Date]],"mmmm")</f>
        <v>October</v>
      </c>
      <c r="D396">
        <f>MONTH(Retail_data[[#This Row],[Order Date]])</f>
        <v>10</v>
      </c>
      <c r="E396" t="str">
        <f>"Q"&amp;ROUNDUP(MONTH(Retail_data[[#This Row],[Order Date]])/3,0)</f>
        <v>Q4</v>
      </c>
      <c r="F396" s="1">
        <v>46316</v>
      </c>
      <c r="G396" s="1">
        <v>46320</v>
      </c>
      <c r="H396" t="s">
        <v>1391</v>
      </c>
      <c r="I396" t="s">
        <v>1392</v>
      </c>
      <c r="J396" t="s">
        <v>21</v>
      </c>
      <c r="K396" t="s">
        <v>22</v>
      </c>
      <c r="L396" t="s">
        <v>23</v>
      </c>
      <c r="M396" t="s">
        <v>24</v>
      </c>
      <c r="N396" t="s">
        <v>25</v>
      </c>
      <c r="O396" t="s">
        <v>37</v>
      </c>
      <c r="P396" t="s">
        <v>38</v>
      </c>
      <c r="Q396" t="s">
        <v>460</v>
      </c>
      <c r="R396">
        <v>18307.2</v>
      </c>
      <c r="S396">
        <v>2</v>
      </c>
      <c r="T396">
        <v>0.2</v>
      </c>
      <c r="U396" t="str">
        <f>IF(Retail_data[[#This Row],[Sales]]&gt;30000,"High",IF(Retail_data[[#This Row],[Sales]]&gt;10000,"Medium","Low"))</f>
        <v>Medium</v>
      </c>
      <c r="V396" s="3">
        <f>Retail_data[[#This Row],[Profit]]/Retail_data[[#This Row],[Sales]]</f>
        <v>0.14946960758608635</v>
      </c>
      <c r="W396">
        <v>2736.37</v>
      </c>
      <c r="X396" t="s">
        <v>40</v>
      </c>
    </row>
    <row r="397" spans="1:24" ht="13.8" x14ac:dyDescent="0.25">
      <c r="A397" t="s">
        <v>1393</v>
      </c>
      <c r="B397">
        <f>YEAR(Retail_data[[#This Row],[Order Date]])</f>
        <v>2026</v>
      </c>
      <c r="C397" t="str">
        <f>TEXT(Retail_data[[#This Row],[Order Date]],"mmmm")</f>
        <v>October</v>
      </c>
      <c r="D397">
        <f>MONTH(Retail_data[[#This Row],[Order Date]])</f>
        <v>10</v>
      </c>
      <c r="E397" t="str">
        <f>"Q"&amp;ROUNDUP(MONTH(Retail_data[[#This Row],[Order Date]])/3,0)</f>
        <v>Q4</v>
      </c>
      <c r="F397" s="1">
        <v>46317</v>
      </c>
      <c r="G397" s="1">
        <v>46321</v>
      </c>
      <c r="H397" t="s">
        <v>1394</v>
      </c>
      <c r="I397" t="s">
        <v>1395</v>
      </c>
      <c r="J397" t="s">
        <v>33</v>
      </c>
      <c r="K397" t="s">
        <v>22</v>
      </c>
      <c r="L397" t="s">
        <v>23</v>
      </c>
      <c r="M397" t="s">
        <v>24</v>
      </c>
      <c r="N397" t="s">
        <v>25</v>
      </c>
      <c r="O397" t="s">
        <v>26</v>
      </c>
      <c r="P397" t="s">
        <v>92</v>
      </c>
      <c r="Q397" t="s">
        <v>503</v>
      </c>
      <c r="R397">
        <v>1197.8599999999999</v>
      </c>
      <c r="S397">
        <v>1</v>
      </c>
      <c r="T397">
        <v>0.1</v>
      </c>
      <c r="U397" t="str">
        <f>IF(Retail_data[[#This Row],[Sales]]&gt;30000,"High",IF(Retail_data[[#This Row],[Sales]]&gt;10000,"Medium","Low"))</f>
        <v>Low</v>
      </c>
      <c r="V397" s="3">
        <f>Retail_data[[#This Row],[Profit]]/Retail_data[[#This Row],[Sales]]</f>
        <v>3.3451321523383371E-2</v>
      </c>
      <c r="W397">
        <v>40.07</v>
      </c>
      <c r="X397" t="s">
        <v>40</v>
      </c>
    </row>
    <row r="398" spans="1:24" ht="13.8" x14ac:dyDescent="0.25">
      <c r="A398" t="s">
        <v>1396</v>
      </c>
      <c r="B398">
        <f>YEAR(Retail_data[[#This Row],[Order Date]])</f>
        <v>2026</v>
      </c>
      <c r="C398" t="str">
        <f>TEXT(Retail_data[[#This Row],[Order Date]],"mmmm")</f>
        <v>October</v>
      </c>
      <c r="D398">
        <f>MONTH(Retail_data[[#This Row],[Order Date]])</f>
        <v>10</v>
      </c>
      <c r="E398" t="str">
        <f>"Q"&amp;ROUNDUP(MONTH(Retail_data[[#This Row],[Order Date]])/3,0)</f>
        <v>Q4</v>
      </c>
      <c r="F398" s="1">
        <v>46318</v>
      </c>
      <c r="G398" s="1">
        <v>46322</v>
      </c>
      <c r="H398" t="s">
        <v>1397</v>
      </c>
      <c r="I398" t="s">
        <v>1398</v>
      </c>
      <c r="J398" t="s">
        <v>21</v>
      </c>
      <c r="K398" t="s">
        <v>22</v>
      </c>
      <c r="L398" t="s">
        <v>85</v>
      </c>
      <c r="M398" t="s">
        <v>86</v>
      </c>
      <c r="N398" t="s">
        <v>87</v>
      </c>
      <c r="O398" t="s">
        <v>37</v>
      </c>
      <c r="P398" t="s">
        <v>46</v>
      </c>
      <c r="Q398" t="s">
        <v>426</v>
      </c>
      <c r="R398">
        <v>42761.59</v>
      </c>
      <c r="S398">
        <v>1</v>
      </c>
      <c r="T398">
        <v>0.1</v>
      </c>
      <c r="U398" t="str">
        <f>IF(Retail_data[[#This Row],[Sales]]&gt;30000,"High",IF(Retail_data[[#This Row],[Sales]]&gt;10000,"Medium","Low"))</f>
        <v>High</v>
      </c>
      <c r="V398" s="3">
        <f>Retail_data[[#This Row],[Profit]]/Retail_data[[#This Row],[Sales]]</f>
        <v>2.9029556665222223E-2</v>
      </c>
      <c r="W398">
        <v>1241.3499999999999</v>
      </c>
      <c r="X398" t="s">
        <v>29</v>
      </c>
    </row>
    <row r="399" spans="1:24" ht="13.8" x14ac:dyDescent="0.25">
      <c r="A399" t="s">
        <v>1399</v>
      </c>
      <c r="B399">
        <f>YEAR(Retail_data[[#This Row],[Order Date]])</f>
        <v>2026</v>
      </c>
      <c r="C399" t="str">
        <f>TEXT(Retail_data[[#This Row],[Order Date]],"mmmm")</f>
        <v>October</v>
      </c>
      <c r="D399">
        <f>MONTH(Retail_data[[#This Row],[Order Date]])</f>
        <v>10</v>
      </c>
      <c r="E399" t="str">
        <f>"Q"&amp;ROUNDUP(MONTH(Retail_data[[#This Row],[Order Date]])/3,0)</f>
        <v>Q4</v>
      </c>
      <c r="F399" s="1">
        <v>46319</v>
      </c>
      <c r="G399" s="1">
        <v>46323</v>
      </c>
      <c r="H399" t="s">
        <v>1400</v>
      </c>
      <c r="I399" t="s">
        <v>1401</v>
      </c>
      <c r="J399" t="s">
        <v>44</v>
      </c>
      <c r="K399" t="s">
        <v>22</v>
      </c>
      <c r="L399" t="s">
        <v>67</v>
      </c>
      <c r="M399" t="s">
        <v>68</v>
      </c>
      <c r="N399" t="s">
        <v>69</v>
      </c>
      <c r="O399" t="s">
        <v>37</v>
      </c>
      <c r="P399" t="s">
        <v>52</v>
      </c>
      <c r="Q399" t="s">
        <v>292</v>
      </c>
      <c r="R399">
        <v>49993.73</v>
      </c>
      <c r="S399">
        <v>5</v>
      </c>
      <c r="T399">
        <v>0.2</v>
      </c>
      <c r="U399" t="str">
        <f>IF(Retail_data[[#This Row],[Sales]]&gt;30000,"High",IF(Retail_data[[#This Row],[Sales]]&gt;10000,"Medium","Low"))</f>
        <v>High</v>
      </c>
      <c r="V399" s="3">
        <f>Retail_data[[#This Row],[Profit]]/Retail_data[[#This Row],[Sales]]</f>
        <v>2.7873295311232026E-2</v>
      </c>
      <c r="W399">
        <v>1393.49</v>
      </c>
      <c r="X399" t="s">
        <v>48</v>
      </c>
    </row>
    <row r="400" spans="1:24" ht="13.8" x14ac:dyDescent="0.25">
      <c r="A400" t="s">
        <v>1402</v>
      </c>
      <c r="B400">
        <f>YEAR(Retail_data[[#This Row],[Order Date]])</f>
        <v>2026</v>
      </c>
      <c r="C400" t="str">
        <f>TEXT(Retail_data[[#This Row],[Order Date]],"mmmm")</f>
        <v>October</v>
      </c>
      <c r="D400">
        <f>MONTH(Retail_data[[#This Row],[Order Date]])</f>
        <v>10</v>
      </c>
      <c r="E400" t="str">
        <f>"Q"&amp;ROUNDUP(MONTH(Retail_data[[#This Row],[Order Date]])/3,0)</f>
        <v>Q4</v>
      </c>
      <c r="F400" s="1">
        <v>46320</v>
      </c>
      <c r="G400" s="1">
        <v>46324</v>
      </c>
      <c r="H400" t="s">
        <v>1403</v>
      </c>
      <c r="I400" t="s">
        <v>1404</v>
      </c>
      <c r="J400" t="s">
        <v>33</v>
      </c>
      <c r="K400" t="s">
        <v>22</v>
      </c>
      <c r="L400" t="s">
        <v>67</v>
      </c>
      <c r="M400" t="s">
        <v>68</v>
      </c>
      <c r="N400" t="s">
        <v>69</v>
      </c>
      <c r="O400" t="s">
        <v>57</v>
      </c>
      <c r="P400" t="s">
        <v>149</v>
      </c>
      <c r="Q400" t="s">
        <v>774</v>
      </c>
      <c r="R400">
        <v>41463.81</v>
      </c>
      <c r="S400">
        <v>1</v>
      </c>
      <c r="T400">
        <v>0.3</v>
      </c>
      <c r="U400" t="str">
        <f>IF(Retail_data[[#This Row],[Sales]]&gt;30000,"High",IF(Retail_data[[#This Row],[Sales]]&gt;10000,"Medium","Low"))</f>
        <v>High</v>
      </c>
      <c r="V400" s="3">
        <f>Retail_data[[#This Row],[Profit]]/Retail_data[[#This Row],[Sales]]</f>
        <v>0.11194171495576503</v>
      </c>
      <c r="W400">
        <v>4641.53</v>
      </c>
      <c r="X400" t="s">
        <v>81</v>
      </c>
    </row>
    <row r="401" spans="1:24" ht="13.8" x14ac:dyDescent="0.25">
      <c r="A401" t="s">
        <v>1405</v>
      </c>
      <c r="B401">
        <f>YEAR(Retail_data[[#This Row],[Order Date]])</f>
        <v>2026</v>
      </c>
      <c r="C401" t="str">
        <f>TEXT(Retail_data[[#This Row],[Order Date]],"mmmm")</f>
        <v>October</v>
      </c>
      <c r="D401">
        <f>MONTH(Retail_data[[#This Row],[Order Date]])</f>
        <v>10</v>
      </c>
      <c r="E401" t="str">
        <f>"Q"&amp;ROUNDUP(MONTH(Retail_data[[#This Row],[Order Date]])/3,0)</f>
        <v>Q4</v>
      </c>
      <c r="F401" s="1">
        <v>46321</v>
      </c>
      <c r="G401" s="1">
        <v>46325</v>
      </c>
      <c r="H401" t="s">
        <v>1406</v>
      </c>
      <c r="I401" t="s">
        <v>1407</v>
      </c>
      <c r="J401" t="s">
        <v>21</v>
      </c>
      <c r="K401" t="s">
        <v>22</v>
      </c>
      <c r="L401" t="s">
        <v>34</v>
      </c>
      <c r="M401" t="s">
        <v>35</v>
      </c>
      <c r="N401" t="s">
        <v>36</v>
      </c>
      <c r="O401" t="s">
        <v>37</v>
      </c>
      <c r="P401" t="s">
        <v>38</v>
      </c>
      <c r="Q401" t="s">
        <v>695</v>
      </c>
      <c r="R401">
        <v>10090.92</v>
      </c>
      <c r="S401">
        <v>2</v>
      </c>
      <c r="T401">
        <v>0</v>
      </c>
      <c r="U401" t="str">
        <f>IF(Retail_data[[#This Row],[Sales]]&gt;30000,"High",IF(Retail_data[[#This Row],[Sales]]&gt;10000,"Medium","Low"))</f>
        <v>Medium</v>
      </c>
      <c r="V401" s="3">
        <f>Retail_data[[#This Row],[Profit]]/Retail_data[[#This Row],[Sales]]</f>
        <v>0.15175821431544401</v>
      </c>
      <c r="W401">
        <v>1531.38</v>
      </c>
      <c r="X401" t="s">
        <v>29</v>
      </c>
    </row>
    <row r="402" spans="1:24" ht="13.8" x14ac:dyDescent="0.25">
      <c r="A402" t="s">
        <v>1408</v>
      </c>
      <c r="B402">
        <f>YEAR(Retail_data[[#This Row],[Order Date]])</f>
        <v>2026</v>
      </c>
      <c r="C402" t="str">
        <f>TEXT(Retail_data[[#This Row],[Order Date]],"mmmm")</f>
        <v>October</v>
      </c>
      <c r="D402">
        <f>MONTH(Retail_data[[#This Row],[Order Date]])</f>
        <v>10</v>
      </c>
      <c r="E402" t="str">
        <f>"Q"&amp;ROUNDUP(MONTH(Retail_data[[#This Row],[Order Date]])/3,0)</f>
        <v>Q4</v>
      </c>
      <c r="F402" s="1">
        <v>46322</v>
      </c>
      <c r="G402" s="1">
        <v>46326</v>
      </c>
      <c r="H402" t="s">
        <v>1409</v>
      </c>
      <c r="I402" t="s">
        <v>1410</v>
      </c>
      <c r="J402" t="s">
        <v>33</v>
      </c>
      <c r="K402" t="s">
        <v>22</v>
      </c>
      <c r="L402" t="s">
        <v>85</v>
      </c>
      <c r="M402" t="s">
        <v>86</v>
      </c>
      <c r="N402" t="s">
        <v>87</v>
      </c>
      <c r="O402" t="s">
        <v>26</v>
      </c>
      <c r="P402" t="s">
        <v>70</v>
      </c>
      <c r="Q402" t="s">
        <v>1411</v>
      </c>
      <c r="R402">
        <v>23898.67</v>
      </c>
      <c r="S402">
        <v>8</v>
      </c>
      <c r="T402">
        <v>0</v>
      </c>
      <c r="U402" t="str">
        <f>IF(Retail_data[[#This Row],[Sales]]&gt;30000,"High",IF(Retail_data[[#This Row],[Sales]]&gt;10000,"Medium","Low"))</f>
        <v>Medium</v>
      </c>
      <c r="V402" s="3">
        <f>Retail_data[[#This Row],[Profit]]/Retail_data[[#This Row],[Sales]]</f>
        <v>0.13762732403100258</v>
      </c>
      <c r="W402">
        <v>3289.11</v>
      </c>
      <c r="X402" t="s">
        <v>81</v>
      </c>
    </row>
    <row r="403" spans="1:24" ht="13.8" x14ac:dyDescent="0.25">
      <c r="A403" t="s">
        <v>1412</v>
      </c>
      <c r="B403">
        <f>YEAR(Retail_data[[#This Row],[Order Date]])</f>
        <v>2026</v>
      </c>
      <c r="C403" t="str">
        <f>TEXT(Retail_data[[#This Row],[Order Date]],"mmmm")</f>
        <v>October</v>
      </c>
      <c r="D403">
        <f>MONTH(Retail_data[[#This Row],[Order Date]])</f>
        <v>10</v>
      </c>
      <c r="E403" t="str">
        <f>"Q"&amp;ROUNDUP(MONTH(Retail_data[[#This Row],[Order Date]])/3,0)</f>
        <v>Q4</v>
      </c>
      <c r="F403" s="1">
        <v>46323</v>
      </c>
      <c r="G403" s="1">
        <v>46327</v>
      </c>
      <c r="H403" t="s">
        <v>1413</v>
      </c>
      <c r="I403" t="s">
        <v>1414</v>
      </c>
      <c r="J403" t="s">
        <v>44</v>
      </c>
      <c r="K403" t="s">
        <v>22</v>
      </c>
      <c r="L403" t="s">
        <v>34</v>
      </c>
      <c r="M403" t="s">
        <v>35</v>
      </c>
      <c r="N403" t="s">
        <v>36</v>
      </c>
      <c r="O403" t="s">
        <v>37</v>
      </c>
      <c r="P403" t="s">
        <v>52</v>
      </c>
      <c r="Q403" t="s">
        <v>53</v>
      </c>
      <c r="R403">
        <v>32356.58</v>
      </c>
      <c r="S403">
        <v>6</v>
      </c>
      <c r="T403">
        <v>0.3</v>
      </c>
      <c r="U403" t="str">
        <f>IF(Retail_data[[#This Row],[Sales]]&gt;30000,"High",IF(Retail_data[[#This Row],[Sales]]&gt;10000,"Medium","Low"))</f>
        <v>High</v>
      </c>
      <c r="V403" s="3">
        <f>Retail_data[[#This Row],[Profit]]/Retail_data[[#This Row],[Sales]]</f>
        <v>-5.4034140814634916E-2</v>
      </c>
      <c r="W403">
        <v>-1748.36</v>
      </c>
      <c r="X403" t="s">
        <v>40</v>
      </c>
    </row>
    <row r="404" spans="1:24" ht="13.8" x14ac:dyDescent="0.25">
      <c r="A404" t="s">
        <v>1415</v>
      </c>
      <c r="B404">
        <f>YEAR(Retail_data[[#This Row],[Order Date]])</f>
        <v>2026</v>
      </c>
      <c r="C404" t="str">
        <f>TEXT(Retail_data[[#This Row],[Order Date]],"mmmm")</f>
        <v>October</v>
      </c>
      <c r="D404">
        <f>MONTH(Retail_data[[#This Row],[Order Date]])</f>
        <v>10</v>
      </c>
      <c r="E404" t="str">
        <f>"Q"&amp;ROUNDUP(MONTH(Retail_data[[#This Row],[Order Date]])/3,0)</f>
        <v>Q4</v>
      </c>
      <c r="F404" s="1">
        <v>46324</v>
      </c>
      <c r="G404" s="1">
        <v>46328</v>
      </c>
      <c r="H404" t="s">
        <v>1416</v>
      </c>
      <c r="I404" t="s">
        <v>1417</v>
      </c>
      <c r="J404" t="s">
        <v>44</v>
      </c>
      <c r="K404" t="s">
        <v>22</v>
      </c>
      <c r="L404" t="s">
        <v>45</v>
      </c>
      <c r="M404" t="s">
        <v>45</v>
      </c>
      <c r="N404" t="s">
        <v>25</v>
      </c>
      <c r="O404" t="s">
        <v>26</v>
      </c>
      <c r="P404" t="s">
        <v>70</v>
      </c>
      <c r="Q404" t="s">
        <v>1418</v>
      </c>
      <c r="R404">
        <v>44026</v>
      </c>
      <c r="S404">
        <v>5</v>
      </c>
      <c r="T404">
        <v>0.1</v>
      </c>
      <c r="U404" t="str">
        <f>IF(Retail_data[[#This Row],[Sales]]&gt;30000,"High",IF(Retail_data[[#This Row],[Sales]]&gt;10000,"Medium","Low"))</f>
        <v>High</v>
      </c>
      <c r="V404" s="3">
        <f>Retail_data[[#This Row],[Profit]]/Retail_data[[#This Row],[Sales]]</f>
        <v>7.7868986507972568E-2</v>
      </c>
      <c r="W404">
        <v>3428.26</v>
      </c>
      <c r="X404" t="s">
        <v>48</v>
      </c>
    </row>
    <row r="405" spans="1:24" ht="13.8" x14ac:dyDescent="0.25">
      <c r="A405" t="s">
        <v>1419</v>
      </c>
      <c r="B405">
        <f>YEAR(Retail_data[[#This Row],[Order Date]])</f>
        <v>2026</v>
      </c>
      <c r="C405" t="str">
        <f>TEXT(Retail_data[[#This Row],[Order Date]],"mmmm")</f>
        <v>October</v>
      </c>
      <c r="D405">
        <f>MONTH(Retail_data[[#This Row],[Order Date]])</f>
        <v>10</v>
      </c>
      <c r="E405" t="str">
        <f>"Q"&amp;ROUNDUP(MONTH(Retail_data[[#This Row],[Order Date]])/3,0)</f>
        <v>Q4</v>
      </c>
      <c r="F405" s="1">
        <v>46325</v>
      </c>
      <c r="G405" s="1">
        <v>46329</v>
      </c>
      <c r="H405" t="s">
        <v>1420</v>
      </c>
      <c r="I405" t="s">
        <v>1421</v>
      </c>
      <c r="J405" t="s">
        <v>44</v>
      </c>
      <c r="K405" t="s">
        <v>22</v>
      </c>
      <c r="L405" t="s">
        <v>23</v>
      </c>
      <c r="M405" t="s">
        <v>24</v>
      </c>
      <c r="N405" t="s">
        <v>25</v>
      </c>
      <c r="O405" t="s">
        <v>37</v>
      </c>
      <c r="P405" t="s">
        <v>38</v>
      </c>
      <c r="Q405" t="s">
        <v>411</v>
      </c>
      <c r="R405">
        <v>25659.72</v>
      </c>
      <c r="S405">
        <v>4</v>
      </c>
      <c r="T405">
        <v>0.2</v>
      </c>
      <c r="U405" t="str">
        <f>IF(Retail_data[[#This Row],[Sales]]&gt;30000,"High",IF(Retail_data[[#This Row],[Sales]]&gt;10000,"Medium","Low"))</f>
        <v>Medium</v>
      </c>
      <c r="V405" s="3">
        <f>Retail_data[[#This Row],[Profit]]/Retail_data[[#This Row],[Sales]]</f>
        <v>0.18049963132879079</v>
      </c>
      <c r="W405">
        <v>4631.57</v>
      </c>
      <c r="X405" t="s">
        <v>48</v>
      </c>
    </row>
    <row r="406" spans="1:24" ht="13.8" x14ac:dyDescent="0.25">
      <c r="A406" t="s">
        <v>1422</v>
      </c>
      <c r="B406">
        <f>YEAR(Retail_data[[#This Row],[Order Date]])</f>
        <v>2026</v>
      </c>
      <c r="C406" t="str">
        <f>TEXT(Retail_data[[#This Row],[Order Date]],"mmmm")</f>
        <v>October</v>
      </c>
      <c r="D406">
        <f>MONTH(Retail_data[[#This Row],[Order Date]])</f>
        <v>10</v>
      </c>
      <c r="E406" t="str">
        <f>"Q"&amp;ROUNDUP(MONTH(Retail_data[[#This Row],[Order Date]])/3,0)</f>
        <v>Q4</v>
      </c>
      <c r="F406" s="1">
        <v>46326</v>
      </c>
      <c r="G406" s="1">
        <v>46330</v>
      </c>
      <c r="H406" t="s">
        <v>1423</v>
      </c>
      <c r="I406" t="s">
        <v>1424</v>
      </c>
      <c r="J406" t="s">
        <v>21</v>
      </c>
      <c r="K406" t="s">
        <v>22</v>
      </c>
      <c r="L406" t="s">
        <v>85</v>
      </c>
      <c r="M406" t="s">
        <v>86</v>
      </c>
      <c r="N406" t="s">
        <v>87</v>
      </c>
      <c r="O406" t="s">
        <v>57</v>
      </c>
      <c r="P406" t="s">
        <v>149</v>
      </c>
      <c r="Q406" t="s">
        <v>210</v>
      </c>
      <c r="R406">
        <v>5667.06</v>
      </c>
      <c r="S406">
        <v>8</v>
      </c>
      <c r="T406">
        <v>0.1</v>
      </c>
      <c r="U406" t="str">
        <f>IF(Retail_data[[#This Row],[Sales]]&gt;30000,"High",IF(Retail_data[[#This Row],[Sales]]&gt;10000,"Medium","Low"))</f>
        <v>Low</v>
      </c>
      <c r="V406" s="3">
        <f>Retail_data[[#This Row],[Profit]]/Retail_data[[#This Row],[Sales]]</f>
        <v>0.1446058450060525</v>
      </c>
      <c r="W406">
        <v>819.49</v>
      </c>
      <c r="X406" t="s">
        <v>48</v>
      </c>
    </row>
    <row r="407" spans="1:24" ht="13.8" x14ac:dyDescent="0.25">
      <c r="A407" t="s">
        <v>1425</v>
      </c>
      <c r="B407">
        <f>YEAR(Retail_data[[#This Row],[Order Date]])</f>
        <v>2026</v>
      </c>
      <c r="C407" t="str">
        <f>TEXT(Retail_data[[#This Row],[Order Date]],"mmmm")</f>
        <v>November</v>
      </c>
      <c r="D407">
        <f>MONTH(Retail_data[[#This Row],[Order Date]])</f>
        <v>11</v>
      </c>
      <c r="E407" t="str">
        <f>"Q"&amp;ROUNDUP(MONTH(Retail_data[[#This Row],[Order Date]])/3,0)</f>
        <v>Q4</v>
      </c>
      <c r="F407" s="1">
        <v>46327</v>
      </c>
      <c r="G407" s="1">
        <v>46331</v>
      </c>
      <c r="H407" t="s">
        <v>1426</v>
      </c>
      <c r="I407" t="s">
        <v>1427</v>
      </c>
      <c r="J407" t="s">
        <v>33</v>
      </c>
      <c r="K407" t="s">
        <v>22</v>
      </c>
      <c r="L407" t="s">
        <v>85</v>
      </c>
      <c r="M407" t="s">
        <v>86</v>
      </c>
      <c r="N407" t="s">
        <v>87</v>
      </c>
      <c r="O407" t="s">
        <v>37</v>
      </c>
      <c r="P407" t="s">
        <v>46</v>
      </c>
      <c r="Q407" t="s">
        <v>129</v>
      </c>
      <c r="R407">
        <v>36676.01</v>
      </c>
      <c r="S407">
        <v>1</v>
      </c>
      <c r="T407">
        <v>0.3</v>
      </c>
      <c r="U407" t="str">
        <f>IF(Retail_data[[#This Row],[Sales]]&gt;30000,"High",IF(Retail_data[[#This Row],[Sales]]&gt;10000,"Medium","Low"))</f>
        <v>High</v>
      </c>
      <c r="V407" s="3">
        <f>Retail_data[[#This Row],[Profit]]/Retail_data[[#This Row],[Sales]]</f>
        <v>0.16200044661346749</v>
      </c>
      <c r="W407">
        <v>5941.53</v>
      </c>
      <c r="X407" t="s">
        <v>81</v>
      </c>
    </row>
    <row r="408" spans="1:24" ht="13.8" x14ac:dyDescent="0.25">
      <c r="A408" t="s">
        <v>1428</v>
      </c>
      <c r="B408">
        <f>YEAR(Retail_data[[#This Row],[Order Date]])</f>
        <v>2026</v>
      </c>
      <c r="C408" t="str">
        <f>TEXT(Retail_data[[#This Row],[Order Date]],"mmmm")</f>
        <v>November</v>
      </c>
      <c r="D408">
        <f>MONTH(Retail_data[[#This Row],[Order Date]])</f>
        <v>11</v>
      </c>
      <c r="E408" t="str">
        <f>"Q"&amp;ROUNDUP(MONTH(Retail_data[[#This Row],[Order Date]])/3,0)</f>
        <v>Q4</v>
      </c>
      <c r="F408" s="1">
        <v>46328</v>
      </c>
      <c r="G408" s="1">
        <v>46332</v>
      </c>
      <c r="H408" t="s">
        <v>1429</v>
      </c>
      <c r="I408" t="s">
        <v>1430</v>
      </c>
      <c r="J408" t="s">
        <v>44</v>
      </c>
      <c r="K408" t="s">
        <v>22</v>
      </c>
      <c r="L408" t="s">
        <v>23</v>
      </c>
      <c r="M408" t="s">
        <v>24</v>
      </c>
      <c r="N408" t="s">
        <v>25</v>
      </c>
      <c r="O408" t="s">
        <v>26</v>
      </c>
      <c r="P408" t="s">
        <v>70</v>
      </c>
      <c r="Q408" t="s">
        <v>1431</v>
      </c>
      <c r="R408">
        <v>35940.629999999997</v>
      </c>
      <c r="S408">
        <v>2</v>
      </c>
      <c r="T408">
        <v>0.2</v>
      </c>
      <c r="U408" t="str">
        <f>IF(Retail_data[[#This Row],[Sales]]&gt;30000,"High",IF(Retail_data[[#This Row],[Sales]]&gt;10000,"Medium","Low"))</f>
        <v>High</v>
      </c>
      <c r="V408" s="3">
        <f>Retail_data[[#This Row],[Profit]]/Retail_data[[#This Row],[Sales]]</f>
        <v>7.1468975362980566E-2</v>
      </c>
      <c r="W408">
        <v>2568.64</v>
      </c>
      <c r="X408" t="s">
        <v>48</v>
      </c>
    </row>
    <row r="409" spans="1:24" ht="13.8" x14ac:dyDescent="0.25">
      <c r="A409" t="s">
        <v>1432</v>
      </c>
      <c r="B409">
        <f>YEAR(Retail_data[[#This Row],[Order Date]])</f>
        <v>2026</v>
      </c>
      <c r="C409" t="str">
        <f>TEXT(Retail_data[[#This Row],[Order Date]],"mmmm")</f>
        <v>November</v>
      </c>
      <c r="D409">
        <f>MONTH(Retail_data[[#This Row],[Order Date]])</f>
        <v>11</v>
      </c>
      <c r="E409" t="str">
        <f>"Q"&amp;ROUNDUP(MONTH(Retail_data[[#This Row],[Order Date]])/3,0)</f>
        <v>Q4</v>
      </c>
      <c r="F409" s="1">
        <v>46329</v>
      </c>
      <c r="G409" s="1">
        <v>46333</v>
      </c>
      <c r="H409" t="s">
        <v>1433</v>
      </c>
      <c r="I409" t="s">
        <v>1434</v>
      </c>
      <c r="J409" t="s">
        <v>33</v>
      </c>
      <c r="K409" t="s">
        <v>22</v>
      </c>
      <c r="L409" t="s">
        <v>85</v>
      </c>
      <c r="M409" t="s">
        <v>86</v>
      </c>
      <c r="N409" t="s">
        <v>87</v>
      </c>
      <c r="O409" t="s">
        <v>37</v>
      </c>
      <c r="P409" t="s">
        <v>46</v>
      </c>
      <c r="Q409" t="s">
        <v>685</v>
      </c>
      <c r="R409">
        <v>38176.19</v>
      </c>
      <c r="S409">
        <v>6</v>
      </c>
      <c r="T409">
        <v>0.2</v>
      </c>
      <c r="U409" t="str">
        <f>IF(Retail_data[[#This Row],[Sales]]&gt;30000,"High",IF(Retail_data[[#This Row],[Sales]]&gt;10000,"Medium","Low"))</f>
        <v>High</v>
      </c>
      <c r="V409" s="3">
        <f>Retail_data[[#This Row],[Profit]]/Retail_data[[#This Row],[Sales]]</f>
        <v>0.15685090628478116</v>
      </c>
      <c r="W409">
        <v>5987.97</v>
      </c>
      <c r="X409" t="s">
        <v>29</v>
      </c>
    </row>
    <row r="410" spans="1:24" ht="13.8" x14ac:dyDescent="0.25">
      <c r="A410" t="s">
        <v>1435</v>
      </c>
      <c r="B410">
        <f>YEAR(Retail_data[[#This Row],[Order Date]])</f>
        <v>2026</v>
      </c>
      <c r="C410" t="str">
        <f>TEXT(Retail_data[[#This Row],[Order Date]],"mmmm")</f>
        <v>November</v>
      </c>
      <c r="D410">
        <f>MONTH(Retail_data[[#This Row],[Order Date]])</f>
        <v>11</v>
      </c>
      <c r="E410" t="str">
        <f>"Q"&amp;ROUNDUP(MONTH(Retail_data[[#This Row],[Order Date]])/3,0)</f>
        <v>Q4</v>
      </c>
      <c r="F410" s="1">
        <v>46330</v>
      </c>
      <c r="G410" s="1">
        <v>46334</v>
      </c>
      <c r="H410" t="s">
        <v>1436</v>
      </c>
      <c r="I410" t="s">
        <v>1437</v>
      </c>
      <c r="J410" t="s">
        <v>33</v>
      </c>
      <c r="K410" t="s">
        <v>22</v>
      </c>
      <c r="L410" t="s">
        <v>67</v>
      </c>
      <c r="M410" t="s">
        <v>68</v>
      </c>
      <c r="N410" t="s">
        <v>69</v>
      </c>
      <c r="O410" t="s">
        <v>26</v>
      </c>
      <c r="P410" t="s">
        <v>27</v>
      </c>
      <c r="Q410" t="s">
        <v>266</v>
      </c>
      <c r="R410">
        <v>33486.589999999997</v>
      </c>
      <c r="S410">
        <v>5</v>
      </c>
      <c r="T410">
        <v>0.1</v>
      </c>
      <c r="U410" t="str">
        <f>IF(Retail_data[[#This Row],[Sales]]&gt;30000,"High",IF(Retail_data[[#This Row],[Sales]]&gt;10000,"Medium","Low"))</f>
        <v>High</v>
      </c>
      <c r="V410" s="3">
        <f>Retail_data[[#This Row],[Profit]]/Retail_data[[#This Row],[Sales]]</f>
        <v>0.22320905174280214</v>
      </c>
      <c r="W410">
        <v>7474.51</v>
      </c>
      <c r="X410" t="s">
        <v>29</v>
      </c>
    </row>
    <row r="411" spans="1:24" ht="13.8" x14ac:dyDescent="0.25">
      <c r="A411" t="s">
        <v>1438</v>
      </c>
      <c r="B411">
        <f>YEAR(Retail_data[[#This Row],[Order Date]])</f>
        <v>2026</v>
      </c>
      <c r="C411" t="str">
        <f>TEXT(Retail_data[[#This Row],[Order Date]],"mmmm")</f>
        <v>November</v>
      </c>
      <c r="D411">
        <f>MONTH(Retail_data[[#This Row],[Order Date]])</f>
        <v>11</v>
      </c>
      <c r="E411" t="str">
        <f>"Q"&amp;ROUNDUP(MONTH(Retail_data[[#This Row],[Order Date]])/3,0)</f>
        <v>Q4</v>
      </c>
      <c r="F411" s="1">
        <v>46331</v>
      </c>
      <c r="G411" s="1">
        <v>46335</v>
      </c>
      <c r="H411" t="s">
        <v>1439</v>
      </c>
      <c r="I411" t="s">
        <v>1440</v>
      </c>
      <c r="J411" t="s">
        <v>44</v>
      </c>
      <c r="K411" t="s">
        <v>22</v>
      </c>
      <c r="L411" t="s">
        <v>45</v>
      </c>
      <c r="M411" t="s">
        <v>45</v>
      </c>
      <c r="N411" t="s">
        <v>25</v>
      </c>
      <c r="O411" t="s">
        <v>37</v>
      </c>
      <c r="P411" t="s">
        <v>46</v>
      </c>
      <c r="Q411" t="s">
        <v>1441</v>
      </c>
      <c r="R411">
        <v>11187.55</v>
      </c>
      <c r="S411">
        <v>4</v>
      </c>
      <c r="T411">
        <v>0.2</v>
      </c>
      <c r="U411" t="str">
        <f>IF(Retail_data[[#This Row],[Sales]]&gt;30000,"High",IF(Retail_data[[#This Row],[Sales]]&gt;10000,"Medium","Low"))</f>
        <v>Medium</v>
      </c>
      <c r="V411" s="3">
        <f>Retail_data[[#This Row],[Profit]]/Retail_data[[#This Row],[Sales]]</f>
        <v>-2.7610155932263989E-2</v>
      </c>
      <c r="W411">
        <v>-308.89</v>
      </c>
      <c r="X411" t="s">
        <v>48</v>
      </c>
    </row>
    <row r="412" spans="1:24" ht="13.8" x14ac:dyDescent="0.25">
      <c r="A412" t="s">
        <v>1442</v>
      </c>
      <c r="B412">
        <f>YEAR(Retail_data[[#This Row],[Order Date]])</f>
        <v>2026</v>
      </c>
      <c r="C412" t="str">
        <f>TEXT(Retail_data[[#This Row],[Order Date]],"mmmm")</f>
        <v>November</v>
      </c>
      <c r="D412">
        <f>MONTH(Retail_data[[#This Row],[Order Date]])</f>
        <v>11</v>
      </c>
      <c r="E412" t="str">
        <f>"Q"&amp;ROUNDUP(MONTH(Retail_data[[#This Row],[Order Date]])/3,0)</f>
        <v>Q4</v>
      </c>
      <c r="F412" s="1">
        <v>46332</v>
      </c>
      <c r="G412" s="1">
        <v>46336</v>
      </c>
      <c r="H412" t="s">
        <v>1443</v>
      </c>
      <c r="I412" t="s">
        <v>1444</v>
      </c>
      <c r="J412" t="s">
        <v>44</v>
      </c>
      <c r="K412" t="s">
        <v>22</v>
      </c>
      <c r="L412" t="s">
        <v>67</v>
      </c>
      <c r="M412" t="s">
        <v>68</v>
      </c>
      <c r="N412" t="s">
        <v>69</v>
      </c>
      <c r="O412" t="s">
        <v>37</v>
      </c>
      <c r="P412" t="s">
        <v>52</v>
      </c>
      <c r="Q412" t="s">
        <v>335</v>
      </c>
      <c r="R412">
        <v>49626.46</v>
      </c>
      <c r="S412">
        <v>4</v>
      </c>
      <c r="T412">
        <v>0.1</v>
      </c>
      <c r="U412" t="str">
        <f>IF(Retail_data[[#This Row],[Sales]]&gt;30000,"High",IF(Retail_data[[#This Row],[Sales]]&gt;10000,"Medium","Low"))</f>
        <v>High</v>
      </c>
      <c r="V412" s="3">
        <f>Retail_data[[#This Row],[Profit]]/Retail_data[[#This Row],[Sales]]</f>
        <v>0.23728893819950084</v>
      </c>
      <c r="W412">
        <v>11775.81</v>
      </c>
      <c r="X412" t="s">
        <v>48</v>
      </c>
    </row>
    <row r="413" spans="1:24" ht="13.8" x14ac:dyDescent="0.25">
      <c r="A413" t="s">
        <v>1445</v>
      </c>
      <c r="B413">
        <f>YEAR(Retail_data[[#This Row],[Order Date]])</f>
        <v>2026</v>
      </c>
      <c r="C413" t="str">
        <f>TEXT(Retail_data[[#This Row],[Order Date]],"mmmm")</f>
        <v>November</v>
      </c>
      <c r="D413">
        <f>MONTH(Retail_data[[#This Row],[Order Date]])</f>
        <v>11</v>
      </c>
      <c r="E413" t="str">
        <f>"Q"&amp;ROUNDUP(MONTH(Retail_data[[#This Row],[Order Date]])/3,0)</f>
        <v>Q4</v>
      </c>
      <c r="F413" s="1">
        <v>46333</v>
      </c>
      <c r="G413" s="1">
        <v>46337</v>
      </c>
      <c r="H413" t="s">
        <v>1446</v>
      </c>
      <c r="I413" t="s">
        <v>1447</v>
      </c>
      <c r="J413" t="s">
        <v>21</v>
      </c>
      <c r="K413" t="s">
        <v>22</v>
      </c>
      <c r="L413" t="s">
        <v>45</v>
      </c>
      <c r="M413" t="s">
        <v>45</v>
      </c>
      <c r="N413" t="s">
        <v>25</v>
      </c>
      <c r="O413" t="s">
        <v>26</v>
      </c>
      <c r="P413" t="s">
        <v>27</v>
      </c>
      <c r="Q413" t="s">
        <v>214</v>
      </c>
      <c r="R413">
        <v>18830.79</v>
      </c>
      <c r="S413">
        <v>6</v>
      </c>
      <c r="T413">
        <v>0</v>
      </c>
      <c r="U413" t="str">
        <f>IF(Retail_data[[#This Row],[Sales]]&gt;30000,"High",IF(Retail_data[[#This Row],[Sales]]&gt;10000,"Medium","Low"))</f>
        <v>Medium</v>
      </c>
      <c r="V413" s="3">
        <f>Retail_data[[#This Row],[Profit]]/Retail_data[[#This Row],[Sales]]</f>
        <v>0.17674351421262727</v>
      </c>
      <c r="W413">
        <v>3328.22</v>
      </c>
      <c r="X413" t="s">
        <v>29</v>
      </c>
    </row>
    <row r="414" spans="1:24" ht="13.8" x14ac:dyDescent="0.25">
      <c r="A414" t="s">
        <v>1448</v>
      </c>
      <c r="B414">
        <f>YEAR(Retail_data[[#This Row],[Order Date]])</f>
        <v>2026</v>
      </c>
      <c r="C414" t="str">
        <f>TEXT(Retail_data[[#This Row],[Order Date]],"mmmm")</f>
        <v>November</v>
      </c>
      <c r="D414">
        <f>MONTH(Retail_data[[#This Row],[Order Date]])</f>
        <v>11</v>
      </c>
      <c r="E414" t="str">
        <f>"Q"&amp;ROUNDUP(MONTH(Retail_data[[#This Row],[Order Date]])/3,0)</f>
        <v>Q4</v>
      </c>
      <c r="F414" s="1">
        <v>46334</v>
      </c>
      <c r="G414" s="1">
        <v>46338</v>
      </c>
      <c r="H414" t="s">
        <v>1449</v>
      </c>
      <c r="I414" t="s">
        <v>1450</v>
      </c>
      <c r="J414" t="s">
        <v>44</v>
      </c>
      <c r="K414" t="s">
        <v>22</v>
      </c>
      <c r="L414" t="s">
        <v>45</v>
      </c>
      <c r="M414" t="s">
        <v>45</v>
      </c>
      <c r="N414" t="s">
        <v>25</v>
      </c>
      <c r="O414" t="s">
        <v>26</v>
      </c>
      <c r="P414" t="s">
        <v>70</v>
      </c>
      <c r="Q414" t="s">
        <v>1451</v>
      </c>
      <c r="R414">
        <v>20552.91</v>
      </c>
      <c r="S414">
        <v>5</v>
      </c>
      <c r="T414">
        <v>0.1</v>
      </c>
      <c r="U414" t="str">
        <f>IF(Retail_data[[#This Row],[Sales]]&gt;30000,"High",IF(Retail_data[[#This Row],[Sales]]&gt;10000,"Medium","Low"))</f>
        <v>Medium</v>
      </c>
      <c r="V414" s="3">
        <f>Retail_data[[#This Row],[Profit]]/Retail_data[[#This Row],[Sales]]</f>
        <v>0.16513476680431141</v>
      </c>
      <c r="W414">
        <v>3394</v>
      </c>
      <c r="X414" t="s">
        <v>29</v>
      </c>
    </row>
    <row r="415" spans="1:24" ht="13.8" x14ac:dyDescent="0.25">
      <c r="A415" t="s">
        <v>1452</v>
      </c>
      <c r="B415">
        <f>YEAR(Retail_data[[#This Row],[Order Date]])</f>
        <v>2026</v>
      </c>
      <c r="C415" t="str">
        <f>TEXT(Retail_data[[#This Row],[Order Date]],"mmmm")</f>
        <v>November</v>
      </c>
      <c r="D415">
        <f>MONTH(Retail_data[[#This Row],[Order Date]])</f>
        <v>11</v>
      </c>
      <c r="E415" t="str">
        <f>"Q"&amp;ROUNDUP(MONTH(Retail_data[[#This Row],[Order Date]])/3,0)</f>
        <v>Q4</v>
      </c>
      <c r="F415" s="1">
        <v>46335</v>
      </c>
      <c r="G415" s="1">
        <v>46339</v>
      </c>
      <c r="H415" t="s">
        <v>1453</v>
      </c>
      <c r="I415" t="s">
        <v>1454</v>
      </c>
      <c r="J415" t="s">
        <v>21</v>
      </c>
      <c r="K415" t="s">
        <v>22</v>
      </c>
      <c r="L415" t="s">
        <v>85</v>
      </c>
      <c r="M415" t="s">
        <v>86</v>
      </c>
      <c r="N415" t="s">
        <v>87</v>
      </c>
      <c r="O415" t="s">
        <v>37</v>
      </c>
      <c r="P415" t="s">
        <v>38</v>
      </c>
      <c r="Q415" t="s">
        <v>1455</v>
      </c>
      <c r="R415">
        <v>36431.82</v>
      </c>
      <c r="S415">
        <v>2</v>
      </c>
      <c r="T415">
        <v>0.1</v>
      </c>
      <c r="U415" t="str">
        <f>IF(Retail_data[[#This Row],[Sales]]&gt;30000,"High",IF(Retail_data[[#This Row],[Sales]]&gt;10000,"Medium","Low"))</f>
        <v>High</v>
      </c>
      <c r="V415" s="3">
        <f>Retail_data[[#This Row],[Profit]]/Retail_data[[#This Row],[Sales]]</f>
        <v>0.18784787584040546</v>
      </c>
      <c r="W415">
        <v>6843.64</v>
      </c>
      <c r="X415" t="s">
        <v>81</v>
      </c>
    </row>
    <row r="416" spans="1:24" ht="13.8" x14ac:dyDescent="0.25">
      <c r="A416" t="s">
        <v>1456</v>
      </c>
      <c r="B416">
        <f>YEAR(Retail_data[[#This Row],[Order Date]])</f>
        <v>2026</v>
      </c>
      <c r="C416" t="str">
        <f>TEXT(Retail_data[[#This Row],[Order Date]],"mmmm")</f>
        <v>November</v>
      </c>
      <c r="D416">
        <f>MONTH(Retail_data[[#This Row],[Order Date]])</f>
        <v>11</v>
      </c>
      <c r="E416" t="str">
        <f>"Q"&amp;ROUNDUP(MONTH(Retail_data[[#This Row],[Order Date]])/3,0)</f>
        <v>Q4</v>
      </c>
      <c r="F416" s="1">
        <v>46336</v>
      </c>
      <c r="G416" s="1">
        <v>46340</v>
      </c>
      <c r="H416" t="s">
        <v>1457</v>
      </c>
      <c r="I416" t="s">
        <v>1458</v>
      </c>
      <c r="J416" t="s">
        <v>44</v>
      </c>
      <c r="K416" t="s">
        <v>22</v>
      </c>
      <c r="L416" t="s">
        <v>45</v>
      </c>
      <c r="M416" t="s">
        <v>45</v>
      </c>
      <c r="N416" t="s">
        <v>25</v>
      </c>
      <c r="O416" t="s">
        <v>26</v>
      </c>
      <c r="P416" t="s">
        <v>27</v>
      </c>
      <c r="Q416" t="s">
        <v>274</v>
      </c>
      <c r="R416">
        <v>27393.48</v>
      </c>
      <c r="S416">
        <v>3</v>
      </c>
      <c r="T416">
        <v>0.3</v>
      </c>
      <c r="U416" t="str">
        <f>IF(Retail_data[[#This Row],[Sales]]&gt;30000,"High",IF(Retail_data[[#This Row],[Sales]]&gt;10000,"Medium","Low"))</f>
        <v>Medium</v>
      </c>
      <c r="V416" s="3">
        <f>Retail_data[[#This Row],[Profit]]/Retail_data[[#This Row],[Sales]]</f>
        <v>9.1038451485535979E-2</v>
      </c>
      <c r="W416">
        <v>2493.86</v>
      </c>
      <c r="X416" t="s">
        <v>81</v>
      </c>
    </row>
    <row r="417" spans="1:24" ht="13.8" x14ac:dyDescent="0.25">
      <c r="A417" t="s">
        <v>1459</v>
      </c>
      <c r="B417">
        <f>YEAR(Retail_data[[#This Row],[Order Date]])</f>
        <v>2026</v>
      </c>
      <c r="C417" t="str">
        <f>TEXT(Retail_data[[#This Row],[Order Date]],"mmmm")</f>
        <v>November</v>
      </c>
      <c r="D417">
        <f>MONTH(Retail_data[[#This Row],[Order Date]])</f>
        <v>11</v>
      </c>
      <c r="E417" t="str">
        <f>"Q"&amp;ROUNDUP(MONTH(Retail_data[[#This Row],[Order Date]])/3,0)</f>
        <v>Q4</v>
      </c>
      <c r="F417" s="1">
        <v>46337</v>
      </c>
      <c r="G417" s="1">
        <v>46341</v>
      </c>
      <c r="H417" t="s">
        <v>1460</v>
      </c>
      <c r="I417" t="s">
        <v>1461</v>
      </c>
      <c r="J417" t="s">
        <v>33</v>
      </c>
      <c r="K417" t="s">
        <v>22</v>
      </c>
      <c r="L417" t="s">
        <v>45</v>
      </c>
      <c r="M417" t="s">
        <v>45</v>
      </c>
      <c r="N417" t="s">
        <v>25</v>
      </c>
      <c r="O417" t="s">
        <v>37</v>
      </c>
      <c r="P417" t="s">
        <v>46</v>
      </c>
      <c r="Q417" t="s">
        <v>563</v>
      </c>
      <c r="R417">
        <v>26835.360000000001</v>
      </c>
      <c r="S417">
        <v>1</v>
      </c>
      <c r="T417">
        <v>0.1</v>
      </c>
      <c r="U417" t="str">
        <f>IF(Retail_data[[#This Row],[Sales]]&gt;30000,"High",IF(Retail_data[[#This Row],[Sales]]&gt;10000,"Medium","Low"))</f>
        <v>Medium</v>
      </c>
      <c r="V417" s="3">
        <f>Retail_data[[#This Row],[Profit]]/Retail_data[[#This Row],[Sales]]</f>
        <v>4.8570244632455094E-2</v>
      </c>
      <c r="W417">
        <v>1303.4000000000001</v>
      </c>
      <c r="X417" t="s">
        <v>40</v>
      </c>
    </row>
    <row r="418" spans="1:24" ht="13.8" x14ac:dyDescent="0.25">
      <c r="A418" t="s">
        <v>1462</v>
      </c>
      <c r="B418">
        <f>YEAR(Retail_data[[#This Row],[Order Date]])</f>
        <v>2026</v>
      </c>
      <c r="C418" t="str">
        <f>TEXT(Retail_data[[#This Row],[Order Date]],"mmmm")</f>
        <v>November</v>
      </c>
      <c r="D418">
        <f>MONTH(Retail_data[[#This Row],[Order Date]])</f>
        <v>11</v>
      </c>
      <c r="E418" t="str">
        <f>"Q"&amp;ROUNDUP(MONTH(Retail_data[[#This Row],[Order Date]])/3,0)</f>
        <v>Q4</v>
      </c>
      <c r="F418" s="1">
        <v>46338</v>
      </c>
      <c r="G418" s="1">
        <v>46342</v>
      </c>
      <c r="H418" t="s">
        <v>1463</v>
      </c>
      <c r="I418" t="s">
        <v>1464</v>
      </c>
      <c r="J418" t="s">
        <v>44</v>
      </c>
      <c r="K418" t="s">
        <v>22</v>
      </c>
      <c r="L418" t="s">
        <v>85</v>
      </c>
      <c r="M418" t="s">
        <v>86</v>
      </c>
      <c r="N418" t="s">
        <v>87</v>
      </c>
      <c r="O418" t="s">
        <v>37</v>
      </c>
      <c r="P418" t="s">
        <v>38</v>
      </c>
      <c r="Q418" t="s">
        <v>383</v>
      </c>
      <c r="R418">
        <v>18781.38</v>
      </c>
      <c r="S418">
        <v>7</v>
      </c>
      <c r="T418">
        <v>0.3</v>
      </c>
      <c r="U418" t="str">
        <f>IF(Retail_data[[#This Row],[Sales]]&gt;30000,"High",IF(Retail_data[[#This Row],[Sales]]&gt;10000,"Medium","Low"))</f>
        <v>Medium</v>
      </c>
      <c r="V418" s="3">
        <f>Retail_data[[#This Row],[Profit]]/Retail_data[[#This Row],[Sales]]</f>
        <v>-3.384362597423618E-2</v>
      </c>
      <c r="W418">
        <v>-635.63</v>
      </c>
      <c r="X418" t="s">
        <v>40</v>
      </c>
    </row>
    <row r="419" spans="1:24" ht="13.8" x14ac:dyDescent="0.25">
      <c r="A419" t="s">
        <v>1465</v>
      </c>
      <c r="B419">
        <f>YEAR(Retail_data[[#This Row],[Order Date]])</f>
        <v>2026</v>
      </c>
      <c r="C419" t="str">
        <f>TEXT(Retail_data[[#This Row],[Order Date]],"mmmm")</f>
        <v>November</v>
      </c>
      <c r="D419">
        <f>MONTH(Retail_data[[#This Row],[Order Date]])</f>
        <v>11</v>
      </c>
      <c r="E419" t="str">
        <f>"Q"&amp;ROUNDUP(MONTH(Retail_data[[#This Row],[Order Date]])/3,0)</f>
        <v>Q4</v>
      </c>
      <c r="F419" s="1">
        <v>46339</v>
      </c>
      <c r="G419" s="1">
        <v>46343</v>
      </c>
      <c r="H419" t="s">
        <v>1466</v>
      </c>
      <c r="I419" t="s">
        <v>1467</v>
      </c>
      <c r="J419" t="s">
        <v>44</v>
      </c>
      <c r="K419" t="s">
        <v>22</v>
      </c>
      <c r="L419" t="s">
        <v>23</v>
      </c>
      <c r="M419" t="s">
        <v>24</v>
      </c>
      <c r="N419" t="s">
        <v>25</v>
      </c>
      <c r="O419" t="s">
        <v>57</v>
      </c>
      <c r="P419" t="s">
        <v>149</v>
      </c>
      <c r="Q419" t="s">
        <v>399</v>
      </c>
      <c r="R419">
        <v>4347.68</v>
      </c>
      <c r="S419">
        <v>1</v>
      </c>
      <c r="T419">
        <v>0.1</v>
      </c>
      <c r="U419" t="str">
        <f>IF(Retail_data[[#This Row],[Sales]]&gt;30000,"High",IF(Retail_data[[#This Row],[Sales]]&gt;10000,"Medium","Low"))</f>
        <v>Low</v>
      </c>
      <c r="V419" s="3">
        <f>Retail_data[[#This Row],[Profit]]/Retail_data[[#This Row],[Sales]]</f>
        <v>0.10785982409008942</v>
      </c>
      <c r="W419">
        <v>468.94</v>
      </c>
      <c r="X419" t="s">
        <v>29</v>
      </c>
    </row>
    <row r="420" spans="1:24" ht="13.8" x14ac:dyDescent="0.25">
      <c r="A420" t="s">
        <v>1468</v>
      </c>
      <c r="B420">
        <f>YEAR(Retail_data[[#This Row],[Order Date]])</f>
        <v>2026</v>
      </c>
      <c r="C420" t="str">
        <f>TEXT(Retail_data[[#This Row],[Order Date]],"mmmm")</f>
        <v>November</v>
      </c>
      <c r="D420">
        <f>MONTH(Retail_data[[#This Row],[Order Date]])</f>
        <v>11</v>
      </c>
      <c r="E420" t="str">
        <f>"Q"&amp;ROUNDUP(MONTH(Retail_data[[#This Row],[Order Date]])/3,0)</f>
        <v>Q4</v>
      </c>
      <c r="F420" s="1">
        <v>46340</v>
      </c>
      <c r="G420" s="1">
        <v>46344</v>
      </c>
      <c r="H420" t="s">
        <v>1469</v>
      </c>
      <c r="I420" t="s">
        <v>1470</v>
      </c>
      <c r="J420" t="s">
        <v>44</v>
      </c>
      <c r="K420" t="s">
        <v>22</v>
      </c>
      <c r="L420" t="s">
        <v>45</v>
      </c>
      <c r="M420" t="s">
        <v>45</v>
      </c>
      <c r="N420" t="s">
        <v>25</v>
      </c>
      <c r="O420" t="s">
        <v>37</v>
      </c>
      <c r="P420" t="s">
        <v>52</v>
      </c>
      <c r="Q420" t="s">
        <v>335</v>
      </c>
      <c r="R420">
        <v>20513.490000000002</v>
      </c>
      <c r="S420">
        <v>8</v>
      </c>
      <c r="T420">
        <v>0.3</v>
      </c>
      <c r="U420" t="str">
        <f>IF(Retail_data[[#This Row],[Sales]]&gt;30000,"High",IF(Retail_data[[#This Row],[Sales]]&gt;10000,"Medium","Low"))</f>
        <v>Medium</v>
      </c>
      <c r="V420" s="3">
        <f>Retail_data[[#This Row],[Profit]]/Retail_data[[#This Row],[Sales]]</f>
        <v>9.7017133603302025E-2</v>
      </c>
      <c r="W420">
        <v>1990.16</v>
      </c>
      <c r="X420" t="s">
        <v>81</v>
      </c>
    </row>
    <row r="421" spans="1:24" ht="13.8" x14ac:dyDescent="0.25">
      <c r="A421" t="s">
        <v>1471</v>
      </c>
      <c r="B421">
        <f>YEAR(Retail_data[[#This Row],[Order Date]])</f>
        <v>2026</v>
      </c>
      <c r="C421" t="str">
        <f>TEXT(Retail_data[[#This Row],[Order Date]],"mmmm")</f>
        <v>November</v>
      </c>
      <c r="D421">
        <f>MONTH(Retail_data[[#This Row],[Order Date]])</f>
        <v>11</v>
      </c>
      <c r="E421" t="str">
        <f>"Q"&amp;ROUNDUP(MONTH(Retail_data[[#This Row],[Order Date]])/3,0)</f>
        <v>Q4</v>
      </c>
      <c r="F421" s="1">
        <v>46341</v>
      </c>
      <c r="G421" s="1">
        <v>46345</v>
      </c>
      <c r="H421" t="s">
        <v>1472</v>
      </c>
      <c r="I421" t="s">
        <v>1473</v>
      </c>
      <c r="J421" t="s">
        <v>21</v>
      </c>
      <c r="K421" t="s">
        <v>22</v>
      </c>
      <c r="L421" t="s">
        <v>23</v>
      </c>
      <c r="M421" t="s">
        <v>24</v>
      </c>
      <c r="N421" t="s">
        <v>25</v>
      </c>
      <c r="O421" t="s">
        <v>57</v>
      </c>
      <c r="P421" t="s">
        <v>58</v>
      </c>
      <c r="Q421" t="s">
        <v>188</v>
      </c>
      <c r="R421">
        <v>42442.1</v>
      </c>
      <c r="S421">
        <v>8</v>
      </c>
      <c r="T421">
        <v>0.2</v>
      </c>
      <c r="U421" t="str">
        <f>IF(Retail_data[[#This Row],[Sales]]&gt;30000,"High",IF(Retail_data[[#This Row],[Sales]]&gt;10000,"Medium","Low"))</f>
        <v>High</v>
      </c>
      <c r="V421" s="3">
        <f>Retail_data[[#This Row],[Profit]]/Retail_data[[#This Row],[Sales]]</f>
        <v>0.1170799748363064</v>
      </c>
      <c r="W421">
        <v>4969.12</v>
      </c>
      <c r="X421" t="s">
        <v>29</v>
      </c>
    </row>
    <row r="422" spans="1:24" ht="13.8" x14ac:dyDescent="0.25">
      <c r="A422" t="s">
        <v>1474</v>
      </c>
      <c r="B422">
        <f>YEAR(Retail_data[[#This Row],[Order Date]])</f>
        <v>2026</v>
      </c>
      <c r="C422" t="str">
        <f>TEXT(Retail_data[[#This Row],[Order Date]],"mmmm")</f>
        <v>November</v>
      </c>
      <c r="D422">
        <f>MONTH(Retail_data[[#This Row],[Order Date]])</f>
        <v>11</v>
      </c>
      <c r="E422" t="str">
        <f>"Q"&amp;ROUNDUP(MONTH(Retail_data[[#This Row],[Order Date]])/3,0)</f>
        <v>Q4</v>
      </c>
      <c r="F422" s="1">
        <v>46342</v>
      </c>
      <c r="G422" s="1">
        <v>46346</v>
      </c>
      <c r="H422" t="s">
        <v>1475</v>
      </c>
      <c r="I422" t="s">
        <v>1476</v>
      </c>
      <c r="J422" t="s">
        <v>44</v>
      </c>
      <c r="K422" t="s">
        <v>22</v>
      </c>
      <c r="L422" t="s">
        <v>45</v>
      </c>
      <c r="M422" t="s">
        <v>45</v>
      </c>
      <c r="N422" t="s">
        <v>25</v>
      </c>
      <c r="O422" t="s">
        <v>57</v>
      </c>
      <c r="P422" t="s">
        <v>149</v>
      </c>
      <c r="Q422" t="s">
        <v>399</v>
      </c>
      <c r="R422">
        <v>22078.94</v>
      </c>
      <c r="S422">
        <v>2</v>
      </c>
      <c r="T422">
        <v>0.3</v>
      </c>
      <c r="U422" t="str">
        <f>IF(Retail_data[[#This Row],[Sales]]&gt;30000,"High",IF(Retail_data[[#This Row],[Sales]]&gt;10000,"Medium","Low"))</f>
        <v>Medium</v>
      </c>
      <c r="V422" s="3">
        <f>Retail_data[[#This Row],[Profit]]/Retail_data[[#This Row],[Sales]]</f>
        <v>-4.0106544970003093E-2</v>
      </c>
      <c r="W422">
        <v>-885.51</v>
      </c>
      <c r="X422" t="s">
        <v>81</v>
      </c>
    </row>
    <row r="423" spans="1:24" ht="13.8" x14ac:dyDescent="0.25">
      <c r="A423" t="s">
        <v>1477</v>
      </c>
      <c r="B423">
        <f>YEAR(Retail_data[[#This Row],[Order Date]])</f>
        <v>2026</v>
      </c>
      <c r="C423" t="str">
        <f>TEXT(Retail_data[[#This Row],[Order Date]],"mmmm")</f>
        <v>November</v>
      </c>
      <c r="D423">
        <f>MONTH(Retail_data[[#This Row],[Order Date]])</f>
        <v>11</v>
      </c>
      <c r="E423" t="str">
        <f>"Q"&amp;ROUNDUP(MONTH(Retail_data[[#This Row],[Order Date]])/3,0)</f>
        <v>Q4</v>
      </c>
      <c r="F423" s="1">
        <v>46343</v>
      </c>
      <c r="G423" s="1">
        <v>46347</v>
      </c>
      <c r="H423" t="s">
        <v>1478</v>
      </c>
      <c r="I423" t="s">
        <v>1479</v>
      </c>
      <c r="J423" t="s">
        <v>21</v>
      </c>
      <c r="K423" t="s">
        <v>22</v>
      </c>
      <c r="L423" t="s">
        <v>23</v>
      </c>
      <c r="M423" t="s">
        <v>24</v>
      </c>
      <c r="N423" t="s">
        <v>25</v>
      </c>
      <c r="O423" t="s">
        <v>37</v>
      </c>
      <c r="P423" t="s">
        <v>52</v>
      </c>
      <c r="Q423" t="s">
        <v>292</v>
      </c>
      <c r="R423">
        <v>2887.91</v>
      </c>
      <c r="S423">
        <v>2</v>
      </c>
      <c r="T423">
        <v>0.2</v>
      </c>
      <c r="U423" t="str">
        <f>IF(Retail_data[[#This Row],[Sales]]&gt;30000,"High",IF(Retail_data[[#This Row],[Sales]]&gt;10000,"Medium","Low"))</f>
        <v>Low</v>
      </c>
      <c r="V423" s="3">
        <f>Retail_data[[#This Row],[Profit]]/Retail_data[[#This Row],[Sales]]</f>
        <v>0.21843132230575052</v>
      </c>
      <c r="W423">
        <v>630.80999999999995</v>
      </c>
      <c r="X423" t="s">
        <v>81</v>
      </c>
    </row>
    <row r="424" spans="1:24" ht="13.8" x14ac:dyDescent="0.25">
      <c r="A424" t="s">
        <v>1480</v>
      </c>
      <c r="B424">
        <f>YEAR(Retail_data[[#This Row],[Order Date]])</f>
        <v>2026</v>
      </c>
      <c r="C424" t="str">
        <f>TEXT(Retail_data[[#This Row],[Order Date]],"mmmm")</f>
        <v>November</v>
      </c>
      <c r="D424">
        <f>MONTH(Retail_data[[#This Row],[Order Date]])</f>
        <v>11</v>
      </c>
      <c r="E424" t="str">
        <f>"Q"&amp;ROUNDUP(MONTH(Retail_data[[#This Row],[Order Date]])/3,0)</f>
        <v>Q4</v>
      </c>
      <c r="F424" s="1">
        <v>46344</v>
      </c>
      <c r="G424" s="1">
        <v>46348</v>
      </c>
      <c r="H424" t="s">
        <v>1481</v>
      </c>
      <c r="I424" t="s">
        <v>1482</v>
      </c>
      <c r="J424" t="s">
        <v>21</v>
      </c>
      <c r="K424" t="s">
        <v>22</v>
      </c>
      <c r="L424" t="s">
        <v>85</v>
      </c>
      <c r="M424" t="s">
        <v>86</v>
      </c>
      <c r="N424" t="s">
        <v>87</v>
      </c>
      <c r="O424" t="s">
        <v>37</v>
      </c>
      <c r="P424" t="s">
        <v>52</v>
      </c>
      <c r="Q424" t="s">
        <v>1344</v>
      </c>
      <c r="R424">
        <v>1653.62</v>
      </c>
      <c r="S424">
        <v>2</v>
      </c>
      <c r="T424">
        <v>0.1</v>
      </c>
      <c r="U424" t="str">
        <f>IF(Retail_data[[#This Row],[Sales]]&gt;30000,"High",IF(Retail_data[[#This Row],[Sales]]&gt;10000,"Medium","Low"))</f>
        <v>Low</v>
      </c>
      <c r="V424" s="3">
        <f>Retail_data[[#This Row],[Profit]]/Retail_data[[#This Row],[Sales]]</f>
        <v>0.16393125385517834</v>
      </c>
      <c r="W424">
        <v>271.08</v>
      </c>
      <c r="X424" t="s">
        <v>48</v>
      </c>
    </row>
    <row r="425" spans="1:24" ht="13.8" x14ac:dyDescent="0.25">
      <c r="A425" t="s">
        <v>1483</v>
      </c>
      <c r="B425">
        <f>YEAR(Retail_data[[#This Row],[Order Date]])</f>
        <v>2026</v>
      </c>
      <c r="C425" t="str">
        <f>TEXT(Retail_data[[#This Row],[Order Date]],"mmmm")</f>
        <v>November</v>
      </c>
      <c r="D425">
        <f>MONTH(Retail_data[[#This Row],[Order Date]])</f>
        <v>11</v>
      </c>
      <c r="E425" t="str">
        <f>"Q"&amp;ROUNDUP(MONTH(Retail_data[[#This Row],[Order Date]])/3,0)</f>
        <v>Q4</v>
      </c>
      <c r="F425" s="1">
        <v>46345</v>
      </c>
      <c r="G425" s="1">
        <v>46349</v>
      </c>
      <c r="H425" t="s">
        <v>1484</v>
      </c>
      <c r="I425" t="s">
        <v>1485</v>
      </c>
      <c r="J425" t="s">
        <v>21</v>
      </c>
      <c r="K425" t="s">
        <v>22</v>
      </c>
      <c r="L425" t="s">
        <v>67</v>
      </c>
      <c r="M425" t="s">
        <v>68</v>
      </c>
      <c r="N425" t="s">
        <v>69</v>
      </c>
      <c r="O425" t="s">
        <v>57</v>
      </c>
      <c r="P425" t="s">
        <v>149</v>
      </c>
      <c r="Q425" t="s">
        <v>407</v>
      </c>
      <c r="R425">
        <v>13591.97</v>
      </c>
      <c r="S425">
        <v>7</v>
      </c>
      <c r="T425">
        <v>0.2</v>
      </c>
      <c r="U425" t="str">
        <f>IF(Retail_data[[#This Row],[Sales]]&gt;30000,"High",IF(Retail_data[[#This Row],[Sales]]&gt;10000,"Medium","Low"))</f>
        <v>Medium</v>
      </c>
      <c r="V425" s="3">
        <f>Retail_data[[#This Row],[Profit]]/Retail_data[[#This Row],[Sales]]</f>
        <v>0.20635125003954541</v>
      </c>
      <c r="W425">
        <v>2804.72</v>
      </c>
      <c r="X425" t="s">
        <v>81</v>
      </c>
    </row>
    <row r="426" spans="1:24" ht="13.8" x14ac:dyDescent="0.25">
      <c r="A426" t="s">
        <v>1486</v>
      </c>
      <c r="B426">
        <f>YEAR(Retail_data[[#This Row],[Order Date]])</f>
        <v>2026</v>
      </c>
      <c r="C426" t="str">
        <f>TEXT(Retail_data[[#This Row],[Order Date]],"mmmm")</f>
        <v>November</v>
      </c>
      <c r="D426">
        <f>MONTH(Retail_data[[#This Row],[Order Date]])</f>
        <v>11</v>
      </c>
      <c r="E426" t="str">
        <f>"Q"&amp;ROUNDUP(MONTH(Retail_data[[#This Row],[Order Date]])/3,0)</f>
        <v>Q4</v>
      </c>
      <c r="F426" s="1">
        <v>46346</v>
      </c>
      <c r="G426" s="1">
        <v>46350</v>
      </c>
      <c r="H426" t="s">
        <v>1487</v>
      </c>
      <c r="I426" t="s">
        <v>1488</v>
      </c>
      <c r="J426" t="s">
        <v>33</v>
      </c>
      <c r="K426" t="s">
        <v>22</v>
      </c>
      <c r="L426" t="s">
        <v>23</v>
      </c>
      <c r="M426" t="s">
        <v>24</v>
      </c>
      <c r="N426" t="s">
        <v>25</v>
      </c>
      <c r="O426" t="s">
        <v>37</v>
      </c>
      <c r="P426" t="s">
        <v>52</v>
      </c>
      <c r="Q426" t="s">
        <v>328</v>
      </c>
      <c r="R426">
        <v>39142.339999999997</v>
      </c>
      <c r="S426">
        <v>1</v>
      </c>
      <c r="T426">
        <v>0.2</v>
      </c>
      <c r="U426" t="str">
        <f>IF(Retail_data[[#This Row],[Sales]]&gt;30000,"High",IF(Retail_data[[#This Row],[Sales]]&gt;10000,"Medium","Low"))</f>
        <v>High</v>
      </c>
      <c r="V426" s="3">
        <f>Retail_data[[#This Row],[Profit]]/Retail_data[[#This Row],[Sales]]</f>
        <v>0.20746562418087422</v>
      </c>
      <c r="W426">
        <v>8120.69</v>
      </c>
      <c r="X426" t="s">
        <v>29</v>
      </c>
    </row>
    <row r="427" spans="1:24" ht="13.8" x14ac:dyDescent="0.25">
      <c r="A427" t="s">
        <v>1489</v>
      </c>
      <c r="B427">
        <f>YEAR(Retail_data[[#This Row],[Order Date]])</f>
        <v>2026</v>
      </c>
      <c r="C427" t="str">
        <f>TEXT(Retail_data[[#This Row],[Order Date]],"mmmm")</f>
        <v>November</v>
      </c>
      <c r="D427">
        <f>MONTH(Retail_data[[#This Row],[Order Date]])</f>
        <v>11</v>
      </c>
      <c r="E427" t="str">
        <f>"Q"&amp;ROUNDUP(MONTH(Retail_data[[#This Row],[Order Date]])/3,0)</f>
        <v>Q4</v>
      </c>
      <c r="F427" s="1">
        <v>46347</v>
      </c>
      <c r="G427" s="1">
        <v>46351</v>
      </c>
      <c r="H427" t="s">
        <v>1490</v>
      </c>
      <c r="I427" t="s">
        <v>1491</v>
      </c>
      <c r="J427" t="s">
        <v>44</v>
      </c>
      <c r="K427" t="s">
        <v>22</v>
      </c>
      <c r="L427" t="s">
        <v>45</v>
      </c>
      <c r="M427" t="s">
        <v>45</v>
      </c>
      <c r="N427" t="s">
        <v>25</v>
      </c>
      <c r="O427" t="s">
        <v>26</v>
      </c>
      <c r="P427" t="s">
        <v>27</v>
      </c>
      <c r="Q427" t="s">
        <v>577</v>
      </c>
      <c r="R427">
        <v>11629.62</v>
      </c>
      <c r="S427">
        <v>3</v>
      </c>
      <c r="T427">
        <v>0.2</v>
      </c>
      <c r="U427" t="str">
        <f>IF(Retail_data[[#This Row],[Sales]]&gt;30000,"High",IF(Retail_data[[#This Row],[Sales]]&gt;10000,"Medium","Low"))</f>
        <v>Medium</v>
      </c>
      <c r="V427" s="3">
        <f>Retail_data[[#This Row],[Profit]]/Retail_data[[#This Row],[Sales]]</f>
        <v>7.9561498999967312E-2</v>
      </c>
      <c r="W427">
        <v>925.27</v>
      </c>
      <c r="X427" t="s">
        <v>29</v>
      </c>
    </row>
    <row r="428" spans="1:24" ht="13.8" x14ac:dyDescent="0.25">
      <c r="A428" t="s">
        <v>1492</v>
      </c>
      <c r="B428">
        <f>YEAR(Retail_data[[#This Row],[Order Date]])</f>
        <v>2026</v>
      </c>
      <c r="C428" t="str">
        <f>TEXT(Retail_data[[#This Row],[Order Date]],"mmmm")</f>
        <v>November</v>
      </c>
      <c r="D428">
        <f>MONTH(Retail_data[[#This Row],[Order Date]])</f>
        <v>11</v>
      </c>
      <c r="E428" t="str">
        <f>"Q"&amp;ROUNDUP(MONTH(Retail_data[[#This Row],[Order Date]])/3,0)</f>
        <v>Q4</v>
      </c>
      <c r="F428" s="1">
        <v>46348</v>
      </c>
      <c r="G428" s="1">
        <v>46352</v>
      </c>
      <c r="H428" t="s">
        <v>1493</v>
      </c>
      <c r="I428" t="s">
        <v>1494</v>
      </c>
      <c r="J428" t="s">
        <v>21</v>
      </c>
      <c r="K428" t="s">
        <v>22</v>
      </c>
      <c r="L428" t="s">
        <v>45</v>
      </c>
      <c r="M428" t="s">
        <v>45</v>
      </c>
      <c r="N428" t="s">
        <v>25</v>
      </c>
      <c r="O428" t="s">
        <v>37</v>
      </c>
      <c r="P428" t="s">
        <v>52</v>
      </c>
      <c r="Q428" t="s">
        <v>198</v>
      </c>
      <c r="R428">
        <v>25040.639999999999</v>
      </c>
      <c r="S428">
        <v>6</v>
      </c>
      <c r="T428">
        <v>0.3</v>
      </c>
      <c r="U428" t="str">
        <f>IF(Retail_data[[#This Row],[Sales]]&gt;30000,"High",IF(Retail_data[[#This Row],[Sales]]&gt;10000,"Medium","Low"))</f>
        <v>Medium</v>
      </c>
      <c r="V428" s="3">
        <f>Retail_data[[#This Row],[Profit]]/Retail_data[[#This Row],[Sales]]</f>
        <v>-4.9427650411491076E-3</v>
      </c>
      <c r="W428">
        <v>-123.77</v>
      </c>
      <c r="X428" t="s">
        <v>40</v>
      </c>
    </row>
    <row r="429" spans="1:24" ht="13.8" x14ac:dyDescent="0.25">
      <c r="A429" t="s">
        <v>1495</v>
      </c>
      <c r="B429">
        <f>YEAR(Retail_data[[#This Row],[Order Date]])</f>
        <v>2026</v>
      </c>
      <c r="C429" t="str">
        <f>TEXT(Retail_data[[#This Row],[Order Date]],"mmmm")</f>
        <v>November</v>
      </c>
      <c r="D429">
        <f>MONTH(Retail_data[[#This Row],[Order Date]])</f>
        <v>11</v>
      </c>
      <c r="E429" t="str">
        <f>"Q"&amp;ROUNDUP(MONTH(Retail_data[[#This Row],[Order Date]])/3,0)</f>
        <v>Q4</v>
      </c>
      <c r="F429" s="1">
        <v>46349</v>
      </c>
      <c r="G429" s="1">
        <v>46353</v>
      </c>
      <c r="H429" t="s">
        <v>1496</v>
      </c>
      <c r="I429" t="s">
        <v>1497</v>
      </c>
      <c r="J429" t="s">
        <v>21</v>
      </c>
      <c r="K429" t="s">
        <v>22</v>
      </c>
      <c r="L429" t="s">
        <v>23</v>
      </c>
      <c r="M429" t="s">
        <v>24</v>
      </c>
      <c r="N429" t="s">
        <v>25</v>
      </c>
      <c r="O429" t="s">
        <v>26</v>
      </c>
      <c r="P429" t="s">
        <v>70</v>
      </c>
      <c r="Q429" t="s">
        <v>1498</v>
      </c>
      <c r="R429">
        <v>9971.7000000000007</v>
      </c>
      <c r="S429">
        <v>6</v>
      </c>
      <c r="T429">
        <v>0</v>
      </c>
      <c r="U429" t="str">
        <f>IF(Retail_data[[#This Row],[Sales]]&gt;30000,"High",IF(Retail_data[[#This Row],[Sales]]&gt;10000,"Medium","Low"))</f>
        <v>Low</v>
      </c>
      <c r="V429" s="3">
        <f>Retail_data[[#This Row],[Profit]]/Retail_data[[#This Row],[Sales]]</f>
        <v>0.18941303890008723</v>
      </c>
      <c r="W429">
        <v>1888.77</v>
      </c>
      <c r="X429" t="s">
        <v>40</v>
      </c>
    </row>
    <row r="430" spans="1:24" ht="13.8" x14ac:dyDescent="0.25">
      <c r="A430" t="s">
        <v>1499</v>
      </c>
      <c r="B430">
        <f>YEAR(Retail_data[[#This Row],[Order Date]])</f>
        <v>2026</v>
      </c>
      <c r="C430" t="str">
        <f>TEXT(Retail_data[[#This Row],[Order Date]],"mmmm")</f>
        <v>November</v>
      </c>
      <c r="D430">
        <f>MONTH(Retail_data[[#This Row],[Order Date]])</f>
        <v>11</v>
      </c>
      <c r="E430" t="str">
        <f>"Q"&amp;ROUNDUP(MONTH(Retail_data[[#This Row],[Order Date]])/3,0)</f>
        <v>Q4</v>
      </c>
      <c r="F430" s="1">
        <v>46350</v>
      </c>
      <c r="G430" s="1">
        <v>46354</v>
      </c>
      <c r="H430" t="s">
        <v>1500</v>
      </c>
      <c r="I430" t="s">
        <v>1501</v>
      </c>
      <c r="J430" t="s">
        <v>21</v>
      </c>
      <c r="K430" t="s">
        <v>22</v>
      </c>
      <c r="L430" t="s">
        <v>67</v>
      </c>
      <c r="M430" t="s">
        <v>68</v>
      </c>
      <c r="N430" t="s">
        <v>69</v>
      </c>
      <c r="O430" t="s">
        <v>37</v>
      </c>
      <c r="P430" t="s">
        <v>46</v>
      </c>
      <c r="Q430" t="s">
        <v>685</v>
      </c>
      <c r="R430">
        <v>11235.99</v>
      </c>
      <c r="S430">
        <v>6</v>
      </c>
      <c r="T430">
        <v>0</v>
      </c>
      <c r="U430" t="str">
        <f>IF(Retail_data[[#This Row],[Sales]]&gt;30000,"High",IF(Retail_data[[#This Row],[Sales]]&gt;10000,"Medium","Low"))</f>
        <v>Medium</v>
      </c>
      <c r="V430" s="3">
        <f>Retail_data[[#This Row],[Profit]]/Retail_data[[#This Row],[Sales]]</f>
        <v>0.16020039177678158</v>
      </c>
      <c r="W430">
        <v>1800.01</v>
      </c>
      <c r="X430" t="s">
        <v>81</v>
      </c>
    </row>
    <row r="431" spans="1:24" ht="13.8" x14ac:dyDescent="0.25">
      <c r="A431" t="s">
        <v>1502</v>
      </c>
      <c r="B431">
        <f>YEAR(Retail_data[[#This Row],[Order Date]])</f>
        <v>2026</v>
      </c>
      <c r="C431" t="str">
        <f>TEXT(Retail_data[[#This Row],[Order Date]],"mmmm")</f>
        <v>November</v>
      </c>
      <c r="D431">
        <f>MONTH(Retail_data[[#This Row],[Order Date]])</f>
        <v>11</v>
      </c>
      <c r="E431" t="str">
        <f>"Q"&amp;ROUNDUP(MONTH(Retail_data[[#This Row],[Order Date]])/3,0)</f>
        <v>Q4</v>
      </c>
      <c r="F431" s="1">
        <v>46351</v>
      </c>
      <c r="G431" s="1">
        <v>46355</v>
      </c>
      <c r="H431" t="s">
        <v>1503</v>
      </c>
      <c r="I431" t="s">
        <v>1504</v>
      </c>
      <c r="J431" t="s">
        <v>33</v>
      </c>
      <c r="K431" t="s">
        <v>22</v>
      </c>
      <c r="L431" t="s">
        <v>85</v>
      </c>
      <c r="M431" t="s">
        <v>86</v>
      </c>
      <c r="N431" t="s">
        <v>87</v>
      </c>
      <c r="O431" t="s">
        <v>57</v>
      </c>
      <c r="P431" t="s">
        <v>79</v>
      </c>
      <c r="Q431" t="s">
        <v>137</v>
      </c>
      <c r="R431">
        <v>39875.82</v>
      </c>
      <c r="S431">
        <v>5</v>
      </c>
      <c r="T431">
        <v>0.2</v>
      </c>
      <c r="U431" t="str">
        <f>IF(Retail_data[[#This Row],[Sales]]&gt;30000,"High",IF(Retail_data[[#This Row],[Sales]]&gt;10000,"Medium","Low"))</f>
        <v>High</v>
      </c>
      <c r="V431" s="3">
        <f>Retail_data[[#This Row],[Profit]]/Retail_data[[#This Row],[Sales]]</f>
        <v>-3.6882000169526294E-3</v>
      </c>
      <c r="W431">
        <v>-147.07</v>
      </c>
      <c r="X431" t="s">
        <v>40</v>
      </c>
    </row>
    <row r="432" spans="1:24" ht="13.8" x14ac:dyDescent="0.25">
      <c r="A432" t="s">
        <v>1505</v>
      </c>
      <c r="B432">
        <f>YEAR(Retail_data[[#This Row],[Order Date]])</f>
        <v>2026</v>
      </c>
      <c r="C432" t="str">
        <f>TEXT(Retail_data[[#This Row],[Order Date]],"mmmm")</f>
        <v>November</v>
      </c>
      <c r="D432">
        <f>MONTH(Retail_data[[#This Row],[Order Date]])</f>
        <v>11</v>
      </c>
      <c r="E432" t="str">
        <f>"Q"&amp;ROUNDUP(MONTH(Retail_data[[#This Row],[Order Date]])/3,0)</f>
        <v>Q4</v>
      </c>
      <c r="F432" s="1">
        <v>46352</v>
      </c>
      <c r="G432" s="1">
        <v>46356</v>
      </c>
      <c r="H432" t="s">
        <v>1506</v>
      </c>
      <c r="I432" t="s">
        <v>1507</v>
      </c>
      <c r="J432" t="s">
        <v>33</v>
      </c>
      <c r="K432" t="s">
        <v>22</v>
      </c>
      <c r="L432" t="s">
        <v>45</v>
      </c>
      <c r="M432" t="s">
        <v>45</v>
      </c>
      <c r="N432" t="s">
        <v>25</v>
      </c>
      <c r="O432" t="s">
        <v>26</v>
      </c>
      <c r="P432" t="s">
        <v>92</v>
      </c>
      <c r="Q432" t="s">
        <v>631</v>
      </c>
      <c r="R432">
        <v>20569.02</v>
      </c>
      <c r="S432">
        <v>6</v>
      </c>
      <c r="T432">
        <v>0.1</v>
      </c>
      <c r="U432" t="str">
        <f>IF(Retail_data[[#This Row],[Sales]]&gt;30000,"High",IF(Retail_data[[#This Row],[Sales]]&gt;10000,"Medium","Low"))</f>
        <v>Medium</v>
      </c>
      <c r="V432" s="3">
        <f>Retail_data[[#This Row],[Profit]]/Retail_data[[#This Row],[Sales]]</f>
        <v>0.23996476254094751</v>
      </c>
      <c r="W432">
        <v>4935.84</v>
      </c>
      <c r="X432" t="s">
        <v>29</v>
      </c>
    </row>
    <row r="433" spans="1:24" ht="13.8" x14ac:dyDescent="0.25">
      <c r="A433" t="s">
        <v>1508</v>
      </c>
      <c r="B433">
        <f>YEAR(Retail_data[[#This Row],[Order Date]])</f>
        <v>2026</v>
      </c>
      <c r="C433" t="str">
        <f>TEXT(Retail_data[[#This Row],[Order Date]],"mmmm")</f>
        <v>November</v>
      </c>
      <c r="D433">
        <f>MONTH(Retail_data[[#This Row],[Order Date]])</f>
        <v>11</v>
      </c>
      <c r="E433" t="str">
        <f>"Q"&amp;ROUNDUP(MONTH(Retail_data[[#This Row],[Order Date]])/3,0)</f>
        <v>Q4</v>
      </c>
      <c r="F433" s="1">
        <v>46353</v>
      </c>
      <c r="G433" s="1">
        <v>46357</v>
      </c>
      <c r="H433" t="s">
        <v>1509</v>
      </c>
      <c r="I433" t="s">
        <v>1510</v>
      </c>
      <c r="J433" t="s">
        <v>33</v>
      </c>
      <c r="K433" t="s">
        <v>22</v>
      </c>
      <c r="L433" t="s">
        <v>23</v>
      </c>
      <c r="M433" t="s">
        <v>24</v>
      </c>
      <c r="N433" t="s">
        <v>25</v>
      </c>
      <c r="O433" t="s">
        <v>26</v>
      </c>
      <c r="P433" t="s">
        <v>70</v>
      </c>
      <c r="Q433" t="s">
        <v>231</v>
      </c>
      <c r="R433">
        <v>31708.720000000001</v>
      </c>
      <c r="S433">
        <v>3</v>
      </c>
      <c r="T433">
        <v>0</v>
      </c>
      <c r="U433" t="str">
        <f>IF(Retail_data[[#This Row],[Sales]]&gt;30000,"High",IF(Retail_data[[#This Row],[Sales]]&gt;10000,"Medium","Low"))</f>
        <v>High</v>
      </c>
      <c r="V433" s="3">
        <f>Retail_data[[#This Row],[Profit]]/Retail_data[[#This Row],[Sales]]</f>
        <v>0.15430298037889892</v>
      </c>
      <c r="W433">
        <v>4892.75</v>
      </c>
      <c r="X433" t="s">
        <v>29</v>
      </c>
    </row>
    <row r="434" spans="1:24" ht="13.8" x14ac:dyDescent="0.25">
      <c r="A434" t="s">
        <v>1511</v>
      </c>
      <c r="B434">
        <f>YEAR(Retail_data[[#This Row],[Order Date]])</f>
        <v>2026</v>
      </c>
      <c r="C434" t="str">
        <f>TEXT(Retail_data[[#This Row],[Order Date]],"mmmm")</f>
        <v>November</v>
      </c>
      <c r="D434">
        <f>MONTH(Retail_data[[#This Row],[Order Date]])</f>
        <v>11</v>
      </c>
      <c r="E434" t="str">
        <f>"Q"&amp;ROUNDUP(MONTH(Retail_data[[#This Row],[Order Date]])/3,0)</f>
        <v>Q4</v>
      </c>
      <c r="F434" s="1">
        <v>46354</v>
      </c>
      <c r="G434" s="1">
        <v>46358</v>
      </c>
      <c r="H434" t="s">
        <v>1512</v>
      </c>
      <c r="I434" t="s">
        <v>1513</v>
      </c>
      <c r="J434" t="s">
        <v>33</v>
      </c>
      <c r="K434" t="s">
        <v>22</v>
      </c>
      <c r="L434" t="s">
        <v>23</v>
      </c>
      <c r="M434" t="s">
        <v>24</v>
      </c>
      <c r="N434" t="s">
        <v>25</v>
      </c>
      <c r="O434" t="s">
        <v>37</v>
      </c>
      <c r="P434" t="s">
        <v>46</v>
      </c>
      <c r="Q434" t="s">
        <v>849</v>
      </c>
      <c r="R434">
        <v>34979.56</v>
      </c>
      <c r="S434">
        <v>8</v>
      </c>
      <c r="T434">
        <v>0</v>
      </c>
      <c r="U434" t="str">
        <f>IF(Retail_data[[#This Row],[Sales]]&gt;30000,"High",IF(Retail_data[[#This Row],[Sales]]&gt;10000,"Medium","Low"))</f>
        <v>High</v>
      </c>
      <c r="V434" s="3">
        <f>Retail_data[[#This Row],[Profit]]/Retail_data[[#This Row],[Sales]]</f>
        <v>0.18989689978947707</v>
      </c>
      <c r="W434">
        <v>6642.51</v>
      </c>
      <c r="X434" t="s">
        <v>29</v>
      </c>
    </row>
    <row r="435" spans="1:24" ht="13.8" x14ac:dyDescent="0.25">
      <c r="A435" t="s">
        <v>1514</v>
      </c>
      <c r="B435">
        <f>YEAR(Retail_data[[#This Row],[Order Date]])</f>
        <v>2026</v>
      </c>
      <c r="C435" t="str">
        <f>TEXT(Retail_data[[#This Row],[Order Date]],"mmmm")</f>
        <v>November</v>
      </c>
      <c r="D435">
        <f>MONTH(Retail_data[[#This Row],[Order Date]])</f>
        <v>11</v>
      </c>
      <c r="E435" t="str">
        <f>"Q"&amp;ROUNDUP(MONTH(Retail_data[[#This Row],[Order Date]])/3,0)</f>
        <v>Q4</v>
      </c>
      <c r="F435" s="1">
        <v>46355</v>
      </c>
      <c r="G435" s="1">
        <v>46359</v>
      </c>
      <c r="H435" t="s">
        <v>1515</v>
      </c>
      <c r="I435" t="s">
        <v>1516</v>
      </c>
      <c r="J435" t="s">
        <v>33</v>
      </c>
      <c r="K435" t="s">
        <v>22</v>
      </c>
      <c r="L435" t="s">
        <v>34</v>
      </c>
      <c r="M435" t="s">
        <v>35</v>
      </c>
      <c r="N435" t="s">
        <v>36</v>
      </c>
      <c r="O435" t="s">
        <v>37</v>
      </c>
      <c r="P435" t="s">
        <v>46</v>
      </c>
      <c r="Q435" t="s">
        <v>47</v>
      </c>
      <c r="R435">
        <v>27272.83</v>
      </c>
      <c r="S435">
        <v>7</v>
      </c>
      <c r="T435">
        <v>0.2</v>
      </c>
      <c r="U435" t="str">
        <f>IF(Retail_data[[#This Row],[Sales]]&gt;30000,"High",IF(Retail_data[[#This Row],[Sales]]&gt;10000,"Medium","Low"))</f>
        <v>Medium</v>
      </c>
      <c r="V435" s="3">
        <f>Retail_data[[#This Row],[Profit]]/Retail_data[[#This Row],[Sales]]</f>
        <v>9.2624784446645236E-2</v>
      </c>
      <c r="W435">
        <v>2526.14</v>
      </c>
      <c r="X435" t="s">
        <v>48</v>
      </c>
    </row>
    <row r="436" spans="1:24" ht="13.8" x14ac:dyDescent="0.25">
      <c r="A436" t="s">
        <v>1517</v>
      </c>
      <c r="B436">
        <f>YEAR(Retail_data[[#This Row],[Order Date]])</f>
        <v>2026</v>
      </c>
      <c r="C436" t="str">
        <f>TEXT(Retail_data[[#This Row],[Order Date]],"mmmm")</f>
        <v>November</v>
      </c>
      <c r="D436">
        <f>MONTH(Retail_data[[#This Row],[Order Date]])</f>
        <v>11</v>
      </c>
      <c r="E436" t="str">
        <f>"Q"&amp;ROUNDUP(MONTH(Retail_data[[#This Row],[Order Date]])/3,0)</f>
        <v>Q4</v>
      </c>
      <c r="F436" s="1">
        <v>46356</v>
      </c>
      <c r="G436" s="1">
        <v>46360</v>
      </c>
      <c r="H436" t="s">
        <v>1518</v>
      </c>
      <c r="I436" t="s">
        <v>1519</v>
      </c>
      <c r="J436" t="s">
        <v>44</v>
      </c>
      <c r="K436" t="s">
        <v>22</v>
      </c>
      <c r="L436" t="s">
        <v>85</v>
      </c>
      <c r="M436" t="s">
        <v>86</v>
      </c>
      <c r="N436" t="s">
        <v>87</v>
      </c>
      <c r="O436" t="s">
        <v>26</v>
      </c>
      <c r="P436" t="s">
        <v>92</v>
      </c>
      <c r="Q436" t="s">
        <v>631</v>
      </c>
      <c r="R436">
        <v>30389.62</v>
      </c>
      <c r="S436">
        <v>2</v>
      </c>
      <c r="T436">
        <v>0.1</v>
      </c>
      <c r="U436" t="str">
        <f>IF(Retail_data[[#This Row],[Sales]]&gt;30000,"High",IF(Retail_data[[#This Row],[Sales]]&gt;10000,"Medium","Low"))</f>
        <v>High</v>
      </c>
      <c r="V436" s="3">
        <f>Retail_data[[#This Row],[Profit]]/Retail_data[[#This Row],[Sales]]</f>
        <v>0.16906562174847861</v>
      </c>
      <c r="W436">
        <v>5137.84</v>
      </c>
      <c r="X436" t="s">
        <v>29</v>
      </c>
    </row>
    <row r="437" spans="1:24" ht="13.8" x14ac:dyDescent="0.25">
      <c r="A437" t="s">
        <v>1520</v>
      </c>
      <c r="B437">
        <f>YEAR(Retail_data[[#This Row],[Order Date]])</f>
        <v>2026</v>
      </c>
      <c r="C437" t="str">
        <f>TEXT(Retail_data[[#This Row],[Order Date]],"mmmm")</f>
        <v>December</v>
      </c>
      <c r="D437">
        <f>MONTH(Retail_data[[#This Row],[Order Date]])</f>
        <v>12</v>
      </c>
      <c r="E437" t="str">
        <f>"Q"&amp;ROUNDUP(MONTH(Retail_data[[#This Row],[Order Date]])/3,0)</f>
        <v>Q4</v>
      </c>
      <c r="F437" s="1">
        <v>46357</v>
      </c>
      <c r="G437" s="1">
        <v>46361</v>
      </c>
      <c r="H437" t="s">
        <v>1521</v>
      </c>
      <c r="I437" t="s">
        <v>1522</v>
      </c>
      <c r="J437" t="s">
        <v>21</v>
      </c>
      <c r="K437" t="s">
        <v>22</v>
      </c>
      <c r="L437" t="s">
        <v>23</v>
      </c>
      <c r="M437" t="s">
        <v>24</v>
      </c>
      <c r="N437" t="s">
        <v>25</v>
      </c>
      <c r="O437" t="s">
        <v>57</v>
      </c>
      <c r="P437" t="s">
        <v>58</v>
      </c>
      <c r="Q437" t="s">
        <v>387</v>
      </c>
      <c r="R437">
        <v>22691.83</v>
      </c>
      <c r="S437">
        <v>1</v>
      </c>
      <c r="T437">
        <v>0</v>
      </c>
      <c r="U437" t="str">
        <f>IF(Retail_data[[#This Row],[Sales]]&gt;30000,"High",IF(Retail_data[[#This Row],[Sales]]&gt;10000,"Medium","Low"))</f>
        <v>Medium</v>
      </c>
      <c r="V437" s="3">
        <f>Retail_data[[#This Row],[Profit]]/Retail_data[[#This Row],[Sales]]</f>
        <v>0.10562964732240633</v>
      </c>
      <c r="W437">
        <v>2396.9299999999998</v>
      </c>
      <c r="X437" t="s">
        <v>48</v>
      </c>
    </row>
    <row r="438" spans="1:24" ht="13.8" x14ac:dyDescent="0.25">
      <c r="A438" t="s">
        <v>1523</v>
      </c>
      <c r="B438">
        <f>YEAR(Retail_data[[#This Row],[Order Date]])</f>
        <v>2026</v>
      </c>
      <c r="C438" t="str">
        <f>TEXT(Retail_data[[#This Row],[Order Date]],"mmmm")</f>
        <v>December</v>
      </c>
      <c r="D438">
        <f>MONTH(Retail_data[[#This Row],[Order Date]])</f>
        <v>12</v>
      </c>
      <c r="E438" t="str">
        <f>"Q"&amp;ROUNDUP(MONTH(Retail_data[[#This Row],[Order Date]])/3,0)</f>
        <v>Q4</v>
      </c>
      <c r="F438" s="1">
        <v>46358</v>
      </c>
      <c r="G438" s="1">
        <v>46362</v>
      </c>
      <c r="H438" t="s">
        <v>1524</v>
      </c>
      <c r="I438" t="s">
        <v>1525</v>
      </c>
      <c r="J438" t="s">
        <v>33</v>
      </c>
      <c r="K438" t="s">
        <v>22</v>
      </c>
      <c r="L438" t="s">
        <v>67</v>
      </c>
      <c r="M438" t="s">
        <v>68</v>
      </c>
      <c r="N438" t="s">
        <v>69</v>
      </c>
      <c r="O438" t="s">
        <v>37</v>
      </c>
      <c r="P438" t="s">
        <v>46</v>
      </c>
      <c r="Q438" t="s">
        <v>426</v>
      </c>
      <c r="R438">
        <v>5559.38</v>
      </c>
      <c r="S438">
        <v>8</v>
      </c>
      <c r="T438">
        <v>0</v>
      </c>
      <c r="U438" t="str">
        <f>IF(Retail_data[[#This Row],[Sales]]&gt;30000,"High",IF(Retail_data[[#This Row],[Sales]]&gt;10000,"Medium","Low"))</f>
        <v>Low</v>
      </c>
      <c r="V438" s="3">
        <f>Retail_data[[#This Row],[Profit]]/Retail_data[[#This Row],[Sales]]</f>
        <v>0.12847835550007375</v>
      </c>
      <c r="W438">
        <v>714.26</v>
      </c>
      <c r="X438" t="s">
        <v>40</v>
      </c>
    </row>
    <row r="439" spans="1:24" ht="13.8" x14ac:dyDescent="0.25">
      <c r="A439" t="s">
        <v>1526</v>
      </c>
      <c r="B439">
        <f>YEAR(Retail_data[[#This Row],[Order Date]])</f>
        <v>2026</v>
      </c>
      <c r="C439" t="str">
        <f>TEXT(Retail_data[[#This Row],[Order Date]],"mmmm")</f>
        <v>December</v>
      </c>
      <c r="D439">
        <f>MONTH(Retail_data[[#This Row],[Order Date]])</f>
        <v>12</v>
      </c>
      <c r="E439" t="str">
        <f>"Q"&amp;ROUNDUP(MONTH(Retail_data[[#This Row],[Order Date]])/3,0)</f>
        <v>Q4</v>
      </c>
      <c r="F439" s="1">
        <v>46359</v>
      </c>
      <c r="G439" s="1">
        <v>46363</v>
      </c>
      <c r="H439" t="s">
        <v>1527</v>
      </c>
      <c r="I439" t="s">
        <v>1528</v>
      </c>
      <c r="J439" t="s">
        <v>44</v>
      </c>
      <c r="K439" t="s">
        <v>22</v>
      </c>
      <c r="L439" t="s">
        <v>45</v>
      </c>
      <c r="M439" t="s">
        <v>45</v>
      </c>
      <c r="N439" t="s">
        <v>25</v>
      </c>
      <c r="O439" t="s">
        <v>26</v>
      </c>
      <c r="P439" t="s">
        <v>27</v>
      </c>
      <c r="Q439" t="s">
        <v>612</v>
      </c>
      <c r="R439">
        <v>38681.410000000003</v>
      </c>
      <c r="S439">
        <v>2</v>
      </c>
      <c r="T439">
        <v>0</v>
      </c>
      <c r="U439" t="str">
        <f>IF(Retail_data[[#This Row],[Sales]]&gt;30000,"High",IF(Retail_data[[#This Row],[Sales]]&gt;10000,"Medium","Low"))</f>
        <v>High</v>
      </c>
      <c r="V439" s="3">
        <f>Retail_data[[#This Row],[Profit]]/Retail_data[[#This Row],[Sales]]</f>
        <v>0.12458413485961344</v>
      </c>
      <c r="W439">
        <v>4819.09</v>
      </c>
      <c r="X439" t="s">
        <v>40</v>
      </c>
    </row>
    <row r="440" spans="1:24" ht="13.8" x14ac:dyDescent="0.25">
      <c r="A440" t="s">
        <v>1529</v>
      </c>
      <c r="B440">
        <f>YEAR(Retail_data[[#This Row],[Order Date]])</f>
        <v>2026</v>
      </c>
      <c r="C440" t="str">
        <f>TEXT(Retail_data[[#This Row],[Order Date]],"mmmm")</f>
        <v>December</v>
      </c>
      <c r="D440">
        <f>MONTH(Retail_data[[#This Row],[Order Date]])</f>
        <v>12</v>
      </c>
      <c r="E440" t="str">
        <f>"Q"&amp;ROUNDUP(MONTH(Retail_data[[#This Row],[Order Date]])/3,0)</f>
        <v>Q4</v>
      </c>
      <c r="F440" s="1">
        <v>46360</v>
      </c>
      <c r="G440" s="1">
        <v>46364</v>
      </c>
      <c r="H440" t="s">
        <v>1530</v>
      </c>
      <c r="I440" t="s">
        <v>1531</v>
      </c>
      <c r="J440" t="s">
        <v>21</v>
      </c>
      <c r="K440" t="s">
        <v>22</v>
      </c>
      <c r="L440" t="s">
        <v>45</v>
      </c>
      <c r="M440" t="s">
        <v>45</v>
      </c>
      <c r="N440" t="s">
        <v>25</v>
      </c>
      <c r="O440" t="s">
        <v>26</v>
      </c>
      <c r="P440" t="s">
        <v>70</v>
      </c>
      <c r="Q440" t="s">
        <v>231</v>
      </c>
      <c r="R440">
        <v>6367.28</v>
      </c>
      <c r="S440">
        <v>3</v>
      </c>
      <c r="T440">
        <v>0</v>
      </c>
      <c r="U440" t="str">
        <f>IF(Retail_data[[#This Row],[Sales]]&gt;30000,"High",IF(Retail_data[[#This Row],[Sales]]&gt;10000,"Medium","Low"))</f>
        <v>Low</v>
      </c>
      <c r="V440" s="3">
        <f>Retail_data[[#This Row],[Profit]]/Retail_data[[#This Row],[Sales]]</f>
        <v>7.3954655677149428E-2</v>
      </c>
      <c r="W440">
        <v>470.89</v>
      </c>
      <c r="X440" t="s">
        <v>40</v>
      </c>
    </row>
    <row r="441" spans="1:24" ht="13.8" x14ac:dyDescent="0.25">
      <c r="A441" t="s">
        <v>1532</v>
      </c>
      <c r="B441">
        <f>YEAR(Retail_data[[#This Row],[Order Date]])</f>
        <v>2026</v>
      </c>
      <c r="C441" t="str">
        <f>TEXT(Retail_data[[#This Row],[Order Date]],"mmmm")</f>
        <v>December</v>
      </c>
      <c r="D441">
        <f>MONTH(Retail_data[[#This Row],[Order Date]])</f>
        <v>12</v>
      </c>
      <c r="E441" t="str">
        <f>"Q"&amp;ROUNDUP(MONTH(Retail_data[[#This Row],[Order Date]])/3,0)</f>
        <v>Q4</v>
      </c>
      <c r="F441" s="1">
        <v>46361</v>
      </c>
      <c r="G441" s="1">
        <v>46365</v>
      </c>
      <c r="H441" t="s">
        <v>1533</v>
      </c>
      <c r="I441" t="s">
        <v>1534</v>
      </c>
      <c r="J441" t="s">
        <v>21</v>
      </c>
      <c r="K441" t="s">
        <v>22</v>
      </c>
      <c r="L441" t="s">
        <v>34</v>
      </c>
      <c r="M441" t="s">
        <v>35</v>
      </c>
      <c r="N441" t="s">
        <v>36</v>
      </c>
      <c r="O441" t="s">
        <v>37</v>
      </c>
      <c r="P441" t="s">
        <v>46</v>
      </c>
      <c r="Q441" t="s">
        <v>741</v>
      </c>
      <c r="R441">
        <v>14920.17</v>
      </c>
      <c r="S441">
        <v>1</v>
      </c>
      <c r="T441">
        <v>0.2</v>
      </c>
      <c r="U441" t="str">
        <f>IF(Retail_data[[#This Row],[Sales]]&gt;30000,"High",IF(Retail_data[[#This Row],[Sales]]&gt;10000,"Medium","Low"))</f>
        <v>Medium</v>
      </c>
      <c r="V441" s="3">
        <f>Retail_data[[#This Row],[Profit]]/Retail_data[[#This Row],[Sales]]</f>
        <v>0.10208663842302065</v>
      </c>
      <c r="W441">
        <v>1523.15</v>
      </c>
      <c r="X441" t="s">
        <v>40</v>
      </c>
    </row>
    <row r="442" spans="1:24" ht="13.8" x14ac:dyDescent="0.25">
      <c r="A442" t="s">
        <v>1535</v>
      </c>
      <c r="B442">
        <f>YEAR(Retail_data[[#This Row],[Order Date]])</f>
        <v>2026</v>
      </c>
      <c r="C442" t="str">
        <f>TEXT(Retail_data[[#This Row],[Order Date]],"mmmm")</f>
        <v>December</v>
      </c>
      <c r="D442">
        <f>MONTH(Retail_data[[#This Row],[Order Date]])</f>
        <v>12</v>
      </c>
      <c r="E442" t="str">
        <f>"Q"&amp;ROUNDUP(MONTH(Retail_data[[#This Row],[Order Date]])/3,0)</f>
        <v>Q4</v>
      </c>
      <c r="F442" s="1">
        <v>46362</v>
      </c>
      <c r="G442" s="1">
        <v>46366</v>
      </c>
      <c r="H442" t="s">
        <v>1536</v>
      </c>
      <c r="I442" t="s">
        <v>1537</v>
      </c>
      <c r="J442" t="s">
        <v>44</v>
      </c>
      <c r="K442" t="s">
        <v>22</v>
      </c>
      <c r="L442" t="s">
        <v>67</v>
      </c>
      <c r="M442" t="s">
        <v>68</v>
      </c>
      <c r="N442" t="s">
        <v>69</v>
      </c>
      <c r="O442" t="s">
        <v>26</v>
      </c>
      <c r="P442" t="s">
        <v>92</v>
      </c>
      <c r="Q442" t="s">
        <v>121</v>
      </c>
      <c r="R442">
        <v>34111.269999999997</v>
      </c>
      <c r="S442">
        <v>5</v>
      </c>
      <c r="T442">
        <v>0.1</v>
      </c>
      <c r="U442" t="str">
        <f>IF(Retail_data[[#This Row],[Sales]]&gt;30000,"High",IF(Retail_data[[#This Row],[Sales]]&gt;10000,"Medium","Low"))</f>
        <v>High</v>
      </c>
      <c r="V442" s="3">
        <f>Retail_data[[#This Row],[Profit]]/Retail_data[[#This Row],[Sales]]</f>
        <v>9.6165578121248499E-2</v>
      </c>
      <c r="W442">
        <v>3280.33</v>
      </c>
      <c r="X442" t="s">
        <v>40</v>
      </c>
    </row>
    <row r="443" spans="1:24" ht="13.8" x14ac:dyDescent="0.25">
      <c r="A443" t="s">
        <v>1538</v>
      </c>
      <c r="B443">
        <f>YEAR(Retail_data[[#This Row],[Order Date]])</f>
        <v>2026</v>
      </c>
      <c r="C443" t="str">
        <f>TEXT(Retail_data[[#This Row],[Order Date]],"mmmm")</f>
        <v>December</v>
      </c>
      <c r="D443">
        <f>MONTH(Retail_data[[#This Row],[Order Date]])</f>
        <v>12</v>
      </c>
      <c r="E443" t="str">
        <f>"Q"&amp;ROUNDUP(MONTH(Retail_data[[#This Row],[Order Date]])/3,0)</f>
        <v>Q4</v>
      </c>
      <c r="F443" s="1">
        <v>46363</v>
      </c>
      <c r="G443" s="1">
        <v>46367</v>
      </c>
      <c r="H443" t="s">
        <v>1539</v>
      </c>
      <c r="I443" t="s">
        <v>1540</v>
      </c>
      <c r="J443" t="s">
        <v>21</v>
      </c>
      <c r="K443" t="s">
        <v>22</v>
      </c>
      <c r="L443" t="s">
        <v>85</v>
      </c>
      <c r="M443" t="s">
        <v>86</v>
      </c>
      <c r="N443" t="s">
        <v>87</v>
      </c>
      <c r="O443" t="s">
        <v>57</v>
      </c>
      <c r="P443" t="s">
        <v>149</v>
      </c>
      <c r="Q443" t="s">
        <v>774</v>
      </c>
      <c r="R443">
        <v>5777.26</v>
      </c>
      <c r="S443">
        <v>4</v>
      </c>
      <c r="T443">
        <v>0.1</v>
      </c>
      <c r="U443" t="str">
        <f>IF(Retail_data[[#This Row],[Sales]]&gt;30000,"High",IF(Retail_data[[#This Row],[Sales]]&gt;10000,"Medium","Low"))</f>
        <v>Low</v>
      </c>
      <c r="V443" s="3">
        <f>Retail_data[[#This Row],[Profit]]/Retail_data[[#This Row],[Sales]]</f>
        <v>0.12941775166774561</v>
      </c>
      <c r="W443">
        <v>747.68</v>
      </c>
      <c r="X443" t="s">
        <v>48</v>
      </c>
    </row>
    <row r="444" spans="1:24" ht="13.8" x14ac:dyDescent="0.25">
      <c r="A444" t="s">
        <v>1541</v>
      </c>
      <c r="B444">
        <f>YEAR(Retail_data[[#This Row],[Order Date]])</f>
        <v>2026</v>
      </c>
      <c r="C444" t="str">
        <f>TEXT(Retail_data[[#This Row],[Order Date]],"mmmm")</f>
        <v>December</v>
      </c>
      <c r="D444">
        <f>MONTH(Retail_data[[#This Row],[Order Date]])</f>
        <v>12</v>
      </c>
      <c r="E444" t="str">
        <f>"Q"&amp;ROUNDUP(MONTH(Retail_data[[#This Row],[Order Date]])/3,0)</f>
        <v>Q4</v>
      </c>
      <c r="F444" s="1">
        <v>46364</v>
      </c>
      <c r="G444" s="1">
        <v>46368</v>
      </c>
      <c r="H444" t="s">
        <v>1542</v>
      </c>
      <c r="I444" t="s">
        <v>1543</v>
      </c>
      <c r="J444" t="s">
        <v>21</v>
      </c>
      <c r="K444" t="s">
        <v>22</v>
      </c>
      <c r="L444" t="s">
        <v>85</v>
      </c>
      <c r="M444" t="s">
        <v>86</v>
      </c>
      <c r="N444" t="s">
        <v>87</v>
      </c>
      <c r="O444" t="s">
        <v>26</v>
      </c>
      <c r="P444" t="s">
        <v>27</v>
      </c>
      <c r="Q444" t="s">
        <v>839</v>
      </c>
      <c r="R444">
        <v>36837.300000000003</v>
      </c>
      <c r="S444">
        <v>3</v>
      </c>
      <c r="T444">
        <v>0.2</v>
      </c>
      <c r="U444" t="str">
        <f>IF(Retail_data[[#This Row],[Sales]]&gt;30000,"High",IF(Retail_data[[#This Row],[Sales]]&gt;10000,"Medium","Low"))</f>
        <v>High</v>
      </c>
      <c r="V444" s="3">
        <f>Retail_data[[#This Row],[Profit]]/Retail_data[[#This Row],[Sales]]</f>
        <v>3.8592947908777243E-2</v>
      </c>
      <c r="W444">
        <v>1421.66</v>
      </c>
      <c r="X444" t="s">
        <v>40</v>
      </c>
    </row>
    <row r="445" spans="1:24" ht="13.8" x14ac:dyDescent="0.25">
      <c r="A445" t="s">
        <v>1544</v>
      </c>
      <c r="B445">
        <f>YEAR(Retail_data[[#This Row],[Order Date]])</f>
        <v>2026</v>
      </c>
      <c r="C445" t="str">
        <f>TEXT(Retail_data[[#This Row],[Order Date]],"mmmm")</f>
        <v>December</v>
      </c>
      <c r="D445">
        <f>MONTH(Retail_data[[#This Row],[Order Date]])</f>
        <v>12</v>
      </c>
      <c r="E445" t="str">
        <f>"Q"&amp;ROUNDUP(MONTH(Retail_data[[#This Row],[Order Date]])/3,0)</f>
        <v>Q4</v>
      </c>
      <c r="F445" s="1">
        <v>46365</v>
      </c>
      <c r="G445" s="1">
        <v>46369</v>
      </c>
      <c r="H445" t="s">
        <v>1545</v>
      </c>
      <c r="I445" t="s">
        <v>1546</v>
      </c>
      <c r="J445" t="s">
        <v>21</v>
      </c>
      <c r="K445" t="s">
        <v>22</v>
      </c>
      <c r="L445" t="s">
        <v>85</v>
      </c>
      <c r="M445" t="s">
        <v>86</v>
      </c>
      <c r="N445" t="s">
        <v>87</v>
      </c>
      <c r="O445" t="s">
        <v>26</v>
      </c>
      <c r="P445" t="s">
        <v>27</v>
      </c>
      <c r="Q445" t="s">
        <v>577</v>
      </c>
      <c r="R445">
        <v>19799.77</v>
      </c>
      <c r="S445">
        <v>7</v>
      </c>
      <c r="T445">
        <v>0.2</v>
      </c>
      <c r="U445" t="str">
        <f>IF(Retail_data[[#This Row],[Sales]]&gt;30000,"High",IF(Retail_data[[#This Row],[Sales]]&gt;10000,"Medium","Low"))</f>
        <v>Medium</v>
      </c>
      <c r="V445" s="3">
        <f>Retail_data[[#This Row],[Profit]]/Retail_data[[#This Row],[Sales]]</f>
        <v>0.16043822731274149</v>
      </c>
      <c r="W445">
        <v>3176.64</v>
      </c>
      <c r="X445" t="s">
        <v>29</v>
      </c>
    </row>
    <row r="446" spans="1:24" ht="13.8" x14ac:dyDescent="0.25">
      <c r="A446" t="s">
        <v>1547</v>
      </c>
      <c r="B446">
        <f>YEAR(Retail_data[[#This Row],[Order Date]])</f>
        <v>2026</v>
      </c>
      <c r="C446" t="str">
        <f>TEXT(Retail_data[[#This Row],[Order Date]],"mmmm")</f>
        <v>December</v>
      </c>
      <c r="D446">
        <f>MONTH(Retail_data[[#This Row],[Order Date]])</f>
        <v>12</v>
      </c>
      <c r="E446" t="str">
        <f>"Q"&amp;ROUNDUP(MONTH(Retail_data[[#This Row],[Order Date]])/3,0)</f>
        <v>Q4</v>
      </c>
      <c r="F446" s="1">
        <v>46366</v>
      </c>
      <c r="G446" s="1">
        <v>46370</v>
      </c>
      <c r="H446" t="s">
        <v>1548</v>
      </c>
      <c r="I446" t="s">
        <v>1549</v>
      </c>
      <c r="J446" t="s">
        <v>33</v>
      </c>
      <c r="K446" t="s">
        <v>22</v>
      </c>
      <c r="L446" t="s">
        <v>23</v>
      </c>
      <c r="M446" t="s">
        <v>24</v>
      </c>
      <c r="N446" t="s">
        <v>25</v>
      </c>
      <c r="O446" t="s">
        <v>57</v>
      </c>
      <c r="P446" t="s">
        <v>79</v>
      </c>
      <c r="Q446" t="s">
        <v>351</v>
      </c>
      <c r="R446">
        <v>23398.76</v>
      </c>
      <c r="S446">
        <v>1</v>
      </c>
      <c r="T446">
        <v>0.1</v>
      </c>
      <c r="U446" t="str">
        <f>IF(Retail_data[[#This Row],[Sales]]&gt;30000,"High",IF(Retail_data[[#This Row],[Sales]]&gt;10000,"Medium","Low"))</f>
        <v>Medium</v>
      </c>
      <c r="V446" s="3">
        <f>Retail_data[[#This Row],[Profit]]/Retail_data[[#This Row],[Sales]]</f>
        <v>3.9962374074523611E-2</v>
      </c>
      <c r="W446">
        <v>935.07</v>
      </c>
      <c r="X446" t="s">
        <v>29</v>
      </c>
    </row>
    <row r="447" spans="1:24" ht="13.8" x14ac:dyDescent="0.25">
      <c r="A447" t="s">
        <v>1550</v>
      </c>
      <c r="B447">
        <f>YEAR(Retail_data[[#This Row],[Order Date]])</f>
        <v>2026</v>
      </c>
      <c r="C447" t="str">
        <f>TEXT(Retail_data[[#This Row],[Order Date]],"mmmm")</f>
        <v>December</v>
      </c>
      <c r="D447">
        <f>MONTH(Retail_data[[#This Row],[Order Date]])</f>
        <v>12</v>
      </c>
      <c r="E447" t="str">
        <f>"Q"&amp;ROUNDUP(MONTH(Retail_data[[#This Row],[Order Date]])/3,0)</f>
        <v>Q4</v>
      </c>
      <c r="F447" s="1">
        <v>46367</v>
      </c>
      <c r="G447" s="1">
        <v>46371</v>
      </c>
      <c r="H447" t="s">
        <v>1551</v>
      </c>
      <c r="I447" t="s">
        <v>1552</v>
      </c>
      <c r="J447" t="s">
        <v>21</v>
      </c>
      <c r="K447" t="s">
        <v>22</v>
      </c>
      <c r="L447" t="s">
        <v>34</v>
      </c>
      <c r="M447" t="s">
        <v>35</v>
      </c>
      <c r="N447" t="s">
        <v>36</v>
      </c>
      <c r="O447" t="s">
        <v>26</v>
      </c>
      <c r="P447" t="s">
        <v>92</v>
      </c>
      <c r="Q447" t="s">
        <v>246</v>
      </c>
      <c r="R447">
        <v>36197.32</v>
      </c>
      <c r="S447">
        <v>3</v>
      </c>
      <c r="T447">
        <v>0.2</v>
      </c>
      <c r="U447" t="str">
        <f>IF(Retail_data[[#This Row],[Sales]]&gt;30000,"High",IF(Retail_data[[#This Row],[Sales]]&gt;10000,"Medium","Low"))</f>
        <v>High</v>
      </c>
      <c r="V447" s="3">
        <f>Retail_data[[#This Row],[Profit]]/Retail_data[[#This Row],[Sales]]</f>
        <v>4.1081494431079425E-2</v>
      </c>
      <c r="W447">
        <v>1487.04</v>
      </c>
      <c r="X447" t="s">
        <v>40</v>
      </c>
    </row>
    <row r="448" spans="1:24" ht="13.8" x14ac:dyDescent="0.25">
      <c r="A448" t="s">
        <v>1553</v>
      </c>
      <c r="B448">
        <f>YEAR(Retail_data[[#This Row],[Order Date]])</f>
        <v>2026</v>
      </c>
      <c r="C448" t="str">
        <f>TEXT(Retail_data[[#This Row],[Order Date]],"mmmm")</f>
        <v>December</v>
      </c>
      <c r="D448">
        <f>MONTH(Retail_data[[#This Row],[Order Date]])</f>
        <v>12</v>
      </c>
      <c r="E448" t="str">
        <f>"Q"&amp;ROUNDUP(MONTH(Retail_data[[#This Row],[Order Date]])/3,0)</f>
        <v>Q4</v>
      </c>
      <c r="F448" s="1">
        <v>46368</v>
      </c>
      <c r="G448" s="1">
        <v>46372</v>
      </c>
      <c r="H448" t="s">
        <v>1554</v>
      </c>
      <c r="I448" t="s">
        <v>1555</v>
      </c>
      <c r="J448" t="s">
        <v>33</v>
      </c>
      <c r="K448" t="s">
        <v>22</v>
      </c>
      <c r="L448" t="s">
        <v>67</v>
      </c>
      <c r="M448" t="s">
        <v>68</v>
      </c>
      <c r="N448" t="s">
        <v>69</v>
      </c>
      <c r="O448" t="s">
        <v>26</v>
      </c>
      <c r="P448" t="s">
        <v>27</v>
      </c>
      <c r="Q448" t="s">
        <v>889</v>
      </c>
      <c r="R448">
        <v>9930.9599999999991</v>
      </c>
      <c r="S448">
        <v>4</v>
      </c>
      <c r="T448">
        <v>0.3</v>
      </c>
      <c r="U448" t="str">
        <f>IF(Retail_data[[#This Row],[Sales]]&gt;30000,"High",IF(Retail_data[[#This Row],[Sales]]&gt;10000,"Medium","Low"))</f>
        <v>Low</v>
      </c>
      <c r="V448" s="3">
        <f>Retail_data[[#This Row],[Profit]]/Retail_data[[#This Row],[Sales]]</f>
        <v>-4.1533749003117529E-2</v>
      </c>
      <c r="W448">
        <v>-412.47</v>
      </c>
      <c r="X448" t="s">
        <v>48</v>
      </c>
    </row>
    <row r="449" spans="1:24" ht="13.8" x14ac:dyDescent="0.25">
      <c r="A449" t="s">
        <v>1556</v>
      </c>
      <c r="B449">
        <f>YEAR(Retail_data[[#This Row],[Order Date]])</f>
        <v>2026</v>
      </c>
      <c r="C449" t="str">
        <f>TEXT(Retail_data[[#This Row],[Order Date]],"mmmm")</f>
        <v>December</v>
      </c>
      <c r="D449">
        <f>MONTH(Retail_data[[#This Row],[Order Date]])</f>
        <v>12</v>
      </c>
      <c r="E449" t="str">
        <f>"Q"&amp;ROUNDUP(MONTH(Retail_data[[#This Row],[Order Date]])/3,0)</f>
        <v>Q4</v>
      </c>
      <c r="F449" s="1">
        <v>46369</v>
      </c>
      <c r="G449" s="1">
        <v>46373</v>
      </c>
      <c r="H449" t="s">
        <v>1557</v>
      </c>
      <c r="I449" t="s">
        <v>1558</v>
      </c>
      <c r="J449" t="s">
        <v>44</v>
      </c>
      <c r="K449" t="s">
        <v>22</v>
      </c>
      <c r="L449" t="s">
        <v>85</v>
      </c>
      <c r="M449" t="s">
        <v>86</v>
      </c>
      <c r="N449" t="s">
        <v>87</v>
      </c>
      <c r="O449" t="s">
        <v>26</v>
      </c>
      <c r="P449" t="s">
        <v>70</v>
      </c>
      <c r="Q449" t="s">
        <v>324</v>
      </c>
      <c r="R449">
        <v>15104.04</v>
      </c>
      <c r="S449">
        <v>1</v>
      </c>
      <c r="T449">
        <v>0.2</v>
      </c>
      <c r="U449" t="str">
        <f>IF(Retail_data[[#This Row],[Sales]]&gt;30000,"High",IF(Retail_data[[#This Row],[Sales]]&gt;10000,"Medium","Low"))</f>
        <v>Medium</v>
      </c>
      <c r="V449" s="3">
        <f>Retail_data[[#This Row],[Profit]]/Retail_data[[#This Row],[Sales]]</f>
        <v>3.4699325478481252E-3</v>
      </c>
      <c r="W449">
        <v>52.41</v>
      </c>
      <c r="X449" t="s">
        <v>81</v>
      </c>
    </row>
    <row r="450" spans="1:24" ht="13.8" x14ac:dyDescent="0.25">
      <c r="A450" t="s">
        <v>1559</v>
      </c>
      <c r="B450">
        <f>YEAR(Retail_data[[#This Row],[Order Date]])</f>
        <v>2026</v>
      </c>
      <c r="C450" t="str">
        <f>TEXT(Retail_data[[#This Row],[Order Date]],"mmmm")</f>
        <v>December</v>
      </c>
      <c r="D450">
        <f>MONTH(Retail_data[[#This Row],[Order Date]])</f>
        <v>12</v>
      </c>
      <c r="E450" t="str">
        <f>"Q"&amp;ROUNDUP(MONTH(Retail_data[[#This Row],[Order Date]])/3,0)</f>
        <v>Q4</v>
      </c>
      <c r="F450" s="1">
        <v>46370</v>
      </c>
      <c r="G450" s="1">
        <v>46374</v>
      </c>
      <c r="H450" t="s">
        <v>1560</v>
      </c>
      <c r="I450" t="s">
        <v>1561</v>
      </c>
      <c r="J450" t="s">
        <v>21</v>
      </c>
      <c r="K450" t="s">
        <v>22</v>
      </c>
      <c r="L450" t="s">
        <v>67</v>
      </c>
      <c r="M450" t="s">
        <v>68</v>
      </c>
      <c r="N450" t="s">
        <v>69</v>
      </c>
      <c r="O450" t="s">
        <v>57</v>
      </c>
      <c r="P450" t="s">
        <v>149</v>
      </c>
      <c r="Q450" t="s">
        <v>176</v>
      </c>
      <c r="R450">
        <v>45656.59</v>
      </c>
      <c r="S450">
        <v>8</v>
      </c>
      <c r="T450">
        <v>0.3</v>
      </c>
      <c r="U450" t="str">
        <f>IF(Retail_data[[#This Row],[Sales]]&gt;30000,"High",IF(Retail_data[[#This Row],[Sales]]&gt;10000,"Medium","Low"))</f>
        <v>High</v>
      </c>
      <c r="V450" s="3">
        <f>Retail_data[[#This Row],[Profit]]/Retail_data[[#This Row],[Sales]]</f>
        <v>-5.9997034382112208E-2</v>
      </c>
      <c r="W450">
        <v>-2739.26</v>
      </c>
      <c r="X450" t="s">
        <v>48</v>
      </c>
    </row>
    <row r="451" spans="1:24" ht="13.8" x14ac:dyDescent="0.25">
      <c r="A451" t="s">
        <v>1562</v>
      </c>
      <c r="B451">
        <f>YEAR(Retail_data[[#This Row],[Order Date]])</f>
        <v>2026</v>
      </c>
      <c r="C451" t="str">
        <f>TEXT(Retail_data[[#This Row],[Order Date]],"mmmm")</f>
        <v>December</v>
      </c>
      <c r="D451">
        <f>MONTH(Retail_data[[#This Row],[Order Date]])</f>
        <v>12</v>
      </c>
      <c r="E451" t="str">
        <f>"Q"&amp;ROUNDUP(MONTH(Retail_data[[#This Row],[Order Date]])/3,0)</f>
        <v>Q4</v>
      </c>
      <c r="F451" s="1">
        <v>46371</v>
      </c>
      <c r="G451" s="1">
        <v>46375</v>
      </c>
      <c r="H451" t="s">
        <v>1563</v>
      </c>
      <c r="I451" t="s">
        <v>1564</v>
      </c>
      <c r="J451" t="s">
        <v>33</v>
      </c>
      <c r="K451" t="s">
        <v>22</v>
      </c>
      <c r="L451" t="s">
        <v>67</v>
      </c>
      <c r="M451" t="s">
        <v>68</v>
      </c>
      <c r="N451" t="s">
        <v>69</v>
      </c>
      <c r="O451" t="s">
        <v>37</v>
      </c>
      <c r="P451" t="s">
        <v>38</v>
      </c>
      <c r="Q451" t="s">
        <v>1157</v>
      </c>
      <c r="R451">
        <v>28339.72</v>
      </c>
      <c r="S451">
        <v>1</v>
      </c>
      <c r="T451">
        <v>0.1</v>
      </c>
      <c r="U451" t="str">
        <f>IF(Retail_data[[#This Row],[Sales]]&gt;30000,"High",IF(Retail_data[[#This Row],[Sales]]&gt;10000,"Medium","Low"))</f>
        <v>Medium</v>
      </c>
      <c r="V451" s="3">
        <f>Retail_data[[#This Row],[Profit]]/Retail_data[[#This Row],[Sales]]</f>
        <v>7.673999601972073E-2</v>
      </c>
      <c r="W451">
        <v>2174.79</v>
      </c>
      <c r="X451" t="s">
        <v>29</v>
      </c>
    </row>
    <row r="452" spans="1:24" ht="13.8" x14ac:dyDescent="0.25">
      <c r="A452" t="s">
        <v>1565</v>
      </c>
      <c r="B452">
        <f>YEAR(Retail_data[[#This Row],[Order Date]])</f>
        <v>2026</v>
      </c>
      <c r="C452" t="str">
        <f>TEXT(Retail_data[[#This Row],[Order Date]],"mmmm")</f>
        <v>December</v>
      </c>
      <c r="D452">
        <f>MONTH(Retail_data[[#This Row],[Order Date]])</f>
        <v>12</v>
      </c>
      <c r="E452" t="str">
        <f>"Q"&amp;ROUNDUP(MONTH(Retail_data[[#This Row],[Order Date]])/3,0)</f>
        <v>Q4</v>
      </c>
      <c r="F452" s="1">
        <v>46372</v>
      </c>
      <c r="G452" s="1">
        <v>46376</v>
      </c>
      <c r="H452" t="s">
        <v>1566</v>
      </c>
      <c r="I452" t="s">
        <v>1567</v>
      </c>
      <c r="J452" t="s">
        <v>33</v>
      </c>
      <c r="K452" t="s">
        <v>22</v>
      </c>
      <c r="L452" t="s">
        <v>85</v>
      </c>
      <c r="M452" t="s">
        <v>86</v>
      </c>
      <c r="N452" t="s">
        <v>87</v>
      </c>
      <c r="O452" t="s">
        <v>37</v>
      </c>
      <c r="P452" t="s">
        <v>46</v>
      </c>
      <c r="Q452" t="s">
        <v>685</v>
      </c>
      <c r="R452">
        <v>10732.73</v>
      </c>
      <c r="S452">
        <v>6</v>
      </c>
      <c r="T452">
        <v>0.1</v>
      </c>
      <c r="U452" t="str">
        <f>IF(Retail_data[[#This Row],[Sales]]&gt;30000,"High",IF(Retail_data[[#This Row],[Sales]]&gt;10000,"Medium","Low"))</f>
        <v>Medium</v>
      </c>
      <c r="V452" s="3">
        <f>Retail_data[[#This Row],[Profit]]/Retail_data[[#This Row],[Sales]]</f>
        <v>0.16948250817825475</v>
      </c>
      <c r="W452">
        <v>1819.01</v>
      </c>
      <c r="X452" t="s">
        <v>40</v>
      </c>
    </row>
    <row r="453" spans="1:24" ht="13.8" x14ac:dyDescent="0.25">
      <c r="A453" t="s">
        <v>1568</v>
      </c>
      <c r="B453">
        <f>YEAR(Retail_data[[#This Row],[Order Date]])</f>
        <v>2026</v>
      </c>
      <c r="C453" t="str">
        <f>TEXT(Retail_data[[#This Row],[Order Date]],"mmmm")</f>
        <v>December</v>
      </c>
      <c r="D453">
        <f>MONTH(Retail_data[[#This Row],[Order Date]])</f>
        <v>12</v>
      </c>
      <c r="E453" t="str">
        <f>"Q"&amp;ROUNDUP(MONTH(Retail_data[[#This Row],[Order Date]])/3,0)</f>
        <v>Q4</v>
      </c>
      <c r="F453" s="1">
        <v>46373</v>
      </c>
      <c r="G453" s="1">
        <v>46377</v>
      </c>
      <c r="H453" t="s">
        <v>1569</v>
      </c>
      <c r="I453" t="s">
        <v>1570</v>
      </c>
      <c r="J453" t="s">
        <v>33</v>
      </c>
      <c r="K453" t="s">
        <v>22</v>
      </c>
      <c r="L453" t="s">
        <v>34</v>
      </c>
      <c r="M453" t="s">
        <v>35</v>
      </c>
      <c r="N453" t="s">
        <v>36</v>
      </c>
      <c r="O453" t="s">
        <v>26</v>
      </c>
      <c r="P453" t="s">
        <v>27</v>
      </c>
      <c r="Q453" t="s">
        <v>1571</v>
      </c>
      <c r="R453">
        <v>20086.939999999999</v>
      </c>
      <c r="S453">
        <v>8</v>
      </c>
      <c r="T453">
        <v>0.2</v>
      </c>
      <c r="U453" t="str">
        <f>IF(Retail_data[[#This Row],[Sales]]&gt;30000,"High",IF(Retail_data[[#This Row],[Sales]]&gt;10000,"Medium","Low"))</f>
        <v>Medium</v>
      </c>
      <c r="V453" s="3">
        <f>Retail_data[[#This Row],[Profit]]/Retail_data[[#This Row],[Sales]]</f>
        <v>0.14431765117036244</v>
      </c>
      <c r="W453">
        <v>2898.9</v>
      </c>
      <c r="X453" t="s">
        <v>48</v>
      </c>
    </row>
    <row r="454" spans="1:24" ht="13.8" x14ac:dyDescent="0.25">
      <c r="A454" t="s">
        <v>1572</v>
      </c>
      <c r="B454">
        <f>YEAR(Retail_data[[#This Row],[Order Date]])</f>
        <v>2026</v>
      </c>
      <c r="C454" t="str">
        <f>TEXT(Retail_data[[#This Row],[Order Date]],"mmmm")</f>
        <v>December</v>
      </c>
      <c r="D454">
        <f>MONTH(Retail_data[[#This Row],[Order Date]])</f>
        <v>12</v>
      </c>
      <c r="E454" t="str">
        <f>"Q"&amp;ROUNDUP(MONTH(Retail_data[[#This Row],[Order Date]])/3,0)</f>
        <v>Q4</v>
      </c>
      <c r="F454" s="1">
        <v>46374</v>
      </c>
      <c r="G454" s="1">
        <v>46378</v>
      </c>
      <c r="H454" t="s">
        <v>1573</v>
      </c>
      <c r="I454" t="s">
        <v>1574</v>
      </c>
      <c r="J454" t="s">
        <v>33</v>
      </c>
      <c r="K454" t="s">
        <v>22</v>
      </c>
      <c r="L454" t="s">
        <v>85</v>
      </c>
      <c r="M454" t="s">
        <v>86</v>
      </c>
      <c r="N454" t="s">
        <v>87</v>
      </c>
      <c r="O454" t="s">
        <v>37</v>
      </c>
      <c r="P454" t="s">
        <v>52</v>
      </c>
      <c r="Q454" t="s">
        <v>335</v>
      </c>
      <c r="R454">
        <v>25418.06</v>
      </c>
      <c r="S454">
        <v>1</v>
      </c>
      <c r="T454">
        <v>0</v>
      </c>
      <c r="U454" t="str">
        <f>IF(Retail_data[[#This Row],[Sales]]&gt;30000,"High",IF(Retail_data[[#This Row],[Sales]]&gt;10000,"Medium","Low"))</f>
        <v>Medium</v>
      </c>
      <c r="V454" s="3">
        <f>Retail_data[[#This Row],[Profit]]/Retail_data[[#This Row],[Sales]]</f>
        <v>0.2780275127212698</v>
      </c>
      <c r="W454">
        <v>7066.92</v>
      </c>
      <c r="X454" t="s">
        <v>48</v>
      </c>
    </row>
    <row r="455" spans="1:24" ht="13.8" x14ac:dyDescent="0.25">
      <c r="A455" t="s">
        <v>1575</v>
      </c>
      <c r="B455">
        <f>YEAR(Retail_data[[#This Row],[Order Date]])</f>
        <v>2026</v>
      </c>
      <c r="C455" t="str">
        <f>TEXT(Retail_data[[#This Row],[Order Date]],"mmmm")</f>
        <v>December</v>
      </c>
      <c r="D455">
        <f>MONTH(Retail_data[[#This Row],[Order Date]])</f>
        <v>12</v>
      </c>
      <c r="E455" t="str">
        <f>"Q"&amp;ROUNDUP(MONTH(Retail_data[[#This Row],[Order Date]])/3,0)</f>
        <v>Q4</v>
      </c>
      <c r="F455" s="1">
        <v>46375</v>
      </c>
      <c r="G455" s="1">
        <v>46379</v>
      </c>
      <c r="H455" t="s">
        <v>1576</v>
      </c>
      <c r="I455" t="s">
        <v>1577</v>
      </c>
      <c r="J455" t="s">
        <v>21</v>
      </c>
      <c r="K455" t="s">
        <v>22</v>
      </c>
      <c r="L455" t="s">
        <v>45</v>
      </c>
      <c r="M455" t="s">
        <v>45</v>
      </c>
      <c r="N455" t="s">
        <v>25</v>
      </c>
      <c r="O455" t="s">
        <v>57</v>
      </c>
      <c r="P455" t="s">
        <v>149</v>
      </c>
      <c r="Q455" t="s">
        <v>362</v>
      </c>
      <c r="R455">
        <v>38035.120000000003</v>
      </c>
      <c r="S455">
        <v>3</v>
      </c>
      <c r="T455">
        <v>0.3</v>
      </c>
      <c r="U455" t="str">
        <f>IF(Retail_data[[#This Row],[Sales]]&gt;30000,"High",IF(Retail_data[[#This Row],[Sales]]&gt;10000,"Medium","Low"))</f>
        <v>High</v>
      </c>
      <c r="V455" s="3">
        <f>Retail_data[[#This Row],[Profit]]/Retail_data[[#This Row],[Sales]]</f>
        <v>8.3221769774881729E-2</v>
      </c>
      <c r="W455">
        <v>3165.35</v>
      </c>
      <c r="X455" t="s">
        <v>29</v>
      </c>
    </row>
    <row r="456" spans="1:24" ht="13.8" x14ac:dyDescent="0.25">
      <c r="A456" t="s">
        <v>1578</v>
      </c>
      <c r="B456">
        <f>YEAR(Retail_data[[#This Row],[Order Date]])</f>
        <v>2026</v>
      </c>
      <c r="C456" t="str">
        <f>TEXT(Retail_data[[#This Row],[Order Date]],"mmmm")</f>
        <v>December</v>
      </c>
      <c r="D456">
        <f>MONTH(Retail_data[[#This Row],[Order Date]])</f>
        <v>12</v>
      </c>
      <c r="E456" t="str">
        <f>"Q"&amp;ROUNDUP(MONTH(Retail_data[[#This Row],[Order Date]])/3,0)</f>
        <v>Q4</v>
      </c>
      <c r="F456" s="1">
        <v>46376</v>
      </c>
      <c r="G456" s="1">
        <v>46380</v>
      </c>
      <c r="H456" t="s">
        <v>1579</v>
      </c>
      <c r="I456" t="s">
        <v>1580</v>
      </c>
      <c r="J456" t="s">
        <v>33</v>
      </c>
      <c r="K456" t="s">
        <v>22</v>
      </c>
      <c r="L456" t="s">
        <v>23</v>
      </c>
      <c r="M456" t="s">
        <v>24</v>
      </c>
      <c r="N456" t="s">
        <v>25</v>
      </c>
      <c r="O456" t="s">
        <v>26</v>
      </c>
      <c r="P456" t="s">
        <v>92</v>
      </c>
      <c r="Q456" t="s">
        <v>653</v>
      </c>
      <c r="R456">
        <v>12261.93</v>
      </c>
      <c r="S456">
        <v>5</v>
      </c>
      <c r="T456">
        <v>0.1</v>
      </c>
      <c r="U456" t="str">
        <f>IF(Retail_data[[#This Row],[Sales]]&gt;30000,"High",IF(Retail_data[[#This Row],[Sales]]&gt;10000,"Medium","Low"))</f>
        <v>Medium</v>
      </c>
      <c r="V456" s="3">
        <f>Retail_data[[#This Row],[Profit]]/Retail_data[[#This Row],[Sales]]</f>
        <v>0.21632646736688269</v>
      </c>
      <c r="W456">
        <v>2652.58</v>
      </c>
      <c r="X456" t="s">
        <v>29</v>
      </c>
    </row>
    <row r="457" spans="1:24" ht="13.8" x14ac:dyDescent="0.25">
      <c r="A457" t="s">
        <v>1581</v>
      </c>
      <c r="B457">
        <f>YEAR(Retail_data[[#This Row],[Order Date]])</f>
        <v>2026</v>
      </c>
      <c r="C457" t="str">
        <f>TEXT(Retail_data[[#This Row],[Order Date]],"mmmm")</f>
        <v>December</v>
      </c>
      <c r="D457">
        <f>MONTH(Retail_data[[#This Row],[Order Date]])</f>
        <v>12</v>
      </c>
      <c r="E457" t="str">
        <f>"Q"&amp;ROUNDUP(MONTH(Retail_data[[#This Row],[Order Date]])/3,0)</f>
        <v>Q4</v>
      </c>
      <c r="F457" s="1">
        <v>46377</v>
      </c>
      <c r="G457" s="1">
        <v>46381</v>
      </c>
      <c r="H457" t="s">
        <v>1582</v>
      </c>
      <c r="I457" t="s">
        <v>1583</v>
      </c>
      <c r="J457" t="s">
        <v>21</v>
      </c>
      <c r="K457" t="s">
        <v>22</v>
      </c>
      <c r="L457" t="s">
        <v>85</v>
      </c>
      <c r="M457" t="s">
        <v>86</v>
      </c>
      <c r="N457" t="s">
        <v>87</v>
      </c>
      <c r="O457" t="s">
        <v>26</v>
      </c>
      <c r="P457" t="s">
        <v>92</v>
      </c>
      <c r="Q457" t="s">
        <v>433</v>
      </c>
      <c r="R457">
        <v>33151.35</v>
      </c>
      <c r="S457">
        <v>2</v>
      </c>
      <c r="T457">
        <v>0.3</v>
      </c>
      <c r="U457" t="str">
        <f>IF(Retail_data[[#This Row],[Sales]]&gt;30000,"High",IF(Retail_data[[#This Row],[Sales]]&gt;10000,"Medium","Low"))</f>
        <v>High</v>
      </c>
      <c r="V457" s="3">
        <f>Retail_data[[#This Row],[Profit]]/Retail_data[[#This Row],[Sales]]</f>
        <v>-6.1026172388153124E-3</v>
      </c>
      <c r="W457">
        <v>-202.31</v>
      </c>
      <c r="X457" t="s">
        <v>81</v>
      </c>
    </row>
    <row r="458" spans="1:24" ht="13.8" x14ac:dyDescent="0.25">
      <c r="A458" t="s">
        <v>1584</v>
      </c>
      <c r="B458">
        <f>YEAR(Retail_data[[#This Row],[Order Date]])</f>
        <v>2026</v>
      </c>
      <c r="C458" t="str">
        <f>TEXT(Retail_data[[#This Row],[Order Date]],"mmmm")</f>
        <v>December</v>
      </c>
      <c r="D458">
        <f>MONTH(Retail_data[[#This Row],[Order Date]])</f>
        <v>12</v>
      </c>
      <c r="E458" t="str">
        <f>"Q"&amp;ROUNDUP(MONTH(Retail_data[[#This Row],[Order Date]])/3,0)</f>
        <v>Q4</v>
      </c>
      <c r="F458" s="1">
        <v>46378</v>
      </c>
      <c r="G458" s="1">
        <v>46382</v>
      </c>
      <c r="H458" t="s">
        <v>1585</v>
      </c>
      <c r="I458" t="s">
        <v>1586</v>
      </c>
      <c r="J458" t="s">
        <v>44</v>
      </c>
      <c r="K458" t="s">
        <v>22</v>
      </c>
      <c r="L458" t="s">
        <v>45</v>
      </c>
      <c r="M458" t="s">
        <v>45</v>
      </c>
      <c r="N458" t="s">
        <v>25</v>
      </c>
      <c r="O458" t="s">
        <v>37</v>
      </c>
      <c r="P458" t="s">
        <v>46</v>
      </c>
      <c r="Q458" t="s">
        <v>741</v>
      </c>
      <c r="R458">
        <v>3534.13</v>
      </c>
      <c r="S458">
        <v>4</v>
      </c>
      <c r="T458">
        <v>0.1</v>
      </c>
      <c r="U458" t="str">
        <f>IF(Retail_data[[#This Row],[Sales]]&gt;30000,"High",IF(Retail_data[[#This Row],[Sales]]&gt;10000,"Medium","Low"))</f>
        <v>Low</v>
      </c>
      <c r="V458" s="3">
        <f>Retail_data[[#This Row],[Profit]]/Retail_data[[#This Row],[Sales]]</f>
        <v>8.3500041028485086E-2</v>
      </c>
      <c r="W458">
        <v>295.10000000000002</v>
      </c>
      <c r="X458" t="s">
        <v>81</v>
      </c>
    </row>
    <row r="459" spans="1:24" ht="13.8" x14ac:dyDescent="0.25">
      <c r="A459" t="s">
        <v>1587</v>
      </c>
      <c r="B459">
        <f>YEAR(Retail_data[[#This Row],[Order Date]])</f>
        <v>2026</v>
      </c>
      <c r="C459" t="str">
        <f>TEXT(Retail_data[[#This Row],[Order Date]],"mmmm")</f>
        <v>December</v>
      </c>
      <c r="D459">
        <f>MONTH(Retail_data[[#This Row],[Order Date]])</f>
        <v>12</v>
      </c>
      <c r="E459" t="str">
        <f>"Q"&amp;ROUNDUP(MONTH(Retail_data[[#This Row],[Order Date]])/3,0)</f>
        <v>Q4</v>
      </c>
      <c r="F459" s="1">
        <v>46379</v>
      </c>
      <c r="G459" s="1">
        <v>46383</v>
      </c>
      <c r="H459" t="s">
        <v>1588</v>
      </c>
      <c r="I459" t="s">
        <v>1589</v>
      </c>
      <c r="J459" t="s">
        <v>33</v>
      </c>
      <c r="K459" t="s">
        <v>22</v>
      </c>
      <c r="L459" t="s">
        <v>85</v>
      </c>
      <c r="M459" t="s">
        <v>86</v>
      </c>
      <c r="N459" t="s">
        <v>87</v>
      </c>
      <c r="O459" t="s">
        <v>57</v>
      </c>
      <c r="P459" t="s">
        <v>58</v>
      </c>
      <c r="Q459" t="s">
        <v>1590</v>
      </c>
      <c r="R459">
        <v>46076.3</v>
      </c>
      <c r="S459">
        <v>1</v>
      </c>
      <c r="T459">
        <v>0.2</v>
      </c>
      <c r="U459" t="str">
        <f>IF(Retail_data[[#This Row],[Sales]]&gt;30000,"High",IF(Retail_data[[#This Row],[Sales]]&gt;10000,"Medium","Low"))</f>
        <v>High</v>
      </c>
      <c r="V459" s="3">
        <f>Retail_data[[#This Row],[Profit]]/Retail_data[[#This Row],[Sales]]</f>
        <v>8.7439746681048595E-3</v>
      </c>
      <c r="W459">
        <v>402.89</v>
      </c>
      <c r="X459" t="s">
        <v>40</v>
      </c>
    </row>
    <row r="460" spans="1:24" ht="13.8" x14ac:dyDescent="0.25">
      <c r="A460" t="s">
        <v>1591</v>
      </c>
      <c r="B460">
        <f>YEAR(Retail_data[[#This Row],[Order Date]])</f>
        <v>2026</v>
      </c>
      <c r="C460" t="str">
        <f>TEXT(Retail_data[[#This Row],[Order Date]],"mmmm")</f>
        <v>December</v>
      </c>
      <c r="D460">
        <f>MONTH(Retail_data[[#This Row],[Order Date]])</f>
        <v>12</v>
      </c>
      <c r="E460" t="str">
        <f>"Q"&amp;ROUNDUP(MONTH(Retail_data[[#This Row],[Order Date]])/3,0)</f>
        <v>Q4</v>
      </c>
      <c r="F460" s="1">
        <v>46380</v>
      </c>
      <c r="G460" s="1">
        <v>46384</v>
      </c>
      <c r="H460" t="s">
        <v>1592</v>
      </c>
      <c r="I460" t="s">
        <v>1593</v>
      </c>
      <c r="J460" t="s">
        <v>44</v>
      </c>
      <c r="K460" t="s">
        <v>22</v>
      </c>
      <c r="L460" t="s">
        <v>67</v>
      </c>
      <c r="M460" t="s">
        <v>68</v>
      </c>
      <c r="N460" t="s">
        <v>69</v>
      </c>
      <c r="O460" t="s">
        <v>37</v>
      </c>
      <c r="P460" t="s">
        <v>38</v>
      </c>
      <c r="Q460" t="s">
        <v>411</v>
      </c>
      <c r="R460">
        <v>19768.88</v>
      </c>
      <c r="S460">
        <v>7</v>
      </c>
      <c r="T460">
        <v>0</v>
      </c>
      <c r="U460" t="str">
        <f>IF(Retail_data[[#This Row],[Sales]]&gt;30000,"High",IF(Retail_data[[#This Row],[Sales]]&gt;10000,"Medium","Low"))</f>
        <v>Medium</v>
      </c>
      <c r="V460" s="3">
        <f>Retail_data[[#This Row],[Profit]]/Retail_data[[#This Row],[Sales]]</f>
        <v>6.8266386360785233E-2</v>
      </c>
      <c r="W460">
        <v>1349.55</v>
      </c>
      <c r="X460" t="s">
        <v>40</v>
      </c>
    </row>
    <row r="461" spans="1:24" ht="13.8" x14ac:dyDescent="0.25">
      <c r="A461" t="s">
        <v>1594</v>
      </c>
      <c r="B461">
        <f>YEAR(Retail_data[[#This Row],[Order Date]])</f>
        <v>2026</v>
      </c>
      <c r="C461" t="str">
        <f>TEXT(Retail_data[[#This Row],[Order Date]],"mmmm")</f>
        <v>December</v>
      </c>
      <c r="D461">
        <f>MONTH(Retail_data[[#This Row],[Order Date]])</f>
        <v>12</v>
      </c>
      <c r="E461" t="str">
        <f>"Q"&amp;ROUNDUP(MONTH(Retail_data[[#This Row],[Order Date]])/3,0)</f>
        <v>Q4</v>
      </c>
      <c r="F461" s="1">
        <v>46381</v>
      </c>
      <c r="G461" s="1">
        <v>46385</v>
      </c>
      <c r="H461" t="s">
        <v>1595</v>
      </c>
      <c r="I461" t="s">
        <v>1596</v>
      </c>
      <c r="J461" t="s">
        <v>21</v>
      </c>
      <c r="K461" t="s">
        <v>22</v>
      </c>
      <c r="L461" t="s">
        <v>34</v>
      </c>
      <c r="M461" t="s">
        <v>35</v>
      </c>
      <c r="N461" t="s">
        <v>36</v>
      </c>
      <c r="O461" t="s">
        <v>57</v>
      </c>
      <c r="P461" t="s">
        <v>58</v>
      </c>
      <c r="Q461" t="s">
        <v>731</v>
      </c>
      <c r="R461">
        <v>34544.19</v>
      </c>
      <c r="S461">
        <v>1</v>
      </c>
      <c r="T461">
        <v>0.1</v>
      </c>
      <c r="U461" t="str">
        <f>IF(Retail_data[[#This Row],[Sales]]&gt;30000,"High",IF(Retail_data[[#This Row],[Sales]]&gt;10000,"Medium","Low"))</f>
        <v>High</v>
      </c>
      <c r="V461" s="3">
        <f>Retail_data[[#This Row],[Profit]]/Retail_data[[#This Row],[Sales]]</f>
        <v>0.12975438127221972</v>
      </c>
      <c r="W461">
        <v>4482.26</v>
      </c>
      <c r="X461" t="s">
        <v>29</v>
      </c>
    </row>
    <row r="462" spans="1:24" ht="13.8" x14ac:dyDescent="0.25">
      <c r="A462" t="s">
        <v>1597</v>
      </c>
      <c r="B462">
        <f>YEAR(Retail_data[[#This Row],[Order Date]])</f>
        <v>2026</v>
      </c>
      <c r="C462" t="str">
        <f>TEXT(Retail_data[[#This Row],[Order Date]],"mmmm")</f>
        <v>December</v>
      </c>
      <c r="D462">
        <f>MONTH(Retail_data[[#This Row],[Order Date]])</f>
        <v>12</v>
      </c>
      <c r="E462" t="str">
        <f>"Q"&amp;ROUNDUP(MONTH(Retail_data[[#This Row],[Order Date]])/3,0)</f>
        <v>Q4</v>
      </c>
      <c r="F462" s="1">
        <v>46382</v>
      </c>
      <c r="G462" s="1">
        <v>46386</v>
      </c>
      <c r="H462" t="s">
        <v>1598</v>
      </c>
      <c r="I462" t="s">
        <v>1599</v>
      </c>
      <c r="J462" t="s">
        <v>21</v>
      </c>
      <c r="K462" t="s">
        <v>22</v>
      </c>
      <c r="L462" t="s">
        <v>23</v>
      </c>
      <c r="M462" t="s">
        <v>24</v>
      </c>
      <c r="N462" t="s">
        <v>25</v>
      </c>
      <c r="O462" t="s">
        <v>26</v>
      </c>
      <c r="P462" t="s">
        <v>70</v>
      </c>
      <c r="Q462" t="s">
        <v>324</v>
      </c>
      <c r="R462">
        <v>47645.33</v>
      </c>
      <c r="S462">
        <v>4</v>
      </c>
      <c r="T462">
        <v>0</v>
      </c>
      <c r="U462" t="str">
        <f>IF(Retail_data[[#This Row],[Sales]]&gt;30000,"High",IF(Retail_data[[#This Row],[Sales]]&gt;10000,"Medium","Low"))</f>
        <v>High</v>
      </c>
      <c r="V462" s="3">
        <f>Retail_data[[#This Row],[Profit]]/Retail_data[[#This Row],[Sales]]</f>
        <v>0.25943864802699446</v>
      </c>
      <c r="W462">
        <v>12361.04</v>
      </c>
      <c r="X462" t="s">
        <v>29</v>
      </c>
    </row>
    <row r="463" spans="1:24" ht="13.8" x14ac:dyDescent="0.25">
      <c r="A463" t="s">
        <v>1600</v>
      </c>
      <c r="B463">
        <f>YEAR(Retail_data[[#This Row],[Order Date]])</f>
        <v>2026</v>
      </c>
      <c r="C463" t="str">
        <f>TEXT(Retail_data[[#This Row],[Order Date]],"mmmm")</f>
        <v>December</v>
      </c>
      <c r="D463">
        <f>MONTH(Retail_data[[#This Row],[Order Date]])</f>
        <v>12</v>
      </c>
      <c r="E463" t="str">
        <f>"Q"&amp;ROUNDUP(MONTH(Retail_data[[#This Row],[Order Date]])/3,0)</f>
        <v>Q4</v>
      </c>
      <c r="F463" s="1">
        <v>46383</v>
      </c>
      <c r="G463" s="1">
        <v>46387</v>
      </c>
      <c r="H463" t="s">
        <v>1601</v>
      </c>
      <c r="I463" t="s">
        <v>1602</v>
      </c>
      <c r="J463" t="s">
        <v>33</v>
      </c>
      <c r="K463" t="s">
        <v>22</v>
      </c>
      <c r="L463" t="s">
        <v>67</v>
      </c>
      <c r="M463" t="s">
        <v>68</v>
      </c>
      <c r="N463" t="s">
        <v>69</v>
      </c>
      <c r="O463" t="s">
        <v>37</v>
      </c>
      <c r="P463" t="s">
        <v>46</v>
      </c>
      <c r="Q463" t="s">
        <v>105</v>
      </c>
      <c r="R463">
        <v>6816.44</v>
      </c>
      <c r="S463">
        <v>5</v>
      </c>
      <c r="T463">
        <v>0.3</v>
      </c>
      <c r="U463" t="str">
        <f>IF(Retail_data[[#This Row],[Sales]]&gt;30000,"High",IF(Retail_data[[#This Row],[Sales]]&gt;10000,"Medium","Low"))</f>
        <v>Low</v>
      </c>
      <c r="V463" s="3">
        <f>Retail_data[[#This Row],[Profit]]/Retail_data[[#This Row],[Sales]]</f>
        <v>3.5486265557974545E-2</v>
      </c>
      <c r="W463">
        <v>241.89</v>
      </c>
      <c r="X463" t="s">
        <v>40</v>
      </c>
    </row>
    <row r="464" spans="1:24" ht="13.8" x14ac:dyDescent="0.25">
      <c r="A464" t="s">
        <v>1603</v>
      </c>
      <c r="B464">
        <f>YEAR(Retail_data[[#This Row],[Order Date]])</f>
        <v>2026</v>
      </c>
      <c r="C464" t="str">
        <f>TEXT(Retail_data[[#This Row],[Order Date]],"mmmm")</f>
        <v>December</v>
      </c>
      <c r="D464">
        <f>MONTH(Retail_data[[#This Row],[Order Date]])</f>
        <v>12</v>
      </c>
      <c r="E464" t="str">
        <f>"Q"&amp;ROUNDUP(MONTH(Retail_data[[#This Row],[Order Date]])/3,0)</f>
        <v>Q4</v>
      </c>
      <c r="F464" s="1">
        <v>46384</v>
      </c>
      <c r="G464" s="1">
        <v>46388</v>
      </c>
      <c r="H464" t="s">
        <v>1604</v>
      </c>
      <c r="I464" t="s">
        <v>1605</v>
      </c>
      <c r="J464" t="s">
        <v>33</v>
      </c>
      <c r="K464" t="s">
        <v>22</v>
      </c>
      <c r="L464" t="s">
        <v>23</v>
      </c>
      <c r="M464" t="s">
        <v>24</v>
      </c>
      <c r="N464" t="s">
        <v>25</v>
      </c>
      <c r="O464" t="s">
        <v>37</v>
      </c>
      <c r="P464" t="s">
        <v>46</v>
      </c>
      <c r="Q464" t="s">
        <v>794</v>
      </c>
      <c r="R464">
        <v>35745.120000000003</v>
      </c>
      <c r="S464">
        <v>7</v>
      </c>
      <c r="T464">
        <v>0.1</v>
      </c>
      <c r="U464" t="str">
        <f>IF(Retail_data[[#This Row],[Sales]]&gt;30000,"High",IF(Retail_data[[#This Row],[Sales]]&gt;10000,"Medium","Low"))</f>
        <v>High</v>
      </c>
      <c r="V464" s="3">
        <f>Retail_data[[#This Row],[Profit]]/Retail_data[[#This Row],[Sales]]</f>
        <v>0.10491110394929433</v>
      </c>
      <c r="W464">
        <v>3750.06</v>
      </c>
      <c r="X464" t="s">
        <v>81</v>
      </c>
    </row>
    <row r="465" spans="1:24" ht="13.8" x14ac:dyDescent="0.25">
      <c r="A465" t="s">
        <v>1606</v>
      </c>
      <c r="B465">
        <f>YEAR(Retail_data[[#This Row],[Order Date]])</f>
        <v>2026</v>
      </c>
      <c r="C465" t="str">
        <f>TEXT(Retail_data[[#This Row],[Order Date]],"mmmm")</f>
        <v>December</v>
      </c>
      <c r="D465">
        <f>MONTH(Retail_data[[#This Row],[Order Date]])</f>
        <v>12</v>
      </c>
      <c r="E465" t="str">
        <f>"Q"&amp;ROUNDUP(MONTH(Retail_data[[#This Row],[Order Date]])/3,0)</f>
        <v>Q4</v>
      </c>
      <c r="F465" s="1">
        <v>46385</v>
      </c>
      <c r="G465" s="1">
        <v>46389</v>
      </c>
      <c r="H465" t="s">
        <v>1607</v>
      </c>
      <c r="I465" t="s">
        <v>1608</v>
      </c>
      <c r="J465" t="s">
        <v>33</v>
      </c>
      <c r="K465" t="s">
        <v>22</v>
      </c>
      <c r="L465" t="s">
        <v>23</v>
      </c>
      <c r="M465" t="s">
        <v>24</v>
      </c>
      <c r="N465" t="s">
        <v>25</v>
      </c>
      <c r="O465" t="s">
        <v>57</v>
      </c>
      <c r="P465" t="s">
        <v>58</v>
      </c>
      <c r="Q465" t="s">
        <v>59</v>
      </c>
      <c r="R465">
        <v>40102.21</v>
      </c>
      <c r="S465">
        <v>4</v>
      </c>
      <c r="T465">
        <v>0.1</v>
      </c>
      <c r="U465" t="str">
        <f>IF(Retail_data[[#This Row],[Sales]]&gt;30000,"High",IF(Retail_data[[#This Row],[Sales]]&gt;10000,"Medium","Low"))</f>
        <v>High</v>
      </c>
      <c r="V465" s="3">
        <f>Retail_data[[#This Row],[Profit]]/Retail_data[[#This Row],[Sales]]</f>
        <v>0.15714744898099134</v>
      </c>
      <c r="W465">
        <v>6301.96</v>
      </c>
      <c r="X465" t="s">
        <v>29</v>
      </c>
    </row>
    <row r="466" spans="1:24" ht="13.8" x14ac:dyDescent="0.25">
      <c r="A466" t="s">
        <v>1609</v>
      </c>
      <c r="B466">
        <f>YEAR(Retail_data[[#This Row],[Order Date]])</f>
        <v>2026</v>
      </c>
      <c r="C466" t="str">
        <f>TEXT(Retail_data[[#This Row],[Order Date]],"mmmm")</f>
        <v>December</v>
      </c>
      <c r="D466">
        <f>MONTH(Retail_data[[#This Row],[Order Date]])</f>
        <v>12</v>
      </c>
      <c r="E466" t="str">
        <f>"Q"&amp;ROUNDUP(MONTH(Retail_data[[#This Row],[Order Date]])/3,0)</f>
        <v>Q4</v>
      </c>
      <c r="F466" s="1">
        <v>46386</v>
      </c>
      <c r="G466" s="1">
        <v>46390</v>
      </c>
      <c r="H466" t="s">
        <v>1610</v>
      </c>
      <c r="I466" t="s">
        <v>1611</v>
      </c>
      <c r="J466" t="s">
        <v>21</v>
      </c>
      <c r="K466" t="s">
        <v>22</v>
      </c>
      <c r="L466" t="s">
        <v>85</v>
      </c>
      <c r="M466" t="s">
        <v>86</v>
      </c>
      <c r="N466" t="s">
        <v>87</v>
      </c>
      <c r="O466" t="s">
        <v>57</v>
      </c>
      <c r="P466" t="s">
        <v>149</v>
      </c>
      <c r="Q466" t="s">
        <v>150</v>
      </c>
      <c r="R466">
        <v>27932.74</v>
      </c>
      <c r="S466">
        <v>5</v>
      </c>
      <c r="T466">
        <v>0.2</v>
      </c>
      <c r="U466" t="str">
        <f>IF(Retail_data[[#This Row],[Sales]]&gt;30000,"High",IF(Retail_data[[#This Row],[Sales]]&gt;10000,"Medium","Low"))</f>
        <v>Medium</v>
      </c>
      <c r="V466" s="3">
        <f>Retail_data[[#This Row],[Profit]]/Retail_data[[#This Row],[Sales]]</f>
        <v>5.2433452643743501E-2</v>
      </c>
      <c r="W466">
        <v>1464.61</v>
      </c>
      <c r="X466" t="s">
        <v>48</v>
      </c>
    </row>
    <row r="467" spans="1:24" ht="13.8" x14ac:dyDescent="0.25">
      <c r="A467" t="s">
        <v>1612</v>
      </c>
      <c r="B467">
        <f>YEAR(Retail_data[[#This Row],[Order Date]])</f>
        <v>2026</v>
      </c>
      <c r="C467" t="str">
        <f>TEXT(Retail_data[[#This Row],[Order Date]],"mmmm")</f>
        <v>December</v>
      </c>
      <c r="D467">
        <f>MONTH(Retail_data[[#This Row],[Order Date]])</f>
        <v>12</v>
      </c>
      <c r="E467" t="str">
        <f>"Q"&amp;ROUNDUP(MONTH(Retail_data[[#This Row],[Order Date]])/3,0)</f>
        <v>Q4</v>
      </c>
      <c r="F467" s="1">
        <v>46387</v>
      </c>
      <c r="G467" s="1">
        <v>46391</v>
      </c>
      <c r="H467" t="s">
        <v>1613</v>
      </c>
      <c r="I467" t="s">
        <v>1614</v>
      </c>
      <c r="J467" t="s">
        <v>33</v>
      </c>
      <c r="K467" t="s">
        <v>22</v>
      </c>
      <c r="L467" t="s">
        <v>34</v>
      </c>
      <c r="M467" t="s">
        <v>35</v>
      </c>
      <c r="N467" t="s">
        <v>36</v>
      </c>
      <c r="O467" t="s">
        <v>26</v>
      </c>
      <c r="P467" t="s">
        <v>27</v>
      </c>
      <c r="Q467" t="s">
        <v>168</v>
      </c>
      <c r="R467">
        <v>5665.17</v>
      </c>
      <c r="S467">
        <v>2</v>
      </c>
      <c r="T467">
        <v>0.1</v>
      </c>
      <c r="U467" t="str">
        <f>IF(Retail_data[[#This Row],[Sales]]&gt;30000,"High",IF(Retail_data[[#This Row],[Sales]]&gt;10000,"Medium","Low"))</f>
        <v>Low</v>
      </c>
      <c r="V467" s="3">
        <f>Retail_data[[#This Row],[Profit]]/Retail_data[[#This Row],[Sales]]</f>
        <v>0.25716792258661259</v>
      </c>
      <c r="W467">
        <v>1456.9</v>
      </c>
      <c r="X467" t="s">
        <v>29</v>
      </c>
    </row>
    <row r="468" spans="1:24" ht="13.8" x14ac:dyDescent="0.25">
      <c r="A468" t="s">
        <v>1615</v>
      </c>
      <c r="B468">
        <f>YEAR(Retail_data[[#This Row],[Order Date]])</f>
        <v>2027</v>
      </c>
      <c r="C468" t="str">
        <f>TEXT(Retail_data[[#This Row],[Order Date]],"mmmm")</f>
        <v>January</v>
      </c>
      <c r="D468">
        <f>MONTH(Retail_data[[#This Row],[Order Date]])</f>
        <v>1</v>
      </c>
      <c r="E468" t="str">
        <f>"Q"&amp;ROUNDUP(MONTH(Retail_data[[#This Row],[Order Date]])/3,0)</f>
        <v>Q1</v>
      </c>
      <c r="F468" s="1">
        <v>46388</v>
      </c>
      <c r="G468" s="1">
        <v>46392</v>
      </c>
      <c r="H468" t="s">
        <v>1616</v>
      </c>
      <c r="I468" t="s">
        <v>1617</v>
      </c>
      <c r="J468" t="s">
        <v>33</v>
      </c>
      <c r="K468" t="s">
        <v>22</v>
      </c>
      <c r="L468" t="s">
        <v>45</v>
      </c>
      <c r="M468" t="s">
        <v>45</v>
      </c>
      <c r="N468" t="s">
        <v>25</v>
      </c>
      <c r="O468" t="s">
        <v>26</v>
      </c>
      <c r="P468" t="s">
        <v>70</v>
      </c>
      <c r="Q468" t="s">
        <v>316</v>
      </c>
      <c r="R468">
        <v>41062.81</v>
      </c>
      <c r="S468">
        <v>5</v>
      </c>
      <c r="T468">
        <v>0.2</v>
      </c>
      <c r="U468" t="str">
        <f>IF(Retail_data[[#This Row],[Sales]]&gt;30000,"High",IF(Retail_data[[#This Row],[Sales]]&gt;10000,"Medium","Low"))</f>
        <v>High</v>
      </c>
      <c r="V468" s="3">
        <f>Retail_data[[#This Row],[Profit]]/Retail_data[[#This Row],[Sales]]</f>
        <v>3.0937726862823079E-2</v>
      </c>
      <c r="W468">
        <v>1270.3900000000001</v>
      </c>
      <c r="X468" t="s">
        <v>81</v>
      </c>
    </row>
    <row r="469" spans="1:24" ht="13.8" x14ac:dyDescent="0.25">
      <c r="A469" t="s">
        <v>1618</v>
      </c>
      <c r="B469">
        <f>YEAR(Retail_data[[#This Row],[Order Date]])</f>
        <v>2027</v>
      </c>
      <c r="C469" t="str">
        <f>TEXT(Retail_data[[#This Row],[Order Date]],"mmmm")</f>
        <v>January</v>
      </c>
      <c r="D469">
        <f>MONTH(Retail_data[[#This Row],[Order Date]])</f>
        <v>1</v>
      </c>
      <c r="E469" t="str">
        <f>"Q"&amp;ROUNDUP(MONTH(Retail_data[[#This Row],[Order Date]])/3,0)</f>
        <v>Q1</v>
      </c>
      <c r="F469" s="1">
        <v>46389</v>
      </c>
      <c r="G469" s="1">
        <v>46393</v>
      </c>
      <c r="H469" t="s">
        <v>1619</v>
      </c>
      <c r="I469" t="s">
        <v>1620</v>
      </c>
      <c r="J469" t="s">
        <v>21</v>
      </c>
      <c r="K469" t="s">
        <v>22</v>
      </c>
      <c r="L469" t="s">
        <v>23</v>
      </c>
      <c r="M469" t="s">
        <v>24</v>
      </c>
      <c r="N469" t="s">
        <v>25</v>
      </c>
      <c r="O469" t="s">
        <v>37</v>
      </c>
      <c r="P469" t="s">
        <v>46</v>
      </c>
      <c r="Q469" t="s">
        <v>741</v>
      </c>
      <c r="R469">
        <v>21289.3</v>
      </c>
      <c r="S469">
        <v>8</v>
      </c>
      <c r="T469">
        <v>0</v>
      </c>
      <c r="U469" t="str">
        <f>IF(Retail_data[[#This Row],[Sales]]&gt;30000,"High",IF(Retail_data[[#This Row],[Sales]]&gt;10000,"Medium","Low"))</f>
        <v>Medium</v>
      </c>
      <c r="V469" s="3">
        <f>Retail_data[[#This Row],[Profit]]/Retail_data[[#This Row],[Sales]]</f>
        <v>6.8236625910668744E-2</v>
      </c>
      <c r="W469">
        <v>1452.71</v>
      </c>
      <c r="X469" t="s">
        <v>48</v>
      </c>
    </row>
    <row r="470" spans="1:24" ht="13.8" x14ac:dyDescent="0.25">
      <c r="A470" t="s">
        <v>1621</v>
      </c>
      <c r="B470">
        <f>YEAR(Retail_data[[#This Row],[Order Date]])</f>
        <v>2027</v>
      </c>
      <c r="C470" t="str">
        <f>TEXT(Retail_data[[#This Row],[Order Date]],"mmmm")</f>
        <v>January</v>
      </c>
      <c r="D470">
        <f>MONTH(Retail_data[[#This Row],[Order Date]])</f>
        <v>1</v>
      </c>
      <c r="E470" t="str">
        <f>"Q"&amp;ROUNDUP(MONTH(Retail_data[[#This Row],[Order Date]])/3,0)</f>
        <v>Q1</v>
      </c>
      <c r="F470" s="1">
        <v>46390</v>
      </c>
      <c r="G470" s="1">
        <v>46394</v>
      </c>
      <c r="H470" t="s">
        <v>1622</v>
      </c>
      <c r="I470" t="s">
        <v>1623</v>
      </c>
      <c r="J470" t="s">
        <v>21</v>
      </c>
      <c r="K470" t="s">
        <v>22</v>
      </c>
      <c r="L470" t="s">
        <v>23</v>
      </c>
      <c r="M470" t="s">
        <v>24</v>
      </c>
      <c r="N470" t="s">
        <v>25</v>
      </c>
      <c r="O470" t="s">
        <v>37</v>
      </c>
      <c r="P470" t="s">
        <v>46</v>
      </c>
      <c r="Q470" t="s">
        <v>794</v>
      </c>
      <c r="R470">
        <v>44073.71</v>
      </c>
      <c r="S470">
        <v>1</v>
      </c>
      <c r="T470">
        <v>0.2</v>
      </c>
      <c r="U470" t="str">
        <f>IF(Retail_data[[#This Row],[Sales]]&gt;30000,"High",IF(Retail_data[[#This Row],[Sales]]&gt;10000,"Medium","Low"))</f>
        <v>High</v>
      </c>
      <c r="V470" s="3">
        <f>Retail_data[[#This Row],[Profit]]/Retail_data[[#This Row],[Sales]]</f>
        <v>0.15324872809663628</v>
      </c>
      <c r="W470">
        <v>6754.24</v>
      </c>
      <c r="X470" t="s">
        <v>81</v>
      </c>
    </row>
    <row r="471" spans="1:24" ht="13.8" x14ac:dyDescent="0.25">
      <c r="A471" t="s">
        <v>1624</v>
      </c>
      <c r="B471">
        <f>YEAR(Retail_data[[#This Row],[Order Date]])</f>
        <v>2027</v>
      </c>
      <c r="C471" t="str">
        <f>TEXT(Retail_data[[#This Row],[Order Date]],"mmmm")</f>
        <v>January</v>
      </c>
      <c r="D471">
        <f>MONTH(Retail_data[[#This Row],[Order Date]])</f>
        <v>1</v>
      </c>
      <c r="E471" t="str">
        <f>"Q"&amp;ROUNDUP(MONTH(Retail_data[[#This Row],[Order Date]])/3,0)</f>
        <v>Q1</v>
      </c>
      <c r="F471" s="1">
        <v>46391</v>
      </c>
      <c r="G471" s="1">
        <v>46395</v>
      </c>
      <c r="H471" t="s">
        <v>1625</v>
      </c>
      <c r="I471" t="s">
        <v>1626</v>
      </c>
      <c r="J471" t="s">
        <v>44</v>
      </c>
      <c r="K471" t="s">
        <v>22</v>
      </c>
      <c r="L471" t="s">
        <v>67</v>
      </c>
      <c r="M471" t="s">
        <v>68</v>
      </c>
      <c r="N471" t="s">
        <v>69</v>
      </c>
      <c r="O471" t="s">
        <v>26</v>
      </c>
      <c r="P471" t="s">
        <v>70</v>
      </c>
      <c r="Q471" t="s">
        <v>161</v>
      </c>
      <c r="R471">
        <v>24978.45</v>
      </c>
      <c r="S471">
        <v>8</v>
      </c>
      <c r="T471">
        <v>0.1</v>
      </c>
      <c r="U471" t="str">
        <f>IF(Retail_data[[#This Row],[Sales]]&gt;30000,"High",IF(Retail_data[[#This Row],[Sales]]&gt;10000,"Medium","Low"))</f>
        <v>Medium</v>
      </c>
      <c r="V471" s="3">
        <f>Retail_data[[#This Row],[Profit]]/Retail_data[[#This Row],[Sales]]</f>
        <v>0.16184711221072565</v>
      </c>
      <c r="W471">
        <v>4042.69</v>
      </c>
      <c r="X471" t="s">
        <v>81</v>
      </c>
    </row>
    <row r="472" spans="1:24" ht="13.8" x14ac:dyDescent="0.25">
      <c r="A472" t="s">
        <v>1627</v>
      </c>
      <c r="B472">
        <f>YEAR(Retail_data[[#This Row],[Order Date]])</f>
        <v>2027</v>
      </c>
      <c r="C472" t="str">
        <f>TEXT(Retail_data[[#This Row],[Order Date]],"mmmm")</f>
        <v>January</v>
      </c>
      <c r="D472">
        <f>MONTH(Retail_data[[#This Row],[Order Date]])</f>
        <v>1</v>
      </c>
      <c r="E472" t="str">
        <f>"Q"&amp;ROUNDUP(MONTH(Retail_data[[#This Row],[Order Date]])/3,0)</f>
        <v>Q1</v>
      </c>
      <c r="F472" s="1">
        <v>46392</v>
      </c>
      <c r="G472" s="1">
        <v>46396</v>
      </c>
      <c r="H472" t="s">
        <v>1628</v>
      </c>
      <c r="I472" t="s">
        <v>1629</v>
      </c>
      <c r="J472" t="s">
        <v>21</v>
      </c>
      <c r="K472" t="s">
        <v>22</v>
      </c>
      <c r="L472" t="s">
        <v>23</v>
      </c>
      <c r="M472" t="s">
        <v>24</v>
      </c>
      <c r="N472" t="s">
        <v>25</v>
      </c>
      <c r="O472" t="s">
        <v>37</v>
      </c>
      <c r="P472" t="s">
        <v>38</v>
      </c>
      <c r="Q472" t="s">
        <v>649</v>
      </c>
      <c r="R472">
        <v>38089.93</v>
      </c>
      <c r="S472">
        <v>6</v>
      </c>
      <c r="T472">
        <v>0.1</v>
      </c>
      <c r="U472" t="str">
        <f>IF(Retail_data[[#This Row],[Sales]]&gt;30000,"High",IF(Retail_data[[#This Row],[Sales]]&gt;10000,"Medium","Low"))</f>
        <v>High</v>
      </c>
      <c r="V472" s="3">
        <f>Retail_data[[#This Row],[Profit]]/Retail_data[[#This Row],[Sales]]</f>
        <v>0.11927351927399184</v>
      </c>
      <c r="W472">
        <v>4543.12</v>
      </c>
      <c r="X472" t="s">
        <v>40</v>
      </c>
    </row>
    <row r="473" spans="1:24" ht="13.8" x14ac:dyDescent="0.25">
      <c r="A473" t="s">
        <v>1630</v>
      </c>
      <c r="B473">
        <f>YEAR(Retail_data[[#This Row],[Order Date]])</f>
        <v>2027</v>
      </c>
      <c r="C473" t="str">
        <f>TEXT(Retail_data[[#This Row],[Order Date]],"mmmm")</f>
        <v>January</v>
      </c>
      <c r="D473">
        <f>MONTH(Retail_data[[#This Row],[Order Date]])</f>
        <v>1</v>
      </c>
      <c r="E473" t="str">
        <f>"Q"&amp;ROUNDUP(MONTH(Retail_data[[#This Row],[Order Date]])/3,0)</f>
        <v>Q1</v>
      </c>
      <c r="F473" s="1">
        <v>46393</v>
      </c>
      <c r="G473" s="1">
        <v>46397</v>
      </c>
      <c r="H473" t="s">
        <v>1631</v>
      </c>
      <c r="I473" t="s">
        <v>1632</v>
      </c>
      <c r="J473" t="s">
        <v>44</v>
      </c>
      <c r="K473" t="s">
        <v>22</v>
      </c>
      <c r="L473" t="s">
        <v>34</v>
      </c>
      <c r="M473" t="s">
        <v>35</v>
      </c>
      <c r="N473" t="s">
        <v>36</v>
      </c>
      <c r="O473" t="s">
        <v>57</v>
      </c>
      <c r="P473" t="s">
        <v>58</v>
      </c>
      <c r="Q473" t="s">
        <v>278</v>
      </c>
      <c r="R473">
        <v>4833.25</v>
      </c>
      <c r="S473">
        <v>3</v>
      </c>
      <c r="T473">
        <v>0.1</v>
      </c>
      <c r="U473" t="str">
        <f>IF(Retail_data[[#This Row],[Sales]]&gt;30000,"High",IF(Retail_data[[#This Row],[Sales]]&gt;10000,"Medium","Low"))</f>
        <v>Low</v>
      </c>
      <c r="V473" s="3">
        <f>Retail_data[[#This Row],[Profit]]/Retail_data[[#This Row],[Sales]]</f>
        <v>0.15407851859514821</v>
      </c>
      <c r="W473">
        <v>744.7</v>
      </c>
      <c r="X473" t="s">
        <v>81</v>
      </c>
    </row>
    <row r="474" spans="1:24" ht="13.8" x14ac:dyDescent="0.25">
      <c r="A474" t="s">
        <v>1633</v>
      </c>
      <c r="B474">
        <f>YEAR(Retail_data[[#This Row],[Order Date]])</f>
        <v>2027</v>
      </c>
      <c r="C474" t="str">
        <f>TEXT(Retail_data[[#This Row],[Order Date]],"mmmm")</f>
        <v>January</v>
      </c>
      <c r="D474">
        <f>MONTH(Retail_data[[#This Row],[Order Date]])</f>
        <v>1</v>
      </c>
      <c r="E474" t="str">
        <f>"Q"&amp;ROUNDUP(MONTH(Retail_data[[#This Row],[Order Date]])/3,0)</f>
        <v>Q1</v>
      </c>
      <c r="F474" s="1">
        <v>46394</v>
      </c>
      <c r="G474" s="1">
        <v>46398</v>
      </c>
      <c r="H474" t="s">
        <v>1634</v>
      </c>
      <c r="I474" t="s">
        <v>1635</v>
      </c>
      <c r="J474" t="s">
        <v>33</v>
      </c>
      <c r="K474" t="s">
        <v>22</v>
      </c>
      <c r="L474" t="s">
        <v>67</v>
      </c>
      <c r="M474" t="s">
        <v>68</v>
      </c>
      <c r="N474" t="s">
        <v>69</v>
      </c>
      <c r="O474" t="s">
        <v>37</v>
      </c>
      <c r="P474" t="s">
        <v>38</v>
      </c>
      <c r="Q474" t="s">
        <v>460</v>
      </c>
      <c r="R474">
        <v>31219.54</v>
      </c>
      <c r="S474">
        <v>8</v>
      </c>
      <c r="T474">
        <v>0</v>
      </c>
      <c r="U474" t="str">
        <f>IF(Retail_data[[#This Row],[Sales]]&gt;30000,"High",IF(Retail_data[[#This Row],[Sales]]&gt;10000,"Medium","Low"))</f>
        <v>High</v>
      </c>
      <c r="V474" s="3">
        <f>Retail_data[[#This Row],[Profit]]/Retail_data[[#This Row],[Sales]]</f>
        <v>0.29821483596491166</v>
      </c>
      <c r="W474">
        <v>9310.1299999999992</v>
      </c>
      <c r="X474" t="s">
        <v>29</v>
      </c>
    </row>
    <row r="475" spans="1:24" ht="13.8" x14ac:dyDescent="0.25">
      <c r="A475" t="s">
        <v>1636</v>
      </c>
      <c r="B475">
        <f>YEAR(Retail_data[[#This Row],[Order Date]])</f>
        <v>2027</v>
      </c>
      <c r="C475" t="str">
        <f>TEXT(Retail_data[[#This Row],[Order Date]],"mmmm")</f>
        <v>January</v>
      </c>
      <c r="D475">
        <f>MONTH(Retail_data[[#This Row],[Order Date]])</f>
        <v>1</v>
      </c>
      <c r="E475" t="str">
        <f>"Q"&amp;ROUNDUP(MONTH(Retail_data[[#This Row],[Order Date]])/3,0)</f>
        <v>Q1</v>
      </c>
      <c r="F475" s="1">
        <v>46395</v>
      </c>
      <c r="G475" s="1">
        <v>46399</v>
      </c>
      <c r="H475" t="s">
        <v>1637</v>
      </c>
      <c r="I475" t="s">
        <v>1638</v>
      </c>
      <c r="J475" t="s">
        <v>21</v>
      </c>
      <c r="K475" t="s">
        <v>22</v>
      </c>
      <c r="L475" t="s">
        <v>45</v>
      </c>
      <c r="M475" t="s">
        <v>45</v>
      </c>
      <c r="N475" t="s">
        <v>25</v>
      </c>
      <c r="O475" t="s">
        <v>26</v>
      </c>
      <c r="P475" t="s">
        <v>70</v>
      </c>
      <c r="Q475" t="s">
        <v>507</v>
      </c>
      <c r="R475">
        <v>39498.61</v>
      </c>
      <c r="S475">
        <v>3</v>
      </c>
      <c r="T475">
        <v>0</v>
      </c>
      <c r="U475" t="str">
        <f>IF(Retail_data[[#This Row],[Sales]]&gt;30000,"High",IF(Retail_data[[#This Row],[Sales]]&gt;10000,"Medium","Low"))</f>
        <v>High</v>
      </c>
      <c r="V475" s="3">
        <f>Retail_data[[#This Row],[Profit]]/Retail_data[[#This Row],[Sales]]</f>
        <v>0.24582105547511671</v>
      </c>
      <c r="W475">
        <v>9709.59</v>
      </c>
      <c r="X475" t="s">
        <v>40</v>
      </c>
    </row>
    <row r="476" spans="1:24" ht="13.8" x14ac:dyDescent="0.25">
      <c r="A476" t="s">
        <v>1639</v>
      </c>
      <c r="B476">
        <f>YEAR(Retail_data[[#This Row],[Order Date]])</f>
        <v>2027</v>
      </c>
      <c r="C476" t="str">
        <f>TEXT(Retail_data[[#This Row],[Order Date]],"mmmm")</f>
        <v>January</v>
      </c>
      <c r="D476">
        <f>MONTH(Retail_data[[#This Row],[Order Date]])</f>
        <v>1</v>
      </c>
      <c r="E476" t="str">
        <f>"Q"&amp;ROUNDUP(MONTH(Retail_data[[#This Row],[Order Date]])/3,0)</f>
        <v>Q1</v>
      </c>
      <c r="F476" s="1">
        <v>46396</v>
      </c>
      <c r="G476" s="1">
        <v>46400</v>
      </c>
      <c r="H476" t="s">
        <v>1640</v>
      </c>
      <c r="I476" t="s">
        <v>1641</v>
      </c>
      <c r="J476" t="s">
        <v>44</v>
      </c>
      <c r="K476" t="s">
        <v>22</v>
      </c>
      <c r="L476" t="s">
        <v>34</v>
      </c>
      <c r="M476" t="s">
        <v>35</v>
      </c>
      <c r="N476" t="s">
        <v>36</v>
      </c>
      <c r="O476" t="s">
        <v>26</v>
      </c>
      <c r="P476" t="s">
        <v>70</v>
      </c>
      <c r="Q476" t="s">
        <v>231</v>
      </c>
      <c r="R476">
        <v>36977.15</v>
      </c>
      <c r="S476">
        <v>4</v>
      </c>
      <c r="T476">
        <v>0</v>
      </c>
      <c r="U476" t="str">
        <f>IF(Retail_data[[#This Row],[Sales]]&gt;30000,"High",IF(Retail_data[[#This Row],[Sales]]&gt;10000,"Medium","Low"))</f>
        <v>High</v>
      </c>
      <c r="V476" s="3">
        <f>Retail_data[[#This Row],[Profit]]/Retail_data[[#This Row],[Sales]]</f>
        <v>7.9804149319241735E-2</v>
      </c>
      <c r="W476">
        <v>2950.93</v>
      </c>
      <c r="X476" t="s">
        <v>48</v>
      </c>
    </row>
    <row r="477" spans="1:24" ht="13.8" x14ac:dyDescent="0.25">
      <c r="A477" t="s">
        <v>1642</v>
      </c>
      <c r="B477">
        <f>YEAR(Retail_data[[#This Row],[Order Date]])</f>
        <v>2027</v>
      </c>
      <c r="C477" t="str">
        <f>TEXT(Retail_data[[#This Row],[Order Date]],"mmmm")</f>
        <v>January</v>
      </c>
      <c r="D477">
        <f>MONTH(Retail_data[[#This Row],[Order Date]])</f>
        <v>1</v>
      </c>
      <c r="E477" t="str">
        <f>"Q"&amp;ROUNDUP(MONTH(Retail_data[[#This Row],[Order Date]])/3,0)</f>
        <v>Q1</v>
      </c>
      <c r="F477" s="1">
        <v>46397</v>
      </c>
      <c r="G477" s="1">
        <v>46401</v>
      </c>
      <c r="H477" t="s">
        <v>1643</v>
      </c>
      <c r="I477" t="s">
        <v>1644</v>
      </c>
      <c r="J477" t="s">
        <v>44</v>
      </c>
      <c r="K477" t="s">
        <v>22</v>
      </c>
      <c r="L477" t="s">
        <v>23</v>
      </c>
      <c r="M477" t="s">
        <v>24</v>
      </c>
      <c r="N477" t="s">
        <v>25</v>
      </c>
      <c r="O477" t="s">
        <v>26</v>
      </c>
      <c r="P477" t="s">
        <v>27</v>
      </c>
      <c r="Q477" t="s">
        <v>168</v>
      </c>
      <c r="R477">
        <v>13301.7</v>
      </c>
      <c r="S477">
        <v>5</v>
      </c>
      <c r="T477">
        <v>0.1</v>
      </c>
      <c r="U477" t="str">
        <f>IF(Retail_data[[#This Row],[Sales]]&gt;30000,"High",IF(Retail_data[[#This Row],[Sales]]&gt;10000,"Medium","Low"))</f>
        <v>Medium</v>
      </c>
      <c r="V477" s="3">
        <f>Retail_data[[#This Row],[Profit]]/Retail_data[[#This Row],[Sales]]</f>
        <v>0.25436823864618807</v>
      </c>
      <c r="W477">
        <v>3383.53</v>
      </c>
      <c r="X477" t="s">
        <v>29</v>
      </c>
    </row>
    <row r="478" spans="1:24" ht="13.8" x14ac:dyDescent="0.25">
      <c r="A478" t="s">
        <v>1645</v>
      </c>
      <c r="B478">
        <f>YEAR(Retail_data[[#This Row],[Order Date]])</f>
        <v>2027</v>
      </c>
      <c r="C478" t="str">
        <f>TEXT(Retail_data[[#This Row],[Order Date]],"mmmm")</f>
        <v>January</v>
      </c>
      <c r="D478">
        <f>MONTH(Retail_data[[#This Row],[Order Date]])</f>
        <v>1</v>
      </c>
      <c r="E478" t="str">
        <f>"Q"&amp;ROUNDUP(MONTH(Retail_data[[#This Row],[Order Date]])/3,0)</f>
        <v>Q1</v>
      </c>
      <c r="F478" s="1">
        <v>46398</v>
      </c>
      <c r="G478" s="1">
        <v>46402</v>
      </c>
      <c r="H478" t="s">
        <v>1646</v>
      </c>
      <c r="I478" t="s">
        <v>1647</v>
      </c>
      <c r="J478" t="s">
        <v>21</v>
      </c>
      <c r="K478" t="s">
        <v>22</v>
      </c>
      <c r="L478" t="s">
        <v>67</v>
      </c>
      <c r="M478" t="s">
        <v>68</v>
      </c>
      <c r="N478" t="s">
        <v>69</v>
      </c>
      <c r="O478" t="s">
        <v>57</v>
      </c>
      <c r="P478" t="s">
        <v>149</v>
      </c>
      <c r="Q478" t="s">
        <v>538</v>
      </c>
      <c r="R478">
        <v>16690.89</v>
      </c>
      <c r="S478">
        <v>1</v>
      </c>
      <c r="T478">
        <v>0.1</v>
      </c>
      <c r="U478" t="str">
        <f>IF(Retail_data[[#This Row],[Sales]]&gt;30000,"High",IF(Retail_data[[#This Row],[Sales]]&gt;10000,"Medium","Low"))</f>
        <v>Medium</v>
      </c>
      <c r="V478" s="3">
        <f>Retail_data[[#This Row],[Profit]]/Retail_data[[#This Row],[Sales]]</f>
        <v>7.9863326641059884E-2</v>
      </c>
      <c r="W478">
        <v>1332.99</v>
      </c>
      <c r="X478" t="s">
        <v>29</v>
      </c>
    </row>
    <row r="479" spans="1:24" ht="13.8" x14ac:dyDescent="0.25">
      <c r="A479" t="s">
        <v>1648</v>
      </c>
      <c r="B479">
        <f>YEAR(Retail_data[[#This Row],[Order Date]])</f>
        <v>2027</v>
      </c>
      <c r="C479" t="str">
        <f>TEXT(Retail_data[[#This Row],[Order Date]],"mmmm")</f>
        <v>January</v>
      </c>
      <c r="D479">
        <f>MONTH(Retail_data[[#This Row],[Order Date]])</f>
        <v>1</v>
      </c>
      <c r="E479" t="str">
        <f>"Q"&amp;ROUNDUP(MONTH(Retail_data[[#This Row],[Order Date]])/3,0)</f>
        <v>Q1</v>
      </c>
      <c r="F479" s="1">
        <v>46399</v>
      </c>
      <c r="G479" s="1">
        <v>46403</v>
      </c>
      <c r="H479" t="s">
        <v>1649</v>
      </c>
      <c r="I479" t="s">
        <v>1650</v>
      </c>
      <c r="J479" t="s">
        <v>44</v>
      </c>
      <c r="K479" t="s">
        <v>22</v>
      </c>
      <c r="L479" t="s">
        <v>67</v>
      </c>
      <c r="M479" t="s">
        <v>68</v>
      </c>
      <c r="N479" t="s">
        <v>69</v>
      </c>
      <c r="O479" t="s">
        <v>37</v>
      </c>
      <c r="P479" t="s">
        <v>46</v>
      </c>
      <c r="Q479" t="s">
        <v>1651</v>
      </c>
      <c r="R479">
        <v>25209.11</v>
      </c>
      <c r="S479">
        <v>4</v>
      </c>
      <c r="T479">
        <v>0.3</v>
      </c>
      <c r="U479" t="str">
        <f>IF(Retail_data[[#This Row],[Sales]]&gt;30000,"High",IF(Retail_data[[#This Row],[Sales]]&gt;10000,"Medium","Low"))</f>
        <v>Medium</v>
      </c>
      <c r="V479" s="3">
        <f>Retail_data[[#This Row],[Profit]]/Retail_data[[#This Row],[Sales]]</f>
        <v>-3.6549485483620803E-2</v>
      </c>
      <c r="W479">
        <v>-921.38</v>
      </c>
      <c r="X479" t="s">
        <v>48</v>
      </c>
    </row>
    <row r="480" spans="1:24" ht="13.8" x14ac:dyDescent="0.25">
      <c r="A480" t="s">
        <v>1652</v>
      </c>
      <c r="B480">
        <f>YEAR(Retail_data[[#This Row],[Order Date]])</f>
        <v>2027</v>
      </c>
      <c r="C480" t="str">
        <f>TEXT(Retail_data[[#This Row],[Order Date]],"mmmm")</f>
        <v>January</v>
      </c>
      <c r="D480">
        <f>MONTH(Retail_data[[#This Row],[Order Date]])</f>
        <v>1</v>
      </c>
      <c r="E480" t="str">
        <f>"Q"&amp;ROUNDUP(MONTH(Retail_data[[#This Row],[Order Date]])/3,0)</f>
        <v>Q1</v>
      </c>
      <c r="F480" s="1">
        <v>46400</v>
      </c>
      <c r="G480" s="1">
        <v>46404</v>
      </c>
      <c r="H480" t="s">
        <v>1653</v>
      </c>
      <c r="I480" t="s">
        <v>1654</v>
      </c>
      <c r="J480" t="s">
        <v>33</v>
      </c>
      <c r="K480" t="s">
        <v>22</v>
      </c>
      <c r="L480" t="s">
        <v>34</v>
      </c>
      <c r="M480" t="s">
        <v>35</v>
      </c>
      <c r="N480" t="s">
        <v>36</v>
      </c>
      <c r="O480" t="s">
        <v>26</v>
      </c>
      <c r="P480" t="s">
        <v>92</v>
      </c>
      <c r="Q480" t="s">
        <v>767</v>
      </c>
      <c r="R480">
        <v>7843.9</v>
      </c>
      <c r="S480">
        <v>2</v>
      </c>
      <c r="T480">
        <v>0.1</v>
      </c>
      <c r="U480" t="str">
        <f>IF(Retail_data[[#This Row],[Sales]]&gt;30000,"High",IF(Retail_data[[#This Row],[Sales]]&gt;10000,"Medium","Low"))</f>
        <v>Low</v>
      </c>
      <c r="V480" s="3">
        <f>Retail_data[[#This Row],[Profit]]/Retail_data[[#This Row],[Sales]]</f>
        <v>0.23985389920830202</v>
      </c>
      <c r="W480">
        <v>1881.39</v>
      </c>
      <c r="X480" t="s">
        <v>81</v>
      </c>
    </row>
    <row r="481" spans="1:24" ht="13.8" x14ac:dyDescent="0.25">
      <c r="A481" t="s">
        <v>1655</v>
      </c>
      <c r="B481">
        <f>YEAR(Retail_data[[#This Row],[Order Date]])</f>
        <v>2027</v>
      </c>
      <c r="C481" t="str">
        <f>TEXT(Retail_data[[#This Row],[Order Date]],"mmmm")</f>
        <v>January</v>
      </c>
      <c r="D481">
        <f>MONTH(Retail_data[[#This Row],[Order Date]])</f>
        <v>1</v>
      </c>
      <c r="E481" t="str">
        <f>"Q"&amp;ROUNDUP(MONTH(Retail_data[[#This Row],[Order Date]])/3,0)</f>
        <v>Q1</v>
      </c>
      <c r="F481" s="1">
        <v>46401</v>
      </c>
      <c r="G481" s="1">
        <v>46405</v>
      </c>
      <c r="H481" t="s">
        <v>1656</v>
      </c>
      <c r="I481" t="s">
        <v>1657</v>
      </c>
      <c r="J481" t="s">
        <v>21</v>
      </c>
      <c r="K481" t="s">
        <v>22</v>
      </c>
      <c r="L481" t="s">
        <v>34</v>
      </c>
      <c r="M481" t="s">
        <v>35</v>
      </c>
      <c r="N481" t="s">
        <v>36</v>
      </c>
      <c r="O481" t="s">
        <v>57</v>
      </c>
      <c r="P481" t="s">
        <v>149</v>
      </c>
      <c r="Q481" t="s">
        <v>538</v>
      </c>
      <c r="R481">
        <v>39140.129999999997</v>
      </c>
      <c r="S481">
        <v>7</v>
      </c>
      <c r="T481">
        <v>0.2</v>
      </c>
      <c r="U481" t="str">
        <f>IF(Retail_data[[#This Row],[Sales]]&gt;30000,"High",IF(Retail_data[[#This Row],[Sales]]&gt;10000,"Medium","Low"))</f>
        <v>High</v>
      </c>
      <c r="V481" s="3">
        <f>Retail_data[[#This Row],[Profit]]/Retail_data[[#This Row],[Sales]]</f>
        <v>-8.7350246409503493E-3</v>
      </c>
      <c r="W481">
        <v>-341.89</v>
      </c>
      <c r="X481" t="s">
        <v>48</v>
      </c>
    </row>
    <row r="482" spans="1:24" ht="13.8" x14ac:dyDescent="0.25">
      <c r="A482" t="s">
        <v>1658</v>
      </c>
      <c r="B482">
        <f>YEAR(Retail_data[[#This Row],[Order Date]])</f>
        <v>2027</v>
      </c>
      <c r="C482" t="str">
        <f>TEXT(Retail_data[[#This Row],[Order Date]],"mmmm")</f>
        <v>January</v>
      </c>
      <c r="D482">
        <f>MONTH(Retail_data[[#This Row],[Order Date]])</f>
        <v>1</v>
      </c>
      <c r="E482" t="str">
        <f>"Q"&amp;ROUNDUP(MONTH(Retail_data[[#This Row],[Order Date]])/3,0)</f>
        <v>Q1</v>
      </c>
      <c r="F482" s="1">
        <v>46402</v>
      </c>
      <c r="G482" s="1">
        <v>46406</v>
      </c>
      <c r="H482" t="s">
        <v>1659</v>
      </c>
      <c r="I482" t="s">
        <v>1660</v>
      </c>
      <c r="J482" t="s">
        <v>21</v>
      </c>
      <c r="K482" t="s">
        <v>22</v>
      </c>
      <c r="L482" t="s">
        <v>45</v>
      </c>
      <c r="M482" t="s">
        <v>45</v>
      </c>
      <c r="N482" t="s">
        <v>25</v>
      </c>
      <c r="O482" t="s">
        <v>37</v>
      </c>
      <c r="P482" t="s">
        <v>38</v>
      </c>
      <c r="Q482" t="s">
        <v>1157</v>
      </c>
      <c r="R482">
        <v>7437.15</v>
      </c>
      <c r="S482">
        <v>7</v>
      </c>
      <c r="T482">
        <v>0.2</v>
      </c>
      <c r="U482" t="str">
        <f>IF(Retail_data[[#This Row],[Sales]]&gt;30000,"High",IF(Retail_data[[#This Row],[Sales]]&gt;10000,"Medium","Low"))</f>
        <v>Low</v>
      </c>
      <c r="V482" s="3">
        <f>Retail_data[[#This Row],[Profit]]/Retail_data[[#This Row],[Sales]]</f>
        <v>0.10143805086625925</v>
      </c>
      <c r="W482">
        <v>754.41</v>
      </c>
      <c r="X482" t="s">
        <v>29</v>
      </c>
    </row>
    <row r="483" spans="1:24" ht="13.8" x14ac:dyDescent="0.25">
      <c r="A483" t="s">
        <v>1661</v>
      </c>
      <c r="B483">
        <f>YEAR(Retail_data[[#This Row],[Order Date]])</f>
        <v>2027</v>
      </c>
      <c r="C483" t="str">
        <f>TEXT(Retail_data[[#This Row],[Order Date]],"mmmm")</f>
        <v>January</v>
      </c>
      <c r="D483">
        <f>MONTH(Retail_data[[#This Row],[Order Date]])</f>
        <v>1</v>
      </c>
      <c r="E483" t="str">
        <f>"Q"&amp;ROUNDUP(MONTH(Retail_data[[#This Row],[Order Date]])/3,0)</f>
        <v>Q1</v>
      </c>
      <c r="F483" s="1">
        <v>46403</v>
      </c>
      <c r="G483" s="1">
        <v>46407</v>
      </c>
      <c r="H483" t="s">
        <v>1662</v>
      </c>
      <c r="I483" t="s">
        <v>1663</v>
      </c>
      <c r="J483" t="s">
        <v>44</v>
      </c>
      <c r="K483" t="s">
        <v>22</v>
      </c>
      <c r="L483" t="s">
        <v>85</v>
      </c>
      <c r="M483" t="s">
        <v>86</v>
      </c>
      <c r="N483" t="s">
        <v>87</v>
      </c>
      <c r="O483" t="s">
        <v>57</v>
      </c>
      <c r="P483" t="s">
        <v>58</v>
      </c>
      <c r="Q483" t="s">
        <v>1093</v>
      </c>
      <c r="R483">
        <v>6737.28</v>
      </c>
      <c r="S483">
        <v>8</v>
      </c>
      <c r="T483">
        <v>0.3</v>
      </c>
      <c r="U483" t="str">
        <f>IF(Retail_data[[#This Row],[Sales]]&gt;30000,"High",IF(Retail_data[[#This Row],[Sales]]&gt;10000,"Medium","Low"))</f>
        <v>Low</v>
      </c>
      <c r="V483" s="3">
        <f>Retail_data[[#This Row],[Profit]]/Retail_data[[#This Row],[Sales]]</f>
        <v>0.11053570580412274</v>
      </c>
      <c r="W483">
        <v>744.71</v>
      </c>
      <c r="X483" t="s">
        <v>29</v>
      </c>
    </row>
    <row r="484" spans="1:24" ht="13.8" x14ac:dyDescent="0.25">
      <c r="A484" t="s">
        <v>1664</v>
      </c>
      <c r="B484">
        <f>YEAR(Retail_data[[#This Row],[Order Date]])</f>
        <v>2027</v>
      </c>
      <c r="C484" t="str">
        <f>TEXT(Retail_data[[#This Row],[Order Date]],"mmmm")</f>
        <v>January</v>
      </c>
      <c r="D484">
        <f>MONTH(Retail_data[[#This Row],[Order Date]])</f>
        <v>1</v>
      </c>
      <c r="E484" t="str">
        <f>"Q"&amp;ROUNDUP(MONTH(Retail_data[[#This Row],[Order Date]])/3,0)</f>
        <v>Q1</v>
      </c>
      <c r="F484" s="1">
        <v>46404</v>
      </c>
      <c r="G484" s="1">
        <v>46408</v>
      </c>
      <c r="H484" t="s">
        <v>1665</v>
      </c>
      <c r="I484" t="s">
        <v>1666</v>
      </c>
      <c r="J484" t="s">
        <v>21</v>
      </c>
      <c r="K484" t="s">
        <v>22</v>
      </c>
      <c r="L484" t="s">
        <v>45</v>
      </c>
      <c r="M484" t="s">
        <v>45</v>
      </c>
      <c r="N484" t="s">
        <v>25</v>
      </c>
      <c r="O484" t="s">
        <v>26</v>
      </c>
      <c r="P484" t="s">
        <v>92</v>
      </c>
      <c r="Q484" t="s">
        <v>433</v>
      </c>
      <c r="R484">
        <v>20253.98</v>
      </c>
      <c r="S484">
        <v>5</v>
      </c>
      <c r="T484">
        <v>0.1</v>
      </c>
      <c r="U484" t="str">
        <f>IF(Retail_data[[#This Row],[Sales]]&gt;30000,"High",IF(Retail_data[[#This Row],[Sales]]&gt;10000,"Medium","Low"))</f>
        <v>Medium</v>
      </c>
      <c r="V484" s="3">
        <f>Retail_data[[#This Row],[Profit]]/Retail_data[[#This Row],[Sales]]</f>
        <v>0.17432228134914718</v>
      </c>
      <c r="W484">
        <v>3530.72</v>
      </c>
      <c r="X484" t="s">
        <v>81</v>
      </c>
    </row>
    <row r="485" spans="1:24" ht="13.8" x14ac:dyDescent="0.25">
      <c r="A485" t="s">
        <v>1667</v>
      </c>
      <c r="B485">
        <f>YEAR(Retail_data[[#This Row],[Order Date]])</f>
        <v>2027</v>
      </c>
      <c r="C485" t="str">
        <f>TEXT(Retail_data[[#This Row],[Order Date]],"mmmm")</f>
        <v>January</v>
      </c>
      <c r="D485">
        <f>MONTH(Retail_data[[#This Row],[Order Date]])</f>
        <v>1</v>
      </c>
      <c r="E485" t="str">
        <f>"Q"&amp;ROUNDUP(MONTH(Retail_data[[#This Row],[Order Date]])/3,0)</f>
        <v>Q1</v>
      </c>
      <c r="F485" s="1">
        <v>46405</v>
      </c>
      <c r="G485" s="1">
        <v>46409</v>
      </c>
      <c r="H485" t="s">
        <v>1668</v>
      </c>
      <c r="I485" t="s">
        <v>1669</v>
      </c>
      <c r="J485" t="s">
        <v>33</v>
      </c>
      <c r="K485" t="s">
        <v>22</v>
      </c>
      <c r="L485" t="s">
        <v>85</v>
      </c>
      <c r="M485" t="s">
        <v>86</v>
      </c>
      <c r="N485" t="s">
        <v>87</v>
      </c>
      <c r="O485" t="s">
        <v>37</v>
      </c>
      <c r="P485" t="s">
        <v>38</v>
      </c>
      <c r="Q485" t="s">
        <v>998</v>
      </c>
      <c r="R485">
        <v>19221.34</v>
      </c>
      <c r="S485">
        <v>6</v>
      </c>
      <c r="T485">
        <v>0.1</v>
      </c>
      <c r="U485" t="str">
        <f>IF(Retail_data[[#This Row],[Sales]]&gt;30000,"High",IF(Retail_data[[#This Row],[Sales]]&gt;10000,"Medium","Low"))</f>
        <v>Medium</v>
      </c>
      <c r="V485" s="3">
        <f>Retail_data[[#This Row],[Profit]]/Retail_data[[#This Row],[Sales]]</f>
        <v>0.24071526750996547</v>
      </c>
      <c r="W485">
        <v>4626.87</v>
      </c>
      <c r="X485" t="s">
        <v>48</v>
      </c>
    </row>
    <row r="486" spans="1:24" ht="13.8" x14ac:dyDescent="0.25">
      <c r="A486" t="s">
        <v>1670</v>
      </c>
      <c r="B486">
        <f>YEAR(Retail_data[[#This Row],[Order Date]])</f>
        <v>2027</v>
      </c>
      <c r="C486" t="str">
        <f>TEXT(Retail_data[[#This Row],[Order Date]],"mmmm")</f>
        <v>January</v>
      </c>
      <c r="D486">
        <f>MONTH(Retail_data[[#This Row],[Order Date]])</f>
        <v>1</v>
      </c>
      <c r="E486" t="str">
        <f>"Q"&amp;ROUNDUP(MONTH(Retail_data[[#This Row],[Order Date]])/3,0)</f>
        <v>Q1</v>
      </c>
      <c r="F486" s="1">
        <v>46406</v>
      </c>
      <c r="G486" s="1">
        <v>46410</v>
      </c>
      <c r="H486" t="s">
        <v>1671</v>
      </c>
      <c r="I486" t="s">
        <v>1672</v>
      </c>
      <c r="J486" t="s">
        <v>21</v>
      </c>
      <c r="K486" t="s">
        <v>22</v>
      </c>
      <c r="L486" t="s">
        <v>23</v>
      </c>
      <c r="M486" t="s">
        <v>24</v>
      </c>
      <c r="N486" t="s">
        <v>25</v>
      </c>
      <c r="O486" t="s">
        <v>57</v>
      </c>
      <c r="P486" t="s">
        <v>79</v>
      </c>
      <c r="Q486" t="s">
        <v>489</v>
      </c>
      <c r="R486">
        <v>40652.65</v>
      </c>
      <c r="S486">
        <v>2</v>
      </c>
      <c r="T486">
        <v>0.2</v>
      </c>
      <c r="U486" t="str">
        <f>IF(Retail_data[[#This Row],[Sales]]&gt;30000,"High",IF(Retail_data[[#This Row],[Sales]]&gt;10000,"Medium","Low"))</f>
        <v>High</v>
      </c>
      <c r="V486" s="3">
        <f>Retail_data[[#This Row],[Profit]]/Retail_data[[#This Row],[Sales]]</f>
        <v>0.14391484933946497</v>
      </c>
      <c r="W486">
        <v>5850.52</v>
      </c>
      <c r="X486" t="s">
        <v>48</v>
      </c>
    </row>
    <row r="487" spans="1:24" ht="13.8" x14ac:dyDescent="0.25">
      <c r="A487" t="s">
        <v>1673</v>
      </c>
      <c r="B487">
        <f>YEAR(Retail_data[[#This Row],[Order Date]])</f>
        <v>2027</v>
      </c>
      <c r="C487" t="str">
        <f>TEXT(Retail_data[[#This Row],[Order Date]],"mmmm")</f>
        <v>January</v>
      </c>
      <c r="D487">
        <f>MONTH(Retail_data[[#This Row],[Order Date]])</f>
        <v>1</v>
      </c>
      <c r="E487" t="str">
        <f>"Q"&amp;ROUNDUP(MONTH(Retail_data[[#This Row],[Order Date]])/3,0)</f>
        <v>Q1</v>
      </c>
      <c r="F487" s="1">
        <v>46407</v>
      </c>
      <c r="G487" s="1">
        <v>46411</v>
      </c>
      <c r="H487" t="s">
        <v>1674</v>
      </c>
      <c r="I487" t="s">
        <v>1675</v>
      </c>
      <c r="J487" t="s">
        <v>44</v>
      </c>
      <c r="K487" t="s">
        <v>22</v>
      </c>
      <c r="L487" t="s">
        <v>85</v>
      </c>
      <c r="M487" t="s">
        <v>86</v>
      </c>
      <c r="N487" t="s">
        <v>87</v>
      </c>
      <c r="O487" t="s">
        <v>37</v>
      </c>
      <c r="P487" t="s">
        <v>46</v>
      </c>
      <c r="Q487" t="s">
        <v>563</v>
      </c>
      <c r="R487">
        <v>25380.52</v>
      </c>
      <c r="S487">
        <v>6</v>
      </c>
      <c r="T487">
        <v>0</v>
      </c>
      <c r="U487" t="str">
        <f>IF(Retail_data[[#This Row],[Sales]]&gt;30000,"High",IF(Retail_data[[#This Row],[Sales]]&gt;10000,"Medium","Low"))</f>
        <v>Medium</v>
      </c>
      <c r="V487" s="3">
        <f>Retail_data[[#This Row],[Profit]]/Retail_data[[#This Row],[Sales]]</f>
        <v>0.25348416817307134</v>
      </c>
      <c r="W487">
        <v>6433.56</v>
      </c>
      <c r="X487" t="s">
        <v>81</v>
      </c>
    </row>
    <row r="488" spans="1:24" ht="13.8" x14ac:dyDescent="0.25">
      <c r="A488" t="s">
        <v>1676</v>
      </c>
      <c r="B488">
        <f>YEAR(Retail_data[[#This Row],[Order Date]])</f>
        <v>2027</v>
      </c>
      <c r="C488" t="str">
        <f>TEXT(Retail_data[[#This Row],[Order Date]],"mmmm")</f>
        <v>January</v>
      </c>
      <c r="D488">
        <f>MONTH(Retail_data[[#This Row],[Order Date]])</f>
        <v>1</v>
      </c>
      <c r="E488" t="str">
        <f>"Q"&amp;ROUNDUP(MONTH(Retail_data[[#This Row],[Order Date]])/3,0)</f>
        <v>Q1</v>
      </c>
      <c r="F488" s="1">
        <v>46408</v>
      </c>
      <c r="G488" s="1">
        <v>46412</v>
      </c>
      <c r="H488" t="s">
        <v>1677</v>
      </c>
      <c r="I488" t="s">
        <v>1678</v>
      </c>
      <c r="J488" t="s">
        <v>44</v>
      </c>
      <c r="K488" t="s">
        <v>22</v>
      </c>
      <c r="L488" t="s">
        <v>34</v>
      </c>
      <c r="M488" t="s">
        <v>35</v>
      </c>
      <c r="N488" t="s">
        <v>36</v>
      </c>
      <c r="O488" t="s">
        <v>37</v>
      </c>
      <c r="P488" t="s">
        <v>52</v>
      </c>
      <c r="Q488" t="s">
        <v>591</v>
      </c>
      <c r="R488">
        <v>23934.35</v>
      </c>
      <c r="S488">
        <v>3</v>
      </c>
      <c r="T488">
        <v>0.3</v>
      </c>
      <c r="U488" t="str">
        <f>IF(Retail_data[[#This Row],[Sales]]&gt;30000,"High",IF(Retail_data[[#This Row],[Sales]]&gt;10000,"Medium","Low"))</f>
        <v>Medium</v>
      </c>
      <c r="V488" s="3">
        <f>Retail_data[[#This Row],[Profit]]/Retail_data[[#This Row],[Sales]]</f>
        <v>0.16255925061679136</v>
      </c>
      <c r="W488">
        <v>3890.75</v>
      </c>
      <c r="X488" t="s">
        <v>48</v>
      </c>
    </row>
    <row r="489" spans="1:24" ht="13.8" x14ac:dyDescent="0.25">
      <c r="A489" t="s">
        <v>1679</v>
      </c>
      <c r="B489">
        <f>YEAR(Retail_data[[#This Row],[Order Date]])</f>
        <v>2027</v>
      </c>
      <c r="C489" t="str">
        <f>TEXT(Retail_data[[#This Row],[Order Date]],"mmmm")</f>
        <v>January</v>
      </c>
      <c r="D489">
        <f>MONTH(Retail_data[[#This Row],[Order Date]])</f>
        <v>1</v>
      </c>
      <c r="E489" t="str">
        <f>"Q"&amp;ROUNDUP(MONTH(Retail_data[[#This Row],[Order Date]])/3,0)</f>
        <v>Q1</v>
      </c>
      <c r="F489" s="1">
        <v>46409</v>
      </c>
      <c r="G489" s="1">
        <v>46413</v>
      </c>
      <c r="H489" t="s">
        <v>1680</v>
      </c>
      <c r="I489" t="s">
        <v>1681</v>
      </c>
      <c r="J489" t="s">
        <v>21</v>
      </c>
      <c r="K489" t="s">
        <v>22</v>
      </c>
      <c r="L489" t="s">
        <v>34</v>
      </c>
      <c r="M489" t="s">
        <v>35</v>
      </c>
      <c r="N489" t="s">
        <v>36</v>
      </c>
      <c r="O489" t="s">
        <v>37</v>
      </c>
      <c r="P489" t="s">
        <v>52</v>
      </c>
      <c r="Q489" t="s">
        <v>53</v>
      </c>
      <c r="R489">
        <v>26413.88</v>
      </c>
      <c r="S489">
        <v>2</v>
      </c>
      <c r="T489">
        <v>0.3</v>
      </c>
      <c r="U489" t="str">
        <f>IF(Retail_data[[#This Row],[Sales]]&gt;30000,"High",IF(Retail_data[[#This Row],[Sales]]&gt;10000,"Medium","Low"))</f>
        <v>Medium</v>
      </c>
      <c r="V489" s="3">
        <f>Retail_data[[#This Row],[Profit]]/Retail_data[[#This Row],[Sales]]</f>
        <v>3.069787551090563E-2</v>
      </c>
      <c r="W489">
        <v>810.85</v>
      </c>
      <c r="X489" t="s">
        <v>29</v>
      </c>
    </row>
    <row r="490" spans="1:24" ht="13.8" x14ac:dyDescent="0.25">
      <c r="A490" t="s">
        <v>1682</v>
      </c>
      <c r="B490">
        <f>YEAR(Retail_data[[#This Row],[Order Date]])</f>
        <v>2027</v>
      </c>
      <c r="C490" t="str">
        <f>TEXT(Retail_data[[#This Row],[Order Date]],"mmmm")</f>
        <v>January</v>
      </c>
      <c r="D490">
        <f>MONTH(Retail_data[[#This Row],[Order Date]])</f>
        <v>1</v>
      </c>
      <c r="E490" t="str">
        <f>"Q"&amp;ROUNDUP(MONTH(Retail_data[[#This Row],[Order Date]])/3,0)</f>
        <v>Q1</v>
      </c>
      <c r="F490" s="1">
        <v>46410</v>
      </c>
      <c r="G490" s="1">
        <v>46414</v>
      </c>
      <c r="H490" t="s">
        <v>1683</v>
      </c>
      <c r="I490" t="s">
        <v>1684</v>
      </c>
      <c r="J490" t="s">
        <v>44</v>
      </c>
      <c r="K490" t="s">
        <v>22</v>
      </c>
      <c r="L490" t="s">
        <v>34</v>
      </c>
      <c r="M490" t="s">
        <v>35</v>
      </c>
      <c r="N490" t="s">
        <v>36</v>
      </c>
      <c r="O490" t="s">
        <v>26</v>
      </c>
      <c r="P490" t="s">
        <v>92</v>
      </c>
      <c r="Q490" t="s">
        <v>121</v>
      </c>
      <c r="R490">
        <v>3519.91</v>
      </c>
      <c r="S490">
        <v>6</v>
      </c>
      <c r="T490">
        <v>0.1</v>
      </c>
      <c r="U490" t="str">
        <f>IF(Retail_data[[#This Row],[Sales]]&gt;30000,"High",IF(Retail_data[[#This Row],[Sales]]&gt;10000,"Medium","Low"))</f>
        <v>Low</v>
      </c>
      <c r="V490" s="3">
        <f>Retail_data[[#This Row],[Profit]]/Retail_data[[#This Row],[Sales]]</f>
        <v>0.14527644172720328</v>
      </c>
      <c r="W490">
        <v>511.36</v>
      </c>
      <c r="X490" t="s">
        <v>29</v>
      </c>
    </row>
    <row r="491" spans="1:24" ht="13.8" x14ac:dyDescent="0.25">
      <c r="A491" t="s">
        <v>1685</v>
      </c>
      <c r="B491">
        <f>YEAR(Retail_data[[#This Row],[Order Date]])</f>
        <v>2027</v>
      </c>
      <c r="C491" t="str">
        <f>TEXT(Retail_data[[#This Row],[Order Date]],"mmmm")</f>
        <v>January</v>
      </c>
      <c r="D491">
        <f>MONTH(Retail_data[[#This Row],[Order Date]])</f>
        <v>1</v>
      </c>
      <c r="E491" t="str">
        <f>"Q"&amp;ROUNDUP(MONTH(Retail_data[[#This Row],[Order Date]])/3,0)</f>
        <v>Q1</v>
      </c>
      <c r="F491" s="1">
        <v>46411</v>
      </c>
      <c r="G491" s="1">
        <v>46415</v>
      </c>
      <c r="H491" t="s">
        <v>1686</v>
      </c>
      <c r="I491" t="s">
        <v>1687</v>
      </c>
      <c r="J491" t="s">
        <v>44</v>
      </c>
      <c r="K491" t="s">
        <v>22</v>
      </c>
      <c r="L491" t="s">
        <v>23</v>
      </c>
      <c r="M491" t="s">
        <v>24</v>
      </c>
      <c r="N491" t="s">
        <v>25</v>
      </c>
      <c r="O491" t="s">
        <v>37</v>
      </c>
      <c r="P491" t="s">
        <v>38</v>
      </c>
      <c r="Q491" t="s">
        <v>595</v>
      </c>
      <c r="R491">
        <v>5728.26</v>
      </c>
      <c r="S491">
        <v>5</v>
      </c>
      <c r="T491">
        <v>0.2</v>
      </c>
      <c r="U491" t="str">
        <f>IF(Retail_data[[#This Row],[Sales]]&gt;30000,"High",IF(Retail_data[[#This Row],[Sales]]&gt;10000,"Medium","Low"))</f>
        <v>Low</v>
      </c>
      <c r="V491" s="3">
        <f>Retail_data[[#This Row],[Profit]]/Retail_data[[#This Row],[Sales]]</f>
        <v>0.19685558965549749</v>
      </c>
      <c r="W491">
        <v>1127.6400000000001</v>
      </c>
      <c r="X491" t="s">
        <v>81</v>
      </c>
    </row>
    <row r="492" spans="1:24" ht="13.8" x14ac:dyDescent="0.25">
      <c r="A492" t="s">
        <v>1688</v>
      </c>
      <c r="B492">
        <f>YEAR(Retail_data[[#This Row],[Order Date]])</f>
        <v>2027</v>
      </c>
      <c r="C492" t="str">
        <f>TEXT(Retail_data[[#This Row],[Order Date]],"mmmm")</f>
        <v>January</v>
      </c>
      <c r="D492">
        <f>MONTH(Retail_data[[#This Row],[Order Date]])</f>
        <v>1</v>
      </c>
      <c r="E492" t="str">
        <f>"Q"&amp;ROUNDUP(MONTH(Retail_data[[#This Row],[Order Date]])/3,0)</f>
        <v>Q1</v>
      </c>
      <c r="F492" s="1">
        <v>46412</v>
      </c>
      <c r="G492" s="1">
        <v>46416</v>
      </c>
      <c r="H492" t="s">
        <v>1689</v>
      </c>
      <c r="I492" t="s">
        <v>1690</v>
      </c>
      <c r="J492" t="s">
        <v>44</v>
      </c>
      <c r="K492" t="s">
        <v>22</v>
      </c>
      <c r="L492" t="s">
        <v>34</v>
      </c>
      <c r="M492" t="s">
        <v>35</v>
      </c>
      <c r="N492" t="s">
        <v>36</v>
      </c>
      <c r="O492" t="s">
        <v>57</v>
      </c>
      <c r="P492" t="s">
        <v>58</v>
      </c>
      <c r="Q492" t="s">
        <v>1590</v>
      </c>
      <c r="R492">
        <v>28142.25</v>
      </c>
      <c r="S492">
        <v>4</v>
      </c>
      <c r="T492">
        <v>0.2</v>
      </c>
      <c r="U492" t="str">
        <f>IF(Retail_data[[#This Row],[Sales]]&gt;30000,"High",IF(Retail_data[[#This Row],[Sales]]&gt;10000,"Medium","Low"))</f>
        <v>Medium</v>
      </c>
      <c r="V492" s="3">
        <f>Retail_data[[#This Row],[Profit]]/Retail_data[[#This Row],[Sales]]</f>
        <v>0.13647593920173404</v>
      </c>
      <c r="W492">
        <v>3840.74</v>
      </c>
      <c r="X492" t="s">
        <v>48</v>
      </c>
    </row>
    <row r="493" spans="1:24" ht="13.8" x14ac:dyDescent="0.25">
      <c r="A493" t="s">
        <v>1691</v>
      </c>
      <c r="B493">
        <f>YEAR(Retail_data[[#This Row],[Order Date]])</f>
        <v>2027</v>
      </c>
      <c r="C493" t="str">
        <f>TEXT(Retail_data[[#This Row],[Order Date]],"mmmm")</f>
        <v>January</v>
      </c>
      <c r="D493">
        <f>MONTH(Retail_data[[#This Row],[Order Date]])</f>
        <v>1</v>
      </c>
      <c r="E493" t="str">
        <f>"Q"&amp;ROUNDUP(MONTH(Retail_data[[#This Row],[Order Date]])/3,0)</f>
        <v>Q1</v>
      </c>
      <c r="F493" s="1">
        <v>46413</v>
      </c>
      <c r="G493" s="1">
        <v>46417</v>
      </c>
      <c r="H493" t="s">
        <v>1692</v>
      </c>
      <c r="I493" t="s">
        <v>1693</v>
      </c>
      <c r="J493" t="s">
        <v>33</v>
      </c>
      <c r="K493" t="s">
        <v>22</v>
      </c>
      <c r="L493" t="s">
        <v>34</v>
      </c>
      <c r="M493" t="s">
        <v>35</v>
      </c>
      <c r="N493" t="s">
        <v>36</v>
      </c>
      <c r="O493" t="s">
        <v>26</v>
      </c>
      <c r="P493" t="s">
        <v>92</v>
      </c>
      <c r="Q493" t="s">
        <v>343</v>
      </c>
      <c r="R493">
        <v>21215.16</v>
      </c>
      <c r="S493">
        <v>5</v>
      </c>
      <c r="T493">
        <v>0</v>
      </c>
      <c r="U493" t="str">
        <f>IF(Retail_data[[#This Row],[Sales]]&gt;30000,"High",IF(Retail_data[[#This Row],[Sales]]&gt;10000,"Medium","Low"))</f>
        <v>Medium</v>
      </c>
      <c r="V493" s="3">
        <f>Retail_data[[#This Row],[Profit]]/Retail_data[[#This Row],[Sales]]</f>
        <v>7.3945706749324533E-2</v>
      </c>
      <c r="W493">
        <v>1568.77</v>
      </c>
      <c r="X493" t="s">
        <v>40</v>
      </c>
    </row>
    <row r="494" spans="1:24" ht="13.8" x14ac:dyDescent="0.25">
      <c r="A494" t="s">
        <v>1694</v>
      </c>
      <c r="B494">
        <f>YEAR(Retail_data[[#This Row],[Order Date]])</f>
        <v>2027</v>
      </c>
      <c r="C494" t="str">
        <f>TEXT(Retail_data[[#This Row],[Order Date]],"mmmm")</f>
        <v>January</v>
      </c>
      <c r="D494">
        <f>MONTH(Retail_data[[#This Row],[Order Date]])</f>
        <v>1</v>
      </c>
      <c r="E494" t="str">
        <f>"Q"&amp;ROUNDUP(MONTH(Retail_data[[#This Row],[Order Date]])/3,0)</f>
        <v>Q1</v>
      </c>
      <c r="F494" s="1">
        <v>46414</v>
      </c>
      <c r="G494" s="1">
        <v>46418</v>
      </c>
      <c r="H494" t="s">
        <v>1695</v>
      </c>
      <c r="I494" t="s">
        <v>1696</v>
      </c>
      <c r="J494" t="s">
        <v>33</v>
      </c>
      <c r="K494" t="s">
        <v>22</v>
      </c>
      <c r="L494" t="s">
        <v>34</v>
      </c>
      <c r="M494" t="s">
        <v>35</v>
      </c>
      <c r="N494" t="s">
        <v>36</v>
      </c>
      <c r="O494" t="s">
        <v>57</v>
      </c>
      <c r="P494" t="s">
        <v>58</v>
      </c>
      <c r="Q494" t="s">
        <v>188</v>
      </c>
      <c r="R494">
        <v>21916.959999999999</v>
      </c>
      <c r="S494">
        <v>2</v>
      </c>
      <c r="T494">
        <v>0.3</v>
      </c>
      <c r="U494" t="str">
        <f>IF(Retail_data[[#This Row],[Sales]]&gt;30000,"High",IF(Retail_data[[#This Row],[Sales]]&gt;10000,"Medium","Low"))</f>
        <v>Medium</v>
      </c>
      <c r="V494" s="3">
        <f>Retail_data[[#This Row],[Profit]]/Retail_data[[#This Row],[Sales]]</f>
        <v>-5.6396963812499541E-2</v>
      </c>
      <c r="W494">
        <v>-1236.05</v>
      </c>
      <c r="X494" t="s">
        <v>48</v>
      </c>
    </row>
    <row r="495" spans="1:24" ht="13.8" x14ac:dyDescent="0.25">
      <c r="A495" t="s">
        <v>1697</v>
      </c>
      <c r="B495">
        <f>YEAR(Retail_data[[#This Row],[Order Date]])</f>
        <v>2027</v>
      </c>
      <c r="C495" t="str">
        <f>TEXT(Retail_data[[#This Row],[Order Date]],"mmmm")</f>
        <v>January</v>
      </c>
      <c r="D495">
        <f>MONTH(Retail_data[[#This Row],[Order Date]])</f>
        <v>1</v>
      </c>
      <c r="E495" t="str">
        <f>"Q"&amp;ROUNDUP(MONTH(Retail_data[[#This Row],[Order Date]])/3,0)</f>
        <v>Q1</v>
      </c>
      <c r="F495" s="1">
        <v>46415</v>
      </c>
      <c r="G495" s="1">
        <v>46419</v>
      </c>
      <c r="H495" t="s">
        <v>1698</v>
      </c>
      <c r="I495" t="s">
        <v>1699</v>
      </c>
      <c r="J495" t="s">
        <v>44</v>
      </c>
      <c r="K495" t="s">
        <v>22</v>
      </c>
      <c r="L495" t="s">
        <v>45</v>
      </c>
      <c r="M495" t="s">
        <v>45</v>
      </c>
      <c r="N495" t="s">
        <v>25</v>
      </c>
      <c r="O495" t="s">
        <v>37</v>
      </c>
      <c r="P495" t="s">
        <v>38</v>
      </c>
      <c r="Q495" t="s">
        <v>1157</v>
      </c>
      <c r="R495">
        <v>26115.82</v>
      </c>
      <c r="S495">
        <v>2</v>
      </c>
      <c r="T495">
        <v>0.3</v>
      </c>
      <c r="U495" t="str">
        <f>IF(Retail_data[[#This Row],[Sales]]&gt;30000,"High",IF(Retail_data[[#This Row],[Sales]]&gt;10000,"Medium","Low"))</f>
        <v>Medium</v>
      </c>
      <c r="V495" s="3">
        <f>Retail_data[[#This Row],[Profit]]/Retail_data[[#This Row],[Sales]]</f>
        <v>0.11145619781419844</v>
      </c>
      <c r="W495">
        <v>2910.77</v>
      </c>
      <c r="X495" t="s">
        <v>48</v>
      </c>
    </row>
    <row r="496" spans="1:24" ht="13.8" x14ac:dyDescent="0.25">
      <c r="A496" t="s">
        <v>1700</v>
      </c>
      <c r="B496">
        <f>YEAR(Retail_data[[#This Row],[Order Date]])</f>
        <v>2027</v>
      </c>
      <c r="C496" t="str">
        <f>TEXT(Retail_data[[#This Row],[Order Date]],"mmmm")</f>
        <v>January</v>
      </c>
      <c r="D496">
        <f>MONTH(Retail_data[[#This Row],[Order Date]])</f>
        <v>1</v>
      </c>
      <c r="E496" t="str">
        <f>"Q"&amp;ROUNDUP(MONTH(Retail_data[[#This Row],[Order Date]])/3,0)</f>
        <v>Q1</v>
      </c>
      <c r="F496" s="1">
        <v>46416</v>
      </c>
      <c r="G496" s="1">
        <v>46420</v>
      </c>
      <c r="H496" t="s">
        <v>1701</v>
      </c>
      <c r="I496" t="s">
        <v>1702</v>
      </c>
      <c r="J496" t="s">
        <v>44</v>
      </c>
      <c r="K496" t="s">
        <v>22</v>
      </c>
      <c r="L496" t="s">
        <v>23</v>
      </c>
      <c r="M496" t="s">
        <v>24</v>
      </c>
      <c r="N496" t="s">
        <v>25</v>
      </c>
      <c r="O496" t="s">
        <v>57</v>
      </c>
      <c r="P496" t="s">
        <v>79</v>
      </c>
      <c r="Q496" t="s">
        <v>370</v>
      </c>
      <c r="R496">
        <v>38649.58</v>
      </c>
      <c r="S496">
        <v>5</v>
      </c>
      <c r="T496">
        <v>0</v>
      </c>
      <c r="U496" t="str">
        <f>IF(Retail_data[[#This Row],[Sales]]&gt;30000,"High",IF(Retail_data[[#This Row],[Sales]]&gt;10000,"Medium","Low"))</f>
        <v>High</v>
      </c>
      <c r="V496" s="3">
        <f>Retail_data[[#This Row],[Profit]]/Retail_data[[#This Row],[Sales]]</f>
        <v>0.21076658530312617</v>
      </c>
      <c r="W496">
        <v>8146.04</v>
      </c>
      <c r="X496" t="s">
        <v>81</v>
      </c>
    </row>
    <row r="497" spans="1:24" ht="13.8" x14ac:dyDescent="0.25">
      <c r="A497" t="s">
        <v>1703</v>
      </c>
      <c r="B497">
        <f>YEAR(Retail_data[[#This Row],[Order Date]])</f>
        <v>2027</v>
      </c>
      <c r="C497" t="str">
        <f>TEXT(Retail_data[[#This Row],[Order Date]],"mmmm")</f>
        <v>January</v>
      </c>
      <c r="D497">
        <f>MONTH(Retail_data[[#This Row],[Order Date]])</f>
        <v>1</v>
      </c>
      <c r="E497" t="str">
        <f>"Q"&amp;ROUNDUP(MONTH(Retail_data[[#This Row],[Order Date]])/3,0)</f>
        <v>Q1</v>
      </c>
      <c r="F497" s="1">
        <v>46417</v>
      </c>
      <c r="G497" s="1">
        <v>46421</v>
      </c>
      <c r="H497" t="s">
        <v>1704</v>
      </c>
      <c r="I497" t="s">
        <v>1705</v>
      </c>
      <c r="J497" t="s">
        <v>33</v>
      </c>
      <c r="K497" t="s">
        <v>22</v>
      </c>
      <c r="L497" t="s">
        <v>34</v>
      </c>
      <c r="M497" t="s">
        <v>35</v>
      </c>
      <c r="N497" t="s">
        <v>36</v>
      </c>
      <c r="O497" t="s">
        <v>37</v>
      </c>
      <c r="P497" t="s">
        <v>52</v>
      </c>
      <c r="Q497" t="s">
        <v>856</v>
      </c>
      <c r="R497">
        <v>13885.82</v>
      </c>
      <c r="S497">
        <v>5</v>
      </c>
      <c r="T497">
        <v>0.2</v>
      </c>
      <c r="U497" t="str">
        <f>IF(Retail_data[[#This Row],[Sales]]&gt;30000,"High",IF(Retail_data[[#This Row],[Sales]]&gt;10000,"Medium","Low"))</f>
        <v>Medium</v>
      </c>
      <c r="V497" s="3">
        <f>Retail_data[[#This Row],[Profit]]/Retail_data[[#This Row],[Sales]]</f>
        <v>0.1578005476089997</v>
      </c>
      <c r="W497">
        <v>2191.19</v>
      </c>
      <c r="X497" t="s">
        <v>40</v>
      </c>
    </row>
    <row r="498" spans="1:24" ht="13.8" x14ac:dyDescent="0.25">
      <c r="A498" t="s">
        <v>1706</v>
      </c>
      <c r="B498">
        <f>YEAR(Retail_data[[#This Row],[Order Date]])</f>
        <v>2027</v>
      </c>
      <c r="C498" t="str">
        <f>TEXT(Retail_data[[#This Row],[Order Date]],"mmmm")</f>
        <v>January</v>
      </c>
      <c r="D498">
        <f>MONTH(Retail_data[[#This Row],[Order Date]])</f>
        <v>1</v>
      </c>
      <c r="E498" t="str">
        <f>"Q"&amp;ROUNDUP(MONTH(Retail_data[[#This Row],[Order Date]])/3,0)</f>
        <v>Q1</v>
      </c>
      <c r="F498" s="1">
        <v>46418</v>
      </c>
      <c r="G498" s="1">
        <v>46422</v>
      </c>
      <c r="H498" t="s">
        <v>1707</v>
      </c>
      <c r="I498" t="s">
        <v>1708</v>
      </c>
      <c r="J498" t="s">
        <v>44</v>
      </c>
      <c r="K498" t="s">
        <v>22</v>
      </c>
      <c r="L498" t="s">
        <v>34</v>
      </c>
      <c r="M498" t="s">
        <v>35</v>
      </c>
      <c r="N498" t="s">
        <v>36</v>
      </c>
      <c r="O498" t="s">
        <v>57</v>
      </c>
      <c r="P498" t="s">
        <v>79</v>
      </c>
      <c r="Q498" t="s">
        <v>1319</v>
      </c>
      <c r="R498">
        <v>23454.57</v>
      </c>
      <c r="S498">
        <v>1</v>
      </c>
      <c r="T498">
        <v>0.3</v>
      </c>
      <c r="U498" t="str">
        <f>IF(Retail_data[[#This Row],[Sales]]&gt;30000,"High",IF(Retail_data[[#This Row],[Sales]]&gt;10000,"Medium","Low"))</f>
        <v>Medium</v>
      </c>
      <c r="V498" s="3">
        <f>Retail_data[[#This Row],[Profit]]/Retail_data[[#This Row],[Sales]]</f>
        <v>2.1420558978484792E-2</v>
      </c>
      <c r="W498">
        <v>502.41</v>
      </c>
      <c r="X498" t="s">
        <v>81</v>
      </c>
    </row>
    <row r="499" spans="1:24" ht="13.8" x14ac:dyDescent="0.25">
      <c r="A499" t="s">
        <v>1709</v>
      </c>
      <c r="B499">
        <f>YEAR(Retail_data[[#This Row],[Order Date]])</f>
        <v>2027</v>
      </c>
      <c r="C499" t="str">
        <f>TEXT(Retail_data[[#This Row],[Order Date]],"mmmm")</f>
        <v>February</v>
      </c>
      <c r="D499">
        <f>MONTH(Retail_data[[#This Row],[Order Date]])</f>
        <v>2</v>
      </c>
      <c r="E499" t="str">
        <f>"Q"&amp;ROUNDUP(MONTH(Retail_data[[#This Row],[Order Date]])/3,0)</f>
        <v>Q1</v>
      </c>
      <c r="F499" s="1">
        <v>46419</v>
      </c>
      <c r="G499" s="1">
        <v>46423</v>
      </c>
      <c r="H499" t="s">
        <v>1710</v>
      </c>
      <c r="I499" t="s">
        <v>1711</v>
      </c>
      <c r="J499" t="s">
        <v>44</v>
      </c>
      <c r="K499" t="s">
        <v>22</v>
      </c>
      <c r="L499" t="s">
        <v>23</v>
      </c>
      <c r="M499" t="s">
        <v>24</v>
      </c>
      <c r="N499" t="s">
        <v>25</v>
      </c>
      <c r="O499" t="s">
        <v>57</v>
      </c>
      <c r="P499" t="s">
        <v>58</v>
      </c>
      <c r="Q499" t="s">
        <v>59</v>
      </c>
      <c r="R499">
        <v>40359.49</v>
      </c>
      <c r="S499">
        <v>5</v>
      </c>
      <c r="T499">
        <v>0.3</v>
      </c>
      <c r="U499" t="str">
        <f>IF(Retail_data[[#This Row],[Sales]]&gt;30000,"High",IF(Retail_data[[#This Row],[Sales]]&gt;10000,"Medium","Low"))</f>
        <v>High</v>
      </c>
      <c r="V499" s="3">
        <f>Retail_data[[#This Row],[Profit]]/Retail_data[[#This Row],[Sales]]</f>
        <v>-2.8973359177729946E-2</v>
      </c>
      <c r="W499">
        <v>-1169.3499999999999</v>
      </c>
      <c r="X499" t="s">
        <v>40</v>
      </c>
    </row>
    <row r="500" spans="1:24" ht="13.8" x14ac:dyDescent="0.25">
      <c r="A500" t="s">
        <v>1712</v>
      </c>
      <c r="B500">
        <f>YEAR(Retail_data[[#This Row],[Order Date]])</f>
        <v>2027</v>
      </c>
      <c r="C500" t="str">
        <f>TEXT(Retail_data[[#This Row],[Order Date]],"mmmm")</f>
        <v>February</v>
      </c>
      <c r="D500">
        <f>MONTH(Retail_data[[#This Row],[Order Date]])</f>
        <v>2</v>
      </c>
      <c r="E500" t="str">
        <f>"Q"&amp;ROUNDUP(MONTH(Retail_data[[#This Row],[Order Date]])/3,0)</f>
        <v>Q1</v>
      </c>
      <c r="F500" s="1">
        <v>46420</v>
      </c>
      <c r="G500" s="1">
        <v>46424</v>
      </c>
      <c r="H500" t="s">
        <v>1713</v>
      </c>
      <c r="I500" t="s">
        <v>1714</v>
      </c>
      <c r="J500" t="s">
        <v>21</v>
      </c>
      <c r="K500" t="s">
        <v>22</v>
      </c>
      <c r="L500" t="s">
        <v>45</v>
      </c>
      <c r="M500" t="s">
        <v>45</v>
      </c>
      <c r="N500" t="s">
        <v>25</v>
      </c>
      <c r="O500" t="s">
        <v>57</v>
      </c>
      <c r="P500" t="s">
        <v>79</v>
      </c>
      <c r="Q500" t="s">
        <v>645</v>
      </c>
      <c r="R500">
        <v>36304.22</v>
      </c>
      <c r="S500">
        <v>7</v>
      </c>
      <c r="T500">
        <v>0.2</v>
      </c>
      <c r="U500" t="str">
        <f>IF(Retail_data[[#This Row],[Sales]]&gt;30000,"High",IF(Retail_data[[#This Row],[Sales]]&gt;10000,"Medium","Low"))</f>
        <v>High</v>
      </c>
      <c r="V500" s="3">
        <f>Retail_data[[#This Row],[Profit]]/Retail_data[[#This Row],[Sales]]</f>
        <v>1.3736970522986032E-2</v>
      </c>
      <c r="W500">
        <v>498.71</v>
      </c>
      <c r="X500" t="s">
        <v>48</v>
      </c>
    </row>
    <row r="501" spans="1:24" ht="13.8" x14ac:dyDescent="0.25">
      <c r="A501" t="s">
        <v>1715</v>
      </c>
      <c r="B501">
        <f>YEAR(Retail_data[[#This Row],[Order Date]])</f>
        <v>2027</v>
      </c>
      <c r="C501" t="str">
        <f>TEXT(Retail_data[[#This Row],[Order Date]],"mmmm")</f>
        <v>February</v>
      </c>
      <c r="D501">
        <f>MONTH(Retail_data[[#This Row],[Order Date]])</f>
        <v>2</v>
      </c>
      <c r="E501" t="str">
        <f>"Q"&amp;ROUNDUP(MONTH(Retail_data[[#This Row],[Order Date]])/3,0)</f>
        <v>Q1</v>
      </c>
      <c r="F501" s="1">
        <v>46421</v>
      </c>
      <c r="G501" s="1">
        <v>46425</v>
      </c>
      <c r="H501" t="s">
        <v>1716</v>
      </c>
      <c r="I501" t="s">
        <v>1717</v>
      </c>
      <c r="J501" t="s">
        <v>33</v>
      </c>
      <c r="K501" t="s">
        <v>22</v>
      </c>
      <c r="L501" t="s">
        <v>23</v>
      </c>
      <c r="M501" t="s">
        <v>24</v>
      </c>
      <c r="N501" t="s">
        <v>25</v>
      </c>
      <c r="O501" t="s">
        <v>37</v>
      </c>
      <c r="P501" t="s">
        <v>52</v>
      </c>
      <c r="Q501" t="s">
        <v>358</v>
      </c>
      <c r="R501">
        <v>16867.240000000002</v>
      </c>
      <c r="S501">
        <v>4</v>
      </c>
      <c r="T501">
        <v>0</v>
      </c>
      <c r="U501" t="str">
        <f>IF(Retail_data[[#This Row],[Sales]]&gt;30000,"High",IF(Retail_data[[#This Row],[Sales]]&gt;10000,"Medium","Low"))</f>
        <v>Medium</v>
      </c>
      <c r="V501" s="3">
        <f>Retail_data[[#This Row],[Profit]]/Retail_data[[#This Row],[Sales]]</f>
        <v>0.19098856718704421</v>
      </c>
      <c r="W501">
        <v>3221.45</v>
      </c>
      <c r="X501" t="s">
        <v>29</v>
      </c>
    </row>
    <row r="502" spans="1:24" ht="13.8" x14ac:dyDescent="0.25">
      <c r="A502" t="s">
        <v>1718</v>
      </c>
      <c r="B502">
        <f>YEAR(Retail_data[[#This Row],[Order Date]])</f>
        <v>2027</v>
      </c>
      <c r="C502" t="str">
        <f>TEXT(Retail_data[[#This Row],[Order Date]],"mmmm")</f>
        <v>February</v>
      </c>
      <c r="D502">
        <f>MONTH(Retail_data[[#This Row],[Order Date]])</f>
        <v>2</v>
      </c>
      <c r="E502" t="str">
        <f>"Q"&amp;ROUNDUP(MONTH(Retail_data[[#This Row],[Order Date]])/3,0)</f>
        <v>Q1</v>
      </c>
      <c r="F502" s="1">
        <v>46422</v>
      </c>
      <c r="G502" s="1">
        <v>46426</v>
      </c>
      <c r="H502" t="s">
        <v>1719</v>
      </c>
      <c r="I502" t="s">
        <v>1720</v>
      </c>
      <c r="J502" t="s">
        <v>21</v>
      </c>
      <c r="K502" t="s">
        <v>22</v>
      </c>
      <c r="L502" t="s">
        <v>45</v>
      </c>
      <c r="M502" t="s">
        <v>45</v>
      </c>
      <c r="N502" t="s">
        <v>25</v>
      </c>
      <c r="O502" t="s">
        <v>57</v>
      </c>
      <c r="P502" t="s">
        <v>79</v>
      </c>
      <c r="Q502" t="s">
        <v>824</v>
      </c>
      <c r="R502">
        <v>14888.25</v>
      </c>
      <c r="S502">
        <v>5</v>
      </c>
      <c r="T502">
        <v>0.1</v>
      </c>
      <c r="U502" t="str">
        <f>IF(Retail_data[[#This Row],[Sales]]&gt;30000,"High",IF(Retail_data[[#This Row],[Sales]]&gt;10000,"Medium","Low"))</f>
        <v>Medium</v>
      </c>
      <c r="V502" s="3">
        <f>Retail_data[[#This Row],[Profit]]/Retail_data[[#This Row],[Sales]]</f>
        <v>0.19998925327019629</v>
      </c>
      <c r="W502">
        <v>2977.49</v>
      </c>
      <c r="X502" t="s">
        <v>29</v>
      </c>
    </row>
    <row r="503" spans="1:24" ht="13.8" x14ac:dyDescent="0.25">
      <c r="A503" t="s">
        <v>1721</v>
      </c>
      <c r="B503">
        <f>YEAR(Retail_data[[#This Row],[Order Date]])</f>
        <v>2027</v>
      </c>
      <c r="C503" t="str">
        <f>TEXT(Retail_data[[#This Row],[Order Date]],"mmmm")</f>
        <v>February</v>
      </c>
      <c r="D503">
        <f>MONTH(Retail_data[[#This Row],[Order Date]])</f>
        <v>2</v>
      </c>
      <c r="E503" t="str">
        <f>"Q"&amp;ROUNDUP(MONTH(Retail_data[[#This Row],[Order Date]])/3,0)</f>
        <v>Q1</v>
      </c>
      <c r="F503" s="1">
        <v>46423</v>
      </c>
      <c r="G503" s="1">
        <v>46427</v>
      </c>
      <c r="H503" t="s">
        <v>1722</v>
      </c>
      <c r="I503" t="s">
        <v>1723</v>
      </c>
      <c r="J503" t="s">
        <v>21</v>
      </c>
      <c r="K503" t="s">
        <v>22</v>
      </c>
      <c r="L503" t="s">
        <v>45</v>
      </c>
      <c r="M503" t="s">
        <v>45</v>
      </c>
      <c r="N503" t="s">
        <v>25</v>
      </c>
      <c r="O503" t="s">
        <v>57</v>
      </c>
      <c r="P503" t="s">
        <v>149</v>
      </c>
      <c r="Q503" t="s">
        <v>538</v>
      </c>
      <c r="R503">
        <v>28302.27</v>
      </c>
      <c r="S503">
        <v>4</v>
      </c>
      <c r="T503">
        <v>0.1</v>
      </c>
      <c r="U503" t="str">
        <f>IF(Retail_data[[#This Row],[Sales]]&gt;30000,"High",IF(Retail_data[[#This Row],[Sales]]&gt;10000,"Medium","Low"))</f>
        <v>Medium</v>
      </c>
      <c r="V503" s="3">
        <f>Retail_data[[#This Row],[Profit]]/Retail_data[[#This Row],[Sales]]</f>
        <v>0.15944622109816631</v>
      </c>
      <c r="W503">
        <v>4512.6899999999996</v>
      </c>
      <c r="X503" t="s">
        <v>40</v>
      </c>
    </row>
    <row r="504" spans="1:24" ht="13.8" x14ac:dyDescent="0.25">
      <c r="A504" t="s">
        <v>1724</v>
      </c>
      <c r="B504">
        <f>YEAR(Retail_data[[#This Row],[Order Date]])</f>
        <v>2027</v>
      </c>
      <c r="C504" t="str">
        <f>TEXT(Retail_data[[#This Row],[Order Date]],"mmmm")</f>
        <v>February</v>
      </c>
      <c r="D504">
        <f>MONTH(Retail_data[[#This Row],[Order Date]])</f>
        <v>2</v>
      </c>
      <c r="E504" t="str">
        <f>"Q"&amp;ROUNDUP(MONTH(Retail_data[[#This Row],[Order Date]])/3,0)</f>
        <v>Q1</v>
      </c>
      <c r="F504" s="1">
        <v>46424</v>
      </c>
      <c r="G504" s="1">
        <v>46428</v>
      </c>
      <c r="H504" t="s">
        <v>1725</v>
      </c>
      <c r="I504" t="s">
        <v>1726</v>
      </c>
      <c r="J504" t="s">
        <v>21</v>
      </c>
      <c r="K504" t="s">
        <v>22</v>
      </c>
      <c r="L504" t="s">
        <v>34</v>
      </c>
      <c r="M504" t="s">
        <v>35</v>
      </c>
      <c r="N504" t="s">
        <v>36</v>
      </c>
      <c r="O504" t="s">
        <v>57</v>
      </c>
      <c r="P504" t="s">
        <v>79</v>
      </c>
      <c r="Q504" t="s">
        <v>1727</v>
      </c>
      <c r="R504">
        <v>20334.52</v>
      </c>
      <c r="S504">
        <v>6</v>
      </c>
      <c r="T504">
        <v>0.2</v>
      </c>
      <c r="U504" t="str">
        <f>IF(Retail_data[[#This Row],[Sales]]&gt;30000,"High",IF(Retail_data[[#This Row],[Sales]]&gt;10000,"Medium","Low"))</f>
        <v>Medium</v>
      </c>
      <c r="V504" s="3">
        <f>Retail_data[[#This Row],[Profit]]/Retail_data[[#This Row],[Sales]]</f>
        <v>0.12627738446739828</v>
      </c>
      <c r="W504">
        <v>2567.79</v>
      </c>
      <c r="X504" t="s">
        <v>29</v>
      </c>
    </row>
    <row r="505" spans="1:24" ht="13.8" x14ac:dyDescent="0.25">
      <c r="A505" t="s">
        <v>1728</v>
      </c>
      <c r="B505">
        <f>YEAR(Retail_data[[#This Row],[Order Date]])</f>
        <v>2027</v>
      </c>
      <c r="C505" t="str">
        <f>TEXT(Retail_data[[#This Row],[Order Date]],"mmmm")</f>
        <v>February</v>
      </c>
      <c r="D505">
        <f>MONTH(Retail_data[[#This Row],[Order Date]])</f>
        <v>2</v>
      </c>
      <c r="E505" t="str">
        <f>"Q"&amp;ROUNDUP(MONTH(Retail_data[[#This Row],[Order Date]])/3,0)</f>
        <v>Q1</v>
      </c>
      <c r="F505" s="1">
        <v>46425</v>
      </c>
      <c r="G505" s="1">
        <v>46429</v>
      </c>
      <c r="H505" t="s">
        <v>1729</v>
      </c>
      <c r="I505" t="s">
        <v>1730</v>
      </c>
      <c r="J505" t="s">
        <v>44</v>
      </c>
      <c r="K505" t="s">
        <v>22</v>
      </c>
      <c r="L505" t="s">
        <v>34</v>
      </c>
      <c r="M505" t="s">
        <v>35</v>
      </c>
      <c r="N505" t="s">
        <v>36</v>
      </c>
      <c r="O505" t="s">
        <v>57</v>
      </c>
      <c r="P505" t="s">
        <v>58</v>
      </c>
      <c r="Q505" t="s">
        <v>814</v>
      </c>
      <c r="R505">
        <v>44193.74</v>
      </c>
      <c r="S505">
        <v>5</v>
      </c>
      <c r="T505">
        <v>0.1</v>
      </c>
      <c r="U505" t="str">
        <f>IF(Retail_data[[#This Row],[Sales]]&gt;30000,"High",IF(Retail_data[[#This Row],[Sales]]&gt;10000,"Medium","Low"))</f>
        <v>High</v>
      </c>
      <c r="V505" s="3">
        <f>Retail_data[[#This Row],[Profit]]/Retail_data[[#This Row],[Sales]]</f>
        <v>0.1449739261714442</v>
      </c>
      <c r="W505">
        <v>6406.94</v>
      </c>
      <c r="X505" t="s">
        <v>48</v>
      </c>
    </row>
    <row r="506" spans="1:24" ht="13.8" x14ac:dyDescent="0.25">
      <c r="A506" t="s">
        <v>1731</v>
      </c>
      <c r="B506">
        <f>YEAR(Retail_data[[#This Row],[Order Date]])</f>
        <v>2027</v>
      </c>
      <c r="C506" t="str">
        <f>TEXT(Retail_data[[#This Row],[Order Date]],"mmmm")</f>
        <v>February</v>
      </c>
      <c r="D506">
        <f>MONTH(Retail_data[[#This Row],[Order Date]])</f>
        <v>2</v>
      </c>
      <c r="E506" t="str">
        <f>"Q"&amp;ROUNDUP(MONTH(Retail_data[[#This Row],[Order Date]])/3,0)</f>
        <v>Q1</v>
      </c>
      <c r="F506" s="1">
        <v>46426</v>
      </c>
      <c r="G506" s="1">
        <v>46430</v>
      </c>
      <c r="H506" t="s">
        <v>1732</v>
      </c>
      <c r="I506" t="s">
        <v>1733</v>
      </c>
      <c r="J506" t="s">
        <v>33</v>
      </c>
      <c r="K506" t="s">
        <v>22</v>
      </c>
      <c r="L506" t="s">
        <v>85</v>
      </c>
      <c r="M506" t="s">
        <v>86</v>
      </c>
      <c r="N506" t="s">
        <v>87</v>
      </c>
      <c r="O506" t="s">
        <v>26</v>
      </c>
      <c r="P506" t="s">
        <v>70</v>
      </c>
      <c r="Q506" t="s">
        <v>117</v>
      </c>
      <c r="R506">
        <v>10718.8</v>
      </c>
      <c r="S506">
        <v>7</v>
      </c>
      <c r="T506">
        <v>0.3</v>
      </c>
      <c r="U506" t="str">
        <f>IF(Retail_data[[#This Row],[Sales]]&gt;30000,"High",IF(Retail_data[[#This Row],[Sales]]&gt;10000,"Medium","Low"))</f>
        <v>Medium</v>
      </c>
      <c r="V506" s="3">
        <f>Retail_data[[#This Row],[Profit]]/Retail_data[[#This Row],[Sales]]</f>
        <v>1.88528566630593E-2</v>
      </c>
      <c r="W506">
        <v>202.08</v>
      </c>
      <c r="X506" t="s">
        <v>81</v>
      </c>
    </row>
    <row r="507" spans="1:24" ht="13.8" x14ac:dyDescent="0.25">
      <c r="A507" t="s">
        <v>1734</v>
      </c>
      <c r="B507">
        <f>YEAR(Retail_data[[#This Row],[Order Date]])</f>
        <v>2027</v>
      </c>
      <c r="C507" t="str">
        <f>TEXT(Retail_data[[#This Row],[Order Date]],"mmmm")</f>
        <v>February</v>
      </c>
      <c r="D507">
        <f>MONTH(Retail_data[[#This Row],[Order Date]])</f>
        <v>2</v>
      </c>
      <c r="E507" t="str">
        <f>"Q"&amp;ROUNDUP(MONTH(Retail_data[[#This Row],[Order Date]])/3,0)</f>
        <v>Q1</v>
      </c>
      <c r="F507" s="1">
        <v>46427</v>
      </c>
      <c r="G507" s="1">
        <v>46431</v>
      </c>
      <c r="H507" t="s">
        <v>1735</v>
      </c>
      <c r="I507" t="s">
        <v>1736</v>
      </c>
      <c r="J507" t="s">
        <v>21</v>
      </c>
      <c r="K507" t="s">
        <v>22</v>
      </c>
      <c r="L507" t="s">
        <v>85</v>
      </c>
      <c r="M507" t="s">
        <v>86</v>
      </c>
      <c r="N507" t="s">
        <v>87</v>
      </c>
      <c r="O507" t="s">
        <v>26</v>
      </c>
      <c r="P507" t="s">
        <v>70</v>
      </c>
      <c r="Q507" t="s">
        <v>316</v>
      </c>
      <c r="R507">
        <v>13758.74</v>
      </c>
      <c r="S507">
        <v>6</v>
      </c>
      <c r="T507">
        <v>0.3</v>
      </c>
      <c r="U507" t="str">
        <f>IF(Retail_data[[#This Row],[Sales]]&gt;30000,"High",IF(Retail_data[[#This Row],[Sales]]&gt;10000,"Medium","Low"))</f>
        <v>Medium</v>
      </c>
      <c r="V507" s="3">
        <f>Retail_data[[#This Row],[Profit]]/Retail_data[[#This Row],[Sales]]</f>
        <v>0.17943358185415237</v>
      </c>
      <c r="W507">
        <v>2468.7800000000002</v>
      </c>
      <c r="X507" t="s">
        <v>48</v>
      </c>
    </row>
    <row r="508" spans="1:24" ht="13.8" x14ac:dyDescent="0.25">
      <c r="A508" t="s">
        <v>1737</v>
      </c>
      <c r="B508">
        <f>YEAR(Retail_data[[#This Row],[Order Date]])</f>
        <v>2027</v>
      </c>
      <c r="C508" t="str">
        <f>TEXT(Retail_data[[#This Row],[Order Date]],"mmmm")</f>
        <v>February</v>
      </c>
      <c r="D508">
        <f>MONTH(Retail_data[[#This Row],[Order Date]])</f>
        <v>2</v>
      </c>
      <c r="E508" t="str">
        <f>"Q"&amp;ROUNDUP(MONTH(Retail_data[[#This Row],[Order Date]])/3,0)</f>
        <v>Q1</v>
      </c>
      <c r="F508" s="1">
        <v>46428</v>
      </c>
      <c r="G508" s="1">
        <v>46432</v>
      </c>
      <c r="H508" t="s">
        <v>1738</v>
      </c>
      <c r="I508" t="s">
        <v>1739</v>
      </c>
      <c r="J508" t="s">
        <v>33</v>
      </c>
      <c r="K508" t="s">
        <v>22</v>
      </c>
      <c r="L508" t="s">
        <v>67</v>
      </c>
      <c r="M508" t="s">
        <v>68</v>
      </c>
      <c r="N508" t="s">
        <v>69</v>
      </c>
      <c r="O508" t="s">
        <v>57</v>
      </c>
      <c r="P508" t="s">
        <v>149</v>
      </c>
      <c r="Q508" t="s">
        <v>1740</v>
      </c>
      <c r="R508">
        <v>24963.08</v>
      </c>
      <c r="S508">
        <v>7</v>
      </c>
      <c r="T508">
        <v>0.3</v>
      </c>
      <c r="U508" t="str">
        <f>IF(Retail_data[[#This Row],[Sales]]&gt;30000,"High",IF(Retail_data[[#This Row],[Sales]]&gt;10000,"Medium","Low"))</f>
        <v>Medium</v>
      </c>
      <c r="V508" s="3">
        <f>Retail_data[[#This Row],[Profit]]/Retail_data[[#This Row],[Sales]]</f>
        <v>0.15705433784613115</v>
      </c>
      <c r="W508">
        <v>3920.56</v>
      </c>
      <c r="X508" t="s">
        <v>48</v>
      </c>
    </row>
    <row r="509" spans="1:24" ht="13.8" x14ac:dyDescent="0.25">
      <c r="A509" t="s">
        <v>1741</v>
      </c>
      <c r="B509">
        <f>YEAR(Retail_data[[#This Row],[Order Date]])</f>
        <v>2027</v>
      </c>
      <c r="C509" t="str">
        <f>TEXT(Retail_data[[#This Row],[Order Date]],"mmmm")</f>
        <v>February</v>
      </c>
      <c r="D509">
        <f>MONTH(Retail_data[[#This Row],[Order Date]])</f>
        <v>2</v>
      </c>
      <c r="E509" t="str">
        <f>"Q"&amp;ROUNDUP(MONTH(Retail_data[[#This Row],[Order Date]])/3,0)</f>
        <v>Q1</v>
      </c>
      <c r="F509" s="1">
        <v>46429</v>
      </c>
      <c r="G509" s="1">
        <v>46433</v>
      </c>
      <c r="H509" t="s">
        <v>1742</v>
      </c>
      <c r="I509" t="s">
        <v>1743</v>
      </c>
      <c r="J509" t="s">
        <v>33</v>
      </c>
      <c r="K509" t="s">
        <v>22</v>
      </c>
      <c r="L509" t="s">
        <v>45</v>
      </c>
      <c r="M509" t="s">
        <v>45</v>
      </c>
      <c r="N509" t="s">
        <v>25</v>
      </c>
      <c r="O509" t="s">
        <v>26</v>
      </c>
      <c r="P509" t="s">
        <v>27</v>
      </c>
      <c r="Q509" t="s">
        <v>1744</v>
      </c>
      <c r="R509">
        <v>6804.13</v>
      </c>
      <c r="S509">
        <v>7</v>
      </c>
      <c r="T509">
        <v>0.2</v>
      </c>
      <c r="U509" t="str">
        <f>IF(Retail_data[[#This Row],[Sales]]&gt;30000,"High",IF(Retail_data[[#This Row],[Sales]]&gt;10000,"Medium","Low"))</f>
        <v>Low</v>
      </c>
      <c r="V509" s="3">
        <f>Retail_data[[#This Row],[Profit]]/Retail_data[[#This Row],[Sales]]</f>
        <v>0.13178172668658594</v>
      </c>
      <c r="W509">
        <v>896.66</v>
      </c>
      <c r="X509" t="s">
        <v>29</v>
      </c>
    </row>
    <row r="510" spans="1:24" ht="13.8" x14ac:dyDescent="0.25">
      <c r="A510" t="s">
        <v>1745</v>
      </c>
      <c r="B510">
        <f>YEAR(Retail_data[[#This Row],[Order Date]])</f>
        <v>2027</v>
      </c>
      <c r="C510" t="str">
        <f>TEXT(Retail_data[[#This Row],[Order Date]],"mmmm")</f>
        <v>February</v>
      </c>
      <c r="D510">
        <f>MONTH(Retail_data[[#This Row],[Order Date]])</f>
        <v>2</v>
      </c>
      <c r="E510" t="str">
        <f>"Q"&amp;ROUNDUP(MONTH(Retail_data[[#This Row],[Order Date]])/3,0)</f>
        <v>Q1</v>
      </c>
      <c r="F510" s="1">
        <v>46430</v>
      </c>
      <c r="G510" s="1">
        <v>46434</v>
      </c>
      <c r="H510" t="s">
        <v>1746</v>
      </c>
      <c r="I510" t="s">
        <v>1747</v>
      </c>
      <c r="J510" t="s">
        <v>33</v>
      </c>
      <c r="K510" t="s">
        <v>22</v>
      </c>
      <c r="L510" t="s">
        <v>34</v>
      </c>
      <c r="M510" t="s">
        <v>35</v>
      </c>
      <c r="N510" t="s">
        <v>36</v>
      </c>
      <c r="O510" t="s">
        <v>57</v>
      </c>
      <c r="P510" t="s">
        <v>149</v>
      </c>
      <c r="Q510" t="s">
        <v>262</v>
      </c>
      <c r="R510">
        <v>31472.25</v>
      </c>
      <c r="S510">
        <v>4</v>
      </c>
      <c r="T510">
        <v>0.1</v>
      </c>
      <c r="U510" t="str">
        <f>IF(Retail_data[[#This Row],[Sales]]&gt;30000,"High",IF(Retail_data[[#This Row],[Sales]]&gt;10000,"Medium","Low"))</f>
        <v>High</v>
      </c>
      <c r="V510" s="3">
        <f>Retail_data[[#This Row],[Profit]]/Retail_data[[#This Row],[Sales]]</f>
        <v>4.7096728069966398E-2</v>
      </c>
      <c r="W510">
        <v>1482.24</v>
      </c>
      <c r="X510" t="s">
        <v>48</v>
      </c>
    </row>
    <row r="511" spans="1:24" ht="13.8" x14ac:dyDescent="0.25">
      <c r="A511" t="s">
        <v>1748</v>
      </c>
      <c r="B511">
        <f>YEAR(Retail_data[[#This Row],[Order Date]])</f>
        <v>2027</v>
      </c>
      <c r="C511" t="str">
        <f>TEXT(Retail_data[[#This Row],[Order Date]],"mmmm")</f>
        <v>February</v>
      </c>
      <c r="D511">
        <f>MONTH(Retail_data[[#This Row],[Order Date]])</f>
        <v>2</v>
      </c>
      <c r="E511" t="str">
        <f>"Q"&amp;ROUNDUP(MONTH(Retail_data[[#This Row],[Order Date]])/3,0)</f>
        <v>Q1</v>
      </c>
      <c r="F511" s="1">
        <v>46431</v>
      </c>
      <c r="G511" s="1">
        <v>46435</v>
      </c>
      <c r="H511" t="s">
        <v>1749</v>
      </c>
      <c r="I511" t="s">
        <v>1750</v>
      </c>
      <c r="J511" t="s">
        <v>44</v>
      </c>
      <c r="K511" t="s">
        <v>22</v>
      </c>
      <c r="L511" t="s">
        <v>34</v>
      </c>
      <c r="M511" t="s">
        <v>35</v>
      </c>
      <c r="N511" t="s">
        <v>36</v>
      </c>
      <c r="O511" t="s">
        <v>37</v>
      </c>
      <c r="P511" t="s">
        <v>52</v>
      </c>
      <c r="Q511" t="s">
        <v>1086</v>
      </c>
      <c r="R511">
        <v>10370.280000000001</v>
      </c>
      <c r="S511">
        <v>6</v>
      </c>
      <c r="T511">
        <v>0.1</v>
      </c>
      <c r="U511" t="str">
        <f>IF(Retail_data[[#This Row],[Sales]]&gt;30000,"High",IF(Retail_data[[#This Row],[Sales]]&gt;10000,"Medium","Low"))</f>
        <v>Medium</v>
      </c>
      <c r="V511" s="3">
        <f>Retail_data[[#This Row],[Profit]]/Retail_data[[#This Row],[Sales]]</f>
        <v>0.24517660082466433</v>
      </c>
      <c r="W511">
        <v>2542.5500000000002</v>
      </c>
      <c r="X511" t="s">
        <v>40</v>
      </c>
    </row>
    <row r="512" spans="1:24" ht="13.8" x14ac:dyDescent="0.25">
      <c r="A512" t="s">
        <v>1751</v>
      </c>
      <c r="B512">
        <f>YEAR(Retail_data[[#This Row],[Order Date]])</f>
        <v>2027</v>
      </c>
      <c r="C512" t="str">
        <f>TEXT(Retail_data[[#This Row],[Order Date]],"mmmm")</f>
        <v>February</v>
      </c>
      <c r="D512">
        <f>MONTH(Retail_data[[#This Row],[Order Date]])</f>
        <v>2</v>
      </c>
      <c r="E512" t="str">
        <f>"Q"&amp;ROUNDUP(MONTH(Retail_data[[#This Row],[Order Date]])/3,0)</f>
        <v>Q1</v>
      </c>
      <c r="F512" s="1">
        <v>46432</v>
      </c>
      <c r="G512" s="1">
        <v>46436</v>
      </c>
      <c r="H512" t="s">
        <v>1752</v>
      </c>
      <c r="I512" t="s">
        <v>1753</v>
      </c>
      <c r="J512" t="s">
        <v>21</v>
      </c>
      <c r="K512" t="s">
        <v>22</v>
      </c>
      <c r="L512" t="s">
        <v>23</v>
      </c>
      <c r="M512" t="s">
        <v>24</v>
      </c>
      <c r="N512" t="s">
        <v>25</v>
      </c>
      <c r="O512" t="s">
        <v>26</v>
      </c>
      <c r="P512" t="s">
        <v>27</v>
      </c>
      <c r="Q512" t="s">
        <v>347</v>
      </c>
      <c r="R512">
        <v>12402.66</v>
      </c>
      <c r="S512">
        <v>2</v>
      </c>
      <c r="T512">
        <v>0.1</v>
      </c>
      <c r="U512" t="str">
        <f>IF(Retail_data[[#This Row],[Sales]]&gt;30000,"High",IF(Retail_data[[#This Row],[Sales]]&gt;10000,"Medium","Low"))</f>
        <v>Medium</v>
      </c>
      <c r="V512" s="3">
        <f>Retail_data[[#This Row],[Profit]]/Retail_data[[#This Row],[Sales]]</f>
        <v>0.1092620453999384</v>
      </c>
      <c r="W512">
        <v>1355.14</v>
      </c>
      <c r="X512" t="s">
        <v>48</v>
      </c>
    </row>
    <row r="513" spans="1:24" ht="13.8" x14ac:dyDescent="0.25">
      <c r="A513" t="s">
        <v>1754</v>
      </c>
      <c r="B513">
        <f>YEAR(Retail_data[[#This Row],[Order Date]])</f>
        <v>2027</v>
      </c>
      <c r="C513" t="str">
        <f>TEXT(Retail_data[[#This Row],[Order Date]],"mmmm")</f>
        <v>February</v>
      </c>
      <c r="D513">
        <f>MONTH(Retail_data[[#This Row],[Order Date]])</f>
        <v>2</v>
      </c>
      <c r="E513" t="str">
        <f>"Q"&amp;ROUNDUP(MONTH(Retail_data[[#This Row],[Order Date]])/3,0)</f>
        <v>Q1</v>
      </c>
      <c r="F513" s="1">
        <v>46433</v>
      </c>
      <c r="G513" s="1">
        <v>46437</v>
      </c>
      <c r="H513" t="s">
        <v>1755</v>
      </c>
      <c r="I513" t="s">
        <v>1756</v>
      </c>
      <c r="J513" t="s">
        <v>44</v>
      </c>
      <c r="K513" t="s">
        <v>22</v>
      </c>
      <c r="L513" t="s">
        <v>23</v>
      </c>
      <c r="M513" t="s">
        <v>24</v>
      </c>
      <c r="N513" t="s">
        <v>25</v>
      </c>
      <c r="O513" t="s">
        <v>26</v>
      </c>
      <c r="P513" t="s">
        <v>70</v>
      </c>
      <c r="Q513" t="s">
        <v>1411</v>
      </c>
      <c r="R513">
        <v>6977.8</v>
      </c>
      <c r="S513">
        <v>7</v>
      </c>
      <c r="T513">
        <v>0.2</v>
      </c>
      <c r="U513" t="str">
        <f>IF(Retail_data[[#This Row],[Sales]]&gt;30000,"High",IF(Retail_data[[#This Row],[Sales]]&gt;10000,"Medium","Low"))</f>
        <v>Low</v>
      </c>
      <c r="V513" s="3">
        <f>Retail_data[[#This Row],[Profit]]/Retail_data[[#This Row],[Sales]]</f>
        <v>0.14815557912235947</v>
      </c>
      <c r="W513">
        <v>1033.8</v>
      </c>
      <c r="X513" t="s">
        <v>48</v>
      </c>
    </row>
    <row r="514" spans="1:24" ht="13.8" x14ac:dyDescent="0.25">
      <c r="A514" t="s">
        <v>1757</v>
      </c>
      <c r="B514">
        <f>YEAR(Retail_data[[#This Row],[Order Date]])</f>
        <v>2027</v>
      </c>
      <c r="C514" t="str">
        <f>TEXT(Retail_data[[#This Row],[Order Date]],"mmmm")</f>
        <v>February</v>
      </c>
      <c r="D514">
        <f>MONTH(Retail_data[[#This Row],[Order Date]])</f>
        <v>2</v>
      </c>
      <c r="E514" t="str">
        <f>"Q"&amp;ROUNDUP(MONTH(Retail_data[[#This Row],[Order Date]])/3,0)</f>
        <v>Q1</v>
      </c>
      <c r="F514" s="1">
        <v>46434</v>
      </c>
      <c r="G514" s="1">
        <v>46438</v>
      </c>
      <c r="H514" t="s">
        <v>1758</v>
      </c>
      <c r="I514" t="s">
        <v>1759</v>
      </c>
      <c r="J514" t="s">
        <v>44</v>
      </c>
      <c r="K514" t="s">
        <v>22</v>
      </c>
      <c r="L514" t="s">
        <v>34</v>
      </c>
      <c r="M514" t="s">
        <v>35</v>
      </c>
      <c r="N514" t="s">
        <v>36</v>
      </c>
      <c r="O514" t="s">
        <v>26</v>
      </c>
      <c r="P514" t="s">
        <v>92</v>
      </c>
      <c r="Q514" t="s">
        <v>653</v>
      </c>
      <c r="R514">
        <v>1924.3</v>
      </c>
      <c r="S514">
        <v>2</v>
      </c>
      <c r="T514">
        <v>0.3</v>
      </c>
      <c r="U514" t="str">
        <f>IF(Retail_data[[#This Row],[Sales]]&gt;30000,"High",IF(Retail_data[[#This Row],[Sales]]&gt;10000,"Medium","Low"))</f>
        <v>Low</v>
      </c>
      <c r="V514" s="3">
        <f>Retail_data[[#This Row],[Profit]]/Retail_data[[#This Row],[Sales]]</f>
        <v>5.6394533076963051E-2</v>
      </c>
      <c r="W514">
        <v>108.52</v>
      </c>
      <c r="X514" t="s">
        <v>81</v>
      </c>
    </row>
    <row r="515" spans="1:24" ht="13.8" x14ac:dyDescent="0.25">
      <c r="A515" t="s">
        <v>1760</v>
      </c>
      <c r="B515">
        <f>YEAR(Retail_data[[#This Row],[Order Date]])</f>
        <v>2027</v>
      </c>
      <c r="C515" t="str">
        <f>TEXT(Retail_data[[#This Row],[Order Date]],"mmmm")</f>
        <v>February</v>
      </c>
      <c r="D515">
        <f>MONTH(Retail_data[[#This Row],[Order Date]])</f>
        <v>2</v>
      </c>
      <c r="E515" t="str">
        <f>"Q"&amp;ROUNDUP(MONTH(Retail_data[[#This Row],[Order Date]])/3,0)</f>
        <v>Q1</v>
      </c>
      <c r="F515" s="1">
        <v>46435</v>
      </c>
      <c r="G515" s="1">
        <v>46439</v>
      </c>
      <c r="H515" t="s">
        <v>1761</v>
      </c>
      <c r="I515" t="s">
        <v>1762</v>
      </c>
      <c r="J515" t="s">
        <v>21</v>
      </c>
      <c r="K515" t="s">
        <v>22</v>
      </c>
      <c r="L515" t="s">
        <v>23</v>
      </c>
      <c r="M515" t="s">
        <v>24</v>
      </c>
      <c r="N515" t="s">
        <v>25</v>
      </c>
      <c r="O515" t="s">
        <v>57</v>
      </c>
      <c r="P515" t="s">
        <v>58</v>
      </c>
      <c r="Q515" t="s">
        <v>542</v>
      </c>
      <c r="R515">
        <v>42334.79</v>
      </c>
      <c r="S515">
        <v>7</v>
      </c>
      <c r="T515">
        <v>0.3</v>
      </c>
      <c r="U515" t="str">
        <f>IF(Retail_data[[#This Row],[Sales]]&gt;30000,"High",IF(Retail_data[[#This Row],[Sales]]&gt;10000,"Medium","Low"))</f>
        <v>High</v>
      </c>
      <c r="V515" s="3">
        <f>Retail_data[[#This Row],[Profit]]/Retail_data[[#This Row],[Sales]]</f>
        <v>-2.5420227666181881E-2</v>
      </c>
      <c r="W515">
        <v>-1076.1600000000001</v>
      </c>
      <c r="X515" t="s">
        <v>29</v>
      </c>
    </row>
    <row r="516" spans="1:24" ht="13.8" x14ac:dyDescent="0.25">
      <c r="A516" t="s">
        <v>1763</v>
      </c>
      <c r="B516">
        <f>YEAR(Retail_data[[#This Row],[Order Date]])</f>
        <v>2027</v>
      </c>
      <c r="C516" t="str">
        <f>TEXT(Retail_data[[#This Row],[Order Date]],"mmmm")</f>
        <v>February</v>
      </c>
      <c r="D516">
        <f>MONTH(Retail_data[[#This Row],[Order Date]])</f>
        <v>2</v>
      </c>
      <c r="E516" t="str">
        <f>"Q"&amp;ROUNDUP(MONTH(Retail_data[[#This Row],[Order Date]])/3,0)</f>
        <v>Q1</v>
      </c>
      <c r="F516" s="1">
        <v>46436</v>
      </c>
      <c r="G516" s="1">
        <v>46440</v>
      </c>
      <c r="H516" t="s">
        <v>1764</v>
      </c>
      <c r="I516" t="s">
        <v>1765</v>
      </c>
      <c r="J516" t="s">
        <v>33</v>
      </c>
      <c r="K516" t="s">
        <v>22</v>
      </c>
      <c r="L516" t="s">
        <v>23</v>
      </c>
      <c r="M516" t="s">
        <v>24</v>
      </c>
      <c r="N516" t="s">
        <v>25</v>
      </c>
      <c r="O516" t="s">
        <v>26</v>
      </c>
      <c r="P516" t="s">
        <v>27</v>
      </c>
      <c r="Q516" t="s">
        <v>1744</v>
      </c>
      <c r="R516">
        <v>43686.63</v>
      </c>
      <c r="S516">
        <v>8</v>
      </c>
      <c r="T516">
        <v>0.2</v>
      </c>
      <c r="U516" t="str">
        <f>IF(Retail_data[[#This Row],[Sales]]&gt;30000,"High",IF(Retail_data[[#This Row],[Sales]]&gt;10000,"Medium","Low"))</f>
        <v>High</v>
      </c>
      <c r="V516" s="3">
        <f>Retail_data[[#This Row],[Profit]]/Retail_data[[#This Row],[Sales]]</f>
        <v>0.20239281446062563</v>
      </c>
      <c r="W516">
        <v>8841.86</v>
      </c>
      <c r="X516" t="s">
        <v>29</v>
      </c>
    </row>
    <row r="517" spans="1:24" ht="13.8" x14ac:dyDescent="0.25">
      <c r="A517" t="s">
        <v>1766</v>
      </c>
      <c r="B517">
        <f>YEAR(Retail_data[[#This Row],[Order Date]])</f>
        <v>2027</v>
      </c>
      <c r="C517" t="str">
        <f>TEXT(Retail_data[[#This Row],[Order Date]],"mmmm")</f>
        <v>February</v>
      </c>
      <c r="D517">
        <f>MONTH(Retail_data[[#This Row],[Order Date]])</f>
        <v>2</v>
      </c>
      <c r="E517" t="str">
        <f>"Q"&amp;ROUNDUP(MONTH(Retail_data[[#This Row],[Order Date]])/3,0)</f>
        <v>Q1</v>
      </c>
      <c r="F517" s="1">
        <v>46437</v>
      </c>
      <c r="G517" s="1">
        <v>46441</v>
      </c>
      <c r="H517" t="s">
        <v>1767</v>
      </c>
      <c r="I517" t="s">
        <v>1768</v>
      </c>
      <c r="J517" t="s">
        <v>33</v>
      </c>
      <c r="K517" t="s">
        <v>22</v>
      </c>
      <c r="L517" t="s">
        <v>23</v>
      </c>
      <c r="M517" t="s">
        <v>24</v>
      </c>
      <c r="N517" t="s">
        <v>25</v>
      </c>
      <c r="O517" t="s">
        <v>37</v>
      </c>
      <c r="P517" t="s">
        <v>52</v>
      </c>
      <c r="Q517" t="s">
        <v>591</v>
      </c>
      <c r="R517">
        <v>28130.33</v>
      </c>
      <c r="S517">
        <v>5</v>
      </c>
      <c r="T517">
        <v>0</v>
      </c>
      <c r="U517" t="str">
        <f>IF(Retail_data[[#This Row],[Sales]]&gt;30000,"High",IF(Retail_data[[#This Row],[Sales]]&gt;10000,"Medium","Low"))</f>
        <v>Medium</v>
      </c>
      <c r="V517" s="3">
        <f>Retail_data[[#This Row],[Profit]]/Retail_data[[#This Row],[Sales]]</f>
        <v>0.19219113320035702</v>
      </c>
      <c r="W517">
        <v>5406.4</v>
      </c>
      <c r="X517" t="s">
        <v>29</v>
      </c>
    </row>
    <row r="518" spans="1:24" ht="13.8" x14ac:dyDescent="0.25">
      <c r="A518" t="s">
        <v>1769</v>
      </c>
      <c r="B518">
        <f>YEAR(Retail_data[[#This Row],[Order Date]])</f>
        <v>2027</v>
      </c>
      <c r="C518" t="str">
        <f>TEXT(Retail_data[[#This Row],[Order Date]],"mmmm")</f>
        <v>February</v>
      </c>
      <c r="D518">
        <f>MONTH(Retail_data[[#This Row],[Order Date]])</f>
        <v>2</v>
      </c>
      <c r="E518" t="str">
        <f>"Q"&amp;ROUNDUP(MONTH(Retail_data[[#This Row],[Order Date]])/3,0)</f>
        <v>Q1</v>
      </c>
      <c r="F518" s="1">
        <v>46438</v>
      </c>
      <c r="G518" s="1">
        <v>46442</v>
      </c>
      <c r="H518" t="s">
        <v>1770</v>
      </c>
      <c r="I518" t="s">
        <v>1771</v>
      </c>
      <c r="J518" t="s">
        <v>44</v>
      </c>
      <c r="K518" t="s">
        <v>22</v>
      </c>
      <c r="L518" t="s">
        <v>45</v>
      </c>
      <c r="M518" t="s">
        <v>45</v>
      </c>
      <c r="N518" t="s">
        <v>25</v>
      </c>
      <c r="O518" t="s">
        <v>37</v>
      </c>
      <c r="P518" t="s">
        <v>52</v>
      </c>
      <c r="Q518" t="s">
        <v>292</v>
      </c>
      <c r="R518">
        <v>7244.18</v>
      </c>
      <c r="S518">
        <v>6</v>
      </c>
      <c r="T518">
        <v>0.3</v>
      </c>
      <c r="U518" t="str">
        <f>IF(Retail_data[[#This Row],[Sales]]&gt;30000,"High",IF(Retail_data[[#This Row],[Sales]]&gt;10000,"Medium","Low"))</f>
        <v>Low</v>
      </c>
      <c r="V518" s="3">
        <f>Retail_data[[#This Row],[Profit]]/Retail_data[[#This Row],[Sales]]</f>
        <v>0.17070116976662644</v>
      </c>
      <c r="W518">
        <v>1236.5899999999999</v>
      </c>
      <c r="X518" t="s">
        <v>81</v>
      </c>
    </row>
    <row r="519" spans="1:24" ht="13.8" x14ac:dyDescent="0.25">
      <c r="A519" t="s">
        <v>1772</v>
      </c>
      <c r="B519">
        <f>YEAR(Retail_data[[#This Row],[Order Date]])</f>
        <v>2027</v>
      </c>
      <c r="C519" t="str">
        <f>TEXT(Retail_data[[#This Row],[Order Date]],"mmmm")</f>
        <v>February</v>
      </c>
      <c r="D519">
        <f>MONTH(Retail_data[[#This Row],[Order Date]])</f>
        <v>2</v>
      </c>
      <c r="E519" t="str">
        <f>"Q"&amp;ROUNDUP(MONTH(Retail_data[[#This Row],[Order Date]])/3,0)</f>
        <v>Q1</v>
      </c>
      <c r="F519" s="1">
        <v>46439</v>
      </c>
      <c r="G519" s="1">
        <v>46443</v>
      </c>
      <c r="H519" t="s">
        <v>1773</v>
      </c>
      <c r="I519" t="s">
        <v>1774</v>
      </c>
      <c r="J519" t="s">
        <v>21</v>
      </c>
      <c r="K519" t="s">
        <v>22</v>
      </c>
      <c r="L519" t="s">
        <v>34</v>
      </c>
      <c r="M519" t="s">
        <v>35</v>
      </c>
      <c r="N519" t="s">
        <v>36</v>
      </c>
      <c r="O519" t="s">
        <v>26</v>
      </c>
      <c r="P519" t="s">
        <v>70</v>
      </c>
      <c r="Q519" t="s">
        <v>117</v>
      </c>
      <c r="R519">
        <v>30952.959999999999</v>
      </c>
      <c r="S519">
        <v>2</v>
      </c>
      <c r="T519">
        <v>0.3</v>
      </c>
      <c r="U519" t="str">
        <f>IF(Retail_data[[#This Row],[Sales]]&gt;30000,"High",IF(Retail_data[[#This Row],[Sales]]&gt;10000,"Medium","Low"))</f>
        <v>High</v>
      </c>
      <c r="V519" s="3">
        <f>Retail_data[[#This Row],[Profit]]/Retail_data[[#This Row],[Sales]]</f>
        <v>0.16062599505830785</v>
      </c>
      <c r="W519">
        <v>4971.8500000000004</v>
      </c>
      <c r="X519" t="s">
        <v>29</v>
      </c>
    </row>
    <row r="520" spans="1:24" ht="13.8" x14ac:dyDescent="0.25">
      <c r="A520" t="s">
        <v>1775</v>
      </c>
      <c r="B520">
        <f>YEAR(Retail_data[[#This Row],[Order Date]])</f>
        <v>2027</v>
      </c>
      <c r="C520" t="str">
        <f>TEXT(Retail_data[[#This Row],[Order Date]],"mmmm")</f>
        <v>February</v>
      </c>
      <c r="D520">
        <f>MONTH(Retail_data[[#This Row],[Order Date]])</f>
        <v>2</v>
      </c>
      <c r="E520" t="str">
        <f>"Q"&amp;ROUNDUP(MONTH(Retail_data[[#This Row],[Order Date]])/3,0)</f>
        <v>Q1</v>
      </c>
      <c r="F520" s="1">
        <v>46440</v>
      </c>
      <c r="G520" s="1">
        <v>46444</v>
      </c>
      <c r="H520" t="s">
        <v>1776</v>
      </c>
      <c r="I520" t="s">
        <v>1777</v>
      </c>
      <c r="J520" t="s">
        <v>21</v>
      </c>
      <c r="K520" t="s">
        <v>22</v>
      </c>
      <c r="L520" t="s">
        <v>45</v>
      </c>
      <c r="M520" t="s">
        <v>45</v>
      </c>
      <c r="N520" t="s">
        <v>25</v>
      </c>
      <c r="O520" t="s">
        <v>26</v>
      </c>
      <c r="P520" t="s">
        <v>92</v>
      </c>
      <c r="Q520" t="s">
        <v>570</v>
      </c>
      <c r="R520">
        <v>44999.01</v>
      </c>
      <c r="S520">
        <v>2</v>
      </c>
      <c r="T520">
        <v>0.2</v>
      </c>
      <c r="U520" t="str">
        <f>IF(Retail_data[[#This Row],[Sales]]&gt;30000,"High",IF(Retail_data[[#This Row],[Sales]]&gt;10000,"Medium","Low"))</f>
        <v>High</v>
      </c>
      <c r="V520" s="3">
        <f>Retail_data[[#This Row],[Profit]]/Retail_data[[#This Row],[Sales]]</f>
        <v>-2.109446407820972E-2</v>
      </c>
      <c r="W520">
        <v>-949.23</v>
      </c>
      <c r="X520" t="s">
        <v>81</v>
      </c>
    </row>
    <row r="521" spans="1:24" ht="13.8" x14ac:dyDescent="0.25">
      <c r="A521" t="s">
        <v>1778</v>
      </c>
      <c r="B521">
        <f>YEAR(Retail_data[[#This Row],[Order Date]])</f>
        <v>2027</v>
      </c>
      <c r="C521" t="str">
        <f>TEXT(Retail_data[[#This Row],[Order Date]],"mmmm")</f>
        <v>February</v>
      </c>
      <c r="D521">
        <f>MONTH(Retail_data[[#This Row],[Order Date]])</f>
        <v>2</v>
      </c>
      <c r="E521" t="str">
        <f>"Q"&amp;ROUNDUP(MONTH(Retail_data[[#This Row],[Order Date]])/3,0)</f>
        <v>Q1</v>
      </c>
      <c r="F521" s="1">
        <v>46441</v>
      </c>
      <c r="G521" s="1">
        <v>46445</v>
      </c>
      <c r="H521" t="s">
        <v>1779</v>
      </c>
      <c r="I521" t="s">
        <v>1780</v>
      </c>
      <c r="J521" t="s">
        <v>33</v>
      </c>
      <c r="K521" t="s">
        <v>22</v>
      </c>
      <c r="L521" t="s">
        <v>45</v>
      </c>
      <c r="M521" t="s">
        <v>45</v>
      </c>
      <c r="N521" t="s">
        <v>25</v>
      </c>
      <c r="O521" t="s">
        <v>26</v>
      </c>
      <c r="P521" t="s">
        <v>92</v>
      </c>
      <c r="Q521" t="s">
        <v>1014</v>
      </c>
      <c r="R521">
        <v>27958.79</v>
      </c>
      <c r="S521">
        <v>1</v>
      </c>
      <c r="T521">
        <v>0.2</v>
      </c>
      <c r="U521" t="str">
        <f>IF(Retail_data[[#This Row],[Sales]]&gt;30000,"High",IF(Retail_data[[#This Row],[Sales]]&gt;10000,"Medium","Low"))</f>
        <v>Medium</v>
      </c>
      <c r="V521" s="3">
        <f>Retail_data[[#This Row],[Profit]]/Retail_data[[#This Row],[Sales]]</f>
        <v>0.10616625397594102</v>
      </c>
      <c r="W521">
        <v>2968.28</v>
      </c>
      <c r="X521" t="s">
        <v>29</v>
      </c>
    </row>
    <row r="522" spans="1:24" ht="13.8" x14ac:dyDescent="0.25">
      <c r="A522" t="s">
        <v>1781</v>
      </c>
      <c r="B522">
        <f>YEAR(Retail_data[[#This Row],[Order Date]])</f>
        <v>2027</v>
      </c>
      <c r="C522" t="str">
        <f>TEXT(Retail_data[[#This Row],[Order Date]],"mmmm")</f>
        <v>February</v>
      </c>
      <c r="D522">
        <f>MONTH(Retail_data[[#This Row],[Order Date]])</f>
        <v>2</v>
      </c>
      <c r="E522" t="str">
        <f>"Q"&amp;ROUNDUP(MONTH(Retail_data[[#This Row],[Order Date]])/3,0)</f>
        <v>Q1</v>
      </c>
      <c r="F522" s="1">
        <v>46442</v>
      </c>
      <c r="G522" s="1">
        <v>46446</v>
      </c>
      <c r="H522" t="s">
        <v>1782</v>
      </c>
      <c r="I522" t="s">
        <v>1783</v>
      </c>
      <c r="J522" t="s">
        <v>33</v>
      </c>
      <c r="K522" t="s">
        <v>22</v>
      </c>
      <c r="L522" t="s">
        <v>23</v>
      </c>
      <c r="M522" t="s">
        <v>24</v>
      </c>
      <c r="N522" t="s">
        <v>25</v>
      </c>
      <c r="O522" t="s">
        <v>26</v>
      </c>
      <c r="P522" t="s">
        <v>92</v>
      </c>
      <c r="Q522" t="s">
        <v>767</v>
      </c>
      <c r="R522">
        <v>33780.86</v>
      </c>
      <c r="S522">
        <v>5</v>
      </c>
      <c r="T522">
        <v>0.3</v>
      </c>
      <c r="U522" t="str">
        <f>IF(Retail_data[[#This Row],[Sales]]&gt;30000,"High",IF(Retail_data[[#This Row],[Sales]]&gt;10000,"Medium","Low"))</f>
        <v>High</v>
      </c>
      <c r="V522" s="3">
        <f>Retail_data[[#This Row],[Profit]]/Retail_data[[#This Row],[Sales]]</f>
        <v>0.12720576089537092</v>
      </c>
      <c r="W522">
        <v>4297.12</v>
      </c>
      <c r="X522" t="s">
        <v>48</v>
      </c>
    </row>
    <row r="523" spans="1:24" ht="13.8" x14ac:dyDescent="0.25">
      <c r="A523" t="s">
        <v>1784</v>
      </c>
      <c r="B523">
        <f>YEAR(Retail_data[[#This Row],[Order Date]])</f>
        <v>2027</v>
      </c>
      <c r="C523" t="str">
        <f>TEXT(Retail_data[[#This Row],[Order Date]],"mmmm")</f>
        <v>February</v>
      </c>
      <c r="D523">
        <f>MONTH(Retail_data[[#This Row],[Order Date]])</f>
        <v>2</v>
      </c>
      <c r="E523" t="str">
        <f>"Q"&amp;ROUNDUP(MONTH(Retail_data[[#This Row],[Order Date]])/3,0)</f>
        <v>Q1</v>
      </c>
      <c r="F523" s="1">
        <v>46443</v>
      </c>
      <c r="G523" s="1">
        <v>46447</v>
      </c>
      <c r="H523" t="s">
        <v>1785</v>
      </c>
      <c r="I523" t="s">
        <v>1786</v>
      </c>
      <c r="J523" t="s">
        <v>44</v>
      </c>
      <c r="K523" t="s">
        <v>22</v>
      </c>
      <c r="L523" t="s">
        <v>85</v>
      </c>
      <c r="M523" t="s">
        <v>86</v>
      </c>
      <c r="N523" t="s">
        <v>87</v>
      </c>
      <c r="O523" t="s">
        <v>26</v>
      </c>
      <c r="P523" t="s">
        <v>92</v>
      </c>
      <c r="Q523" t="s">
        <v>631</v>
      </c>
      <c r="R523">
        <v>43475.01</v>
      </c>
      <c r="S523">
        <v>5</v>
      </c>
      <c r="T523">
        <v>0</v>
      </c>
      <c r="U523" t="str">
        <f>IF(Retail_data[[#This Row],[Sales]]&gt;30000,"High",IF(Retail_data[[#This Row],[Sales]]&gt;10000,"Medium","Low"))</f>
        <v>High</v>
      </c>
      <c r="V523" s="3">
        <f>Retail_data[[#This Row],[Profit]]/Retail_data[[#This Row],[Sales]]</f>
        <v>0.20849241897816698</v>
      </c>
      <c r="W523">
        <v>9064.2099999999991</v>
      </c>
      <c r="X523" t="s">
        <v>81</v>
      </c>
    </row>
    <row r="524" spans="1:24" ht="13.8" x14ac:dyDescent="0.25">
      <c r="A524" t="s">
        <v>1787</v>
      </c>
      <c r="B524">
        <f>YEAR(Retail_data[[#This Row],[Order Date]])</f>
        <v>2027</v>
      </c>
      <c r="C524" t="str">
        <f>TEXT(Retail_data[[#This Row],[Order Date]],"mmmm")</f>
        <v>February</v>
      </c>
      <c r="D524">
        <f>MONTH(Retail_data[[#This Row],[Order Date]])</f>
        <v>2</v>
      </c>
      <c r="E524" t="str">
        <f>"Q"&amp;ROUNDUP(MONTH(Retail_data[[#This Row],[Order Date]])/3,0)</f>
        <v>Q1</v>
      </c>
      <c r="F524" s="1">
        <v>46444</v>
      </c>
      <c r="G524" s="1">
        <v>46448</v>
      </c>
      <c r="H524" t="s">
        <v>1788</v>
      </c>
      <c r="I524" t="s">
        <v>1789</v>
      </c>
      <c r="J524" t="s">
        <v>44</v>
      </c>
      <c r="K524" t="s">
        <v>22</v>
      </c>
      <c r="L524" t="s">
        <v>85</v>
      </c>
      <c r="M524" t="s">
        <v>86</v>
      </c>
      <c r="N524" t="s">
        <v>87</v>
      </c>
      <c r="O524" t="s">
        <v>37</v>
      </c>
      <c r="P524" t="s">
        <v>46</v>
      </c>
      <c r="Q524" t="s">
        <v>105</v>
      </c>
      <c r="R524">
        <v>29386.84</v>
      </c>
      <c r="S524">
        <v>7</v>
      </c>
      <c r="T524">
        <v>0</v>
      </c>
      <c r="U524" t="str">
        <f>IF(Retail_data[[#This Row],[Sales]]&gt;30000,"High",IF(Retail_data[[#This Row],[Sales]]&gt;10000,"Medium","Low"))</f>
        <v>Medium</v>
      </c>
      <c r="V524" s="3">
        <f>Retail_data[[#This Row],[Profit]]/Retail_data[[#This Row],[Sales]]</f>
        <v>0.16529677910248261</v>
      </c>
      <c r="W524">
        <v>4857.55</v>
      </c>
      <c r="X524" t="s">
        <v>40</v>
      </c>
    </row>
    <row r="525" spans="1:24" ht="13.8" x14ac:dyDescent="0.25">
      <c r="A525" t="s">
        <v>1790</v>
      </c>
      <c r="B525">
        <f>YEAR(Retail_data[[#This Row],[Order Date]])</f>
        <v>2027</v>
      </c>
      <c r="C525" t="str">
        <f>TEXT(Retail_data[[#This Row],[Order Date]],"mmmm")</f>
        <v>February</v>
      </c>
      <c r="D525">
        <f>MONTH(Retail_data[[#This Row],[Order Date]])</f>
        <v>2</v>
      </c>
      <c r="E525" t="str">
        <f>"Q"&amp;ROUNDUP(MONTH(Retail_data[[#This Row],[Order Date]])/3,0)</f>
        <v>Q1</v>
      </c>
      <c r="F525" s="1">
        <v>46445</v>
      </c>
      <c r="G525" s="1">
        <v>46449</v>
      </c>
      <c r="H525" t="s">
        <v>1791</v>
      </c>
      <c r="I525" t="s">
        <v>1792</v>
      </c>
      <c r="J525" t="s">
        <v>21</v>
      </c>
      <c r="K525" t="s">
        <v>22</v>
      </c>
      <c r="L525" t="s">
        <v>23</v>
      </c>
      <c r="M525" t="s">
        <v>24</v>
      </c>
      <c r="N525" t="s">
        <v>25</v>
      </c>
      <c r="O525" t="s">
        <v>37</v>
      </c>
      <c r="P525" t="s">
        <v>46</v>
      </c>
      <c r="Q525" t="s">
        <v>1793</v>
      </c>
      <c r="R525">
        <v>17163.68</v>
      </c>
      <c r="S525">
        <v>1</v>
      </c>
      <c r="T525">
        <v>0.2</v>
      </c>
      <c r="U525" t="str">
        <f>IF(Retail_data[[#This Row],[Sales]]&gt;30000,"High",IF(Retail_data[[#This Row],[Sales]]&gt;10000,"Medium","Low"))</f>
        <v>Medium</v>
      </c>
      <c r="V525" s="3">
        <f>Retail_data[[#This Row],[Profit]]/Retail_data[[#This Row],[Sales]]</f>
        <v>1.1600659066121019E-2</v>
      </c>
      <c r="W525">
        <v>199.11</v>
      </c>
      <c r="X525" t="s">
        <v>40</v>
      </c>
    </row>
    <row r="526" spans="1:24" ht="13.8" x14ac:dyDescent="0.25">
      <c r="A526" t="s">
        <v>1794</v>
      </c>
      <c r="B526">
        <f>YEAR(Retail_data[[#This Row],[Order Date]])</f>
        <v>2027</v>
      </c>
      <c r="C526" t="str">
        <f>TEXT(Retail_data[[#This Row],[Order Date]],"mmmm")</f>
        <v>February</v>
      </c>
      <c r="D526">
        <f>MONTH(Retail_data[[#This Row],[Order Date]])</f>
        <v>2</v>
      </c>
      <c r="E526" t="str">
        <f>"Q"&amp;ROUNDUP(MONTH(Retail_data[[#This Row],[Order Date]])/3,0)</f>
        <v>Q1</v>
      </c>
      <c r="F526" s="1">
        <v>46446</v>
      </c>
      <c r="G526" s="1">
        <v>46450</v>
      </c>
      <c r="H526" t="s">
        <v>1795</v>
      </c>
      <c r="I526" t="s">
        <v>1796</v>
      </c>
      <c r="J526" t="s">
        <v>21</v>
      </c>
      <c r="K526" t="s">
        <v>22</v>
      </c>
      <c r="L526" t="s">
        <v>34</v>
      </c>
      <c r="M526" t="s">
        <v>35</v>
      </c>
      <c r="N526" t="s">
        <v>36</v>
      </c>
      <c r="O526" t="s">
        <v>26</v>
      </c>
      <c r="P526" t="s">
        <v>70</v>
      </c>
      <c r="Q526" t="s">
        <v>239</v>
      </c>
      <c r="R526">
        <v>4803.07</v>
      </c>
      <c r="S526">
        <v>1</v>
      </c>
      <c r="T526">
        <v>0.1</v>
      </c>
      <c r="U526" t="str">
        <f>IF(Retail_data[[#This Row],[Sales]]&gt;30000,"High",IF(Retail_data[[#This Row],[Sales]]&gt;10000,"Medium","Low"))</f>
        <v>Low</v>
      </c>
      <c r="V526" s="3">
        <f>Retail_data[[#This Row],[Profit]]/Retail_data[[#This Row],[Sales]]</f>
        <v>0.16171531957685398</v>
      </c>
      <c r="W526">
        <v>776.73</v>
      </c>
      <c r="X526" t="s">
        <v>29</v>
      </c>
    </row>
    <row r="527" spans="1:24" ht="13.8" x14ac:dyDescent="0.25">
      <c r="A527" t="s">
        <v>1797</v>
      </c>
      <c r="B527">
        <f>YEAR(Retail_data[[#This Row],[Order Date]])</f>
        <v>2027</v>
      </c>
      <c r="C527" t="str">
        <f>TEXT(Retail_data[[#This Row],[Order Date]],"mmmm")</f>
        <v>March</v>
      </c>
      <c r="D527">
        <f>MONTH(Retail_data[[#This Row],[Order Date]])</f>
        <v>3</v>
      </c>
      <c r="E527" t="str">
        <f>"Q"&amp;ROUNDUP(MONTH(Retail_data[[#This Row],[Order Date]])/3,0)</f>
        <v>Q1</v>
      </c>
      <c r="F527" s="1">
        <v>46447</v>
      </c>
      <c r="G527" s="1">
        <v>46451</v>
      </c>
      <c r="H527" t="s">
        <v>1798</v>
      </c>
      <c r="I527" t="s">
        <v>1799</v>
      </c>
      <c r="J527" t="s">
        <v>21</v>
      </c>
      <c r="K527" t="s">
        <v>22</v>
      </c>
      <c r="L527" t="s">
        <v>23</v>
      </c>
      <c r="M527" t="s">
        <v>24</v>
      </c>
      <c r="N527" t="s">
        <v>25</v>
      </c>
      <c r="O527" t="s">
        <v>26</v>
      </c>
      <c r="P527" t="s">
        <v>70</v>
      </c>
      <c r="Q527" t="s">
        <v>239</v>
      </c>
      <c r="R527">
        <v>24203.1</v>
      </c>
      <c r="S527">
        <v>3</v>
      </c>
      <c r="T527">
        <v>0.1</v>
      </c>
      <c r="U527" t="str">
        <f>IF(Retail_data[[#This Row],[Sales]]&gt;30000,"High",IF(Retail_data[[#This Row],[Sales]]&gt;10000,"Medium","Low"))</f>
        <v>Medium</v>
      </c>
      <c r="V527" s="3">
        <f>Retail_data[[#This Row],[Profit]]/Retail_data[[#This Row],[Sales]]</f>
        <v>0.15361585912548392</v>
      </c>
      <c r="W527">
        <v>3717.98</v>
      </c>
      <c r="X527" t="s">
        <v>81</v>
      </c>
    </row>
    <row r="528" spans="1:24" ht="13.8" x14ac:dyDescent="0.25">
      <c r="A528" t="s">
        <v>1800</v>
      </c>
      <c r="B528">
        <f>YEAR(Retail_data[[#This Row],[Order Date]])</f>
        <v>2027</v>
      </c>
      <c r="C528" t="str">
        <f>TEXT(Retail_data[[#This Row],[Order Date]],"mmmm")</f>
        <v>March</v>
      </c>
      <c r="D528">
        <f>MONTH(Retail_data[[#This Row],[Order Date]])</f>
        <v>3</v>
      </c>
      <c r="E528" t="str">
        <f>"Q"&amp;ROUNDUP(MONTH(Retail_data[[#This Row],[Order Date]])/3,0)</f>
        <v>Q1</v>
      </c>
      <c r="F528" s="1">
        <v>46448</v>
      </c>
      <c r="G528" s="1">
        <v>46452</v>
      </c>
      <c r="H528" t="s">
        <v>1801</v>
      </c>
      <c r="I528" t="s">
        <v>1802</v>
      </c>
      <c r="J528" t="s">
        <v>21</v>
      </c>
      <c r="K528" t="s">
        <v>22</v>
      </c>
      <c r="L528" t="s">
        <v>23</v>
      </c>
      <c r="M528" t="s">
        <v>24</v>
      </c>
      <c r="N528" t="s">
        <v>25</v>
      </c>
      <c r="O528" t="s">
        <v>37</v>
      </c>
      <c r="P528" t="s">
        <v>46</v>
      </c>
      <c r="Q528" t="s">
        <v>978</v>
      </c>
      <c r="R528">
        <v>4229.7700000000004</v>
      </c>
      <c r="S528">
        <v>4</v>
      </c>
      <c r="T528">
        <v>0</v>
      </c>
      <c r="U528" t="str">
        <f>IF(Retail_data[[#This Row],[Sales]]&gt;30000,"High",IF(Retail_data[[#This Row],[Sales]]&gt;10000,"Medium","Low"))</f>
        <v>Low</v>
      </c>
      <c r="V528" s="3">
        <f>Retail_data[[#This Row],[Profit]]/Retail_data[[#This Row],[Sales]]</f>
        <v>0.13034987718008306</v>
      </c>
      <c r="W528">
        <v>551.35</v>
      </c>
      <c r="X528" t="s">
        <v>81</v>
      </c>
    </row>
    <row r="529" spans="1:24" ht="13.8" x14ac:dyDescent="0.25">
      <c r="A529" t="s">
        <v>1803</v>
      </c>
      <c r="B529">
        <f>YEAR(Retail_data[[#This Row],[Order Date]])</f>
        <v>2027</v>
      </c>
      <c r="C529" t="str">
        <f>TEXT(Retail_data[[#This Row],[Order Date]],"mmmm")</f>
        <v>March</v>
      </c>
      <c r="D529">
        <f>MONTH(Retail_data[[#This Row],[Order Date]])</f>
        <v>3</v>
      </c>
      <c r="E529" t="str">
        <f>"Q"&amp;ROUNDUP(MONTH(Retail_data[[#This Row],[Order Date]])/3,0)</f>
        <v>Q1</v>
      </c>
      <c r="F529" s="1">
        <v>46449</v>
      </c>
      <c r="G529" s="1">
        <v>46453</v>
      </c>
      <c r="H529" t="s">
        <v>1804</v>
      </c>
      <c r="I529" t="s">
        <v>1805</v>
      </c>
      <c r="J529" t="s">
        <v>33</v>
      </c>
      <c r="K529" t="s">
        <v>22</v>
      </c>
      <c r="L529" t="s">
        <v>34</v>
      </c>
      <c r="M529" t="s">
        <v>35</v>
      </c>
      <c r="N529" t="s">
        <v>36</v>
      </c>
      <c r="O529" t="s">
        <v>26</v>
      </c>
      <c r="P529" t="s">
        <v>70</v>
      </c>
      <c r="Q529" t="s">
        <v>1431</v>
      </c>
      <c r="R529">
        <v>1787.45</v>
      </c>
      <c r="S529">
        <v>6</v>
      </c>
      <c r="T529">
        <v>0.1</v>
      </c>
      <c r="U529" t="str">
        <f>IF(Retail_data[[#This Row],[Sales]]&gt;30000,"High",IF(Retail_data[[#This Row],[Sales]]&gt;10000,"Medium","Low"))</f>
        <v>Low</v>
      </c>
      <c r="V529" s="3">
        <f>Retail_data[[#This Row],[Profit]]/Retail_data[[#This Row],[Sales]]</f>
        <v>0.17135584212145796</v>
      </c>
      <c r="W529">
        <v>306.29000000000002</v>
      </c>
      <c r="X529" t="s">
        <v>40</v>
      </c>
    </row>
    <row r="530" spans="1:24" ht="13.8" x14ac:dyDescent="0.25">
      <c r="A530" t="s">
        <v>1806</v>
      </c>
      <c r="B530">
        <f>YEAR(Retail_data[[#This Row],[Order Date]])</f>
        <v>2027</v>
      </c>
      <c r="C530" t="str">
        <f>TEXT(Retail_data[[#This Row],[Order Date]],"mmmm")</f>
        <v>March</v>
      </c>
      <c r="D530">
        <f>MONTH(Retail_data[[#This Row],[Order Date]])</f>
        <v>3</v>
      </c>
      <c r="E530" t="str">
        <f>"Q"&amp;ROUNDUP(MONTH(Retail_data[[#This Row],[Order Date]])/3,0)</f>
        <v>Q1</v>
      </c>
      <c r="F530" s="1">
        <v>46450</v>
      </c>
      <c r="G530" s="1">
        <v>46454</v>
      </c>
      <c r="H530" t="s">
        <v>1807</v>
      </c>
      <c r="I530" t="s">
        <v>1808</v>
      </c>
      <c r="J530" t="s">
        <v>21</v>
      </c>
      <c r="K530" t="s">
        <v>22</v>
      </c>
      <c r="L530" t="s">
        <v>67</v>
      </c>
      <c r="M530" t="s">
        <v>68</v>
      </c>
      <c r="N530" t="s">
        <v>69</v>
      </c>
      <c r="O530" t="s">
        <v>37</v>
      </c>
      <c r="P530" t="s">
        <v>52</v>
      </c>
      <c r="Q530" t="s">
        <v>1344</v>
      </c>
      <c r="R530">
        <v>43574.15</v>
      </c>
      <c r="S530">
        <v>6</v>
      </c>
      <c r="T530">
        <v>0.3</v>
      </c>
      <c r="U530" t="str">
        <f>IF(Retail_data[[#This Row],[Sales]]&gt;30000,"High",IF(Retail_data[[#This Row],[Sales]]&gt;10000,"Medium","Low"))</f>
        <v>High</v>
      </c>
      <c r="V530" s="3">
        <f>Retail_data[[#This Row],[Profit]]/Retail_data[[#This Row],[Sales]]</f>
        <v>-3.7028834756386526E-2</v>
      </c>
      <c r="W530">
        <v>-1613.5</v>
      </c>
      <c r="X530" t="s">
        <v>48</v>
      </c>
    </row>
    <row r="531" spans="1:24" ht="13.8" x14ac:dyDescent="0.25">
      <c r="A531" t="s">
        <v>1809</v>
      </c>
      <c r="B531">
        <f>YEAR(Retail_data[[#This Row],[Order Date]])</f>
        <v>2027</v>
      </c>
      <c r="C531" t="str">
        <f>TEXT(Retail_data[[#This Row],[Order Date]],"mmmm")</f>
        <v>March</v>
      </c>
      <c r="D531">
        <f>MONTH(Retail_data[[#This Row],[Order Date]])</f>
        <v>3</v>
      </c>
      <c r="E531" t="str">
        <f>"Q"&amp;ROUNDUP(MONTH(Retail_data[[#This Row],[Order Date]])/3,0)</f>
        <v>Q1</v>
      </c>
      <c r="F531" s="1">
        <v>46451</v>
      </c>
      <c r="G531" s="1">
        <v>46455</v>
      </c>
      <c r="H531" t="s">
        <v>1810</v>
      </c>
      <c r="I531" t="s">
        <v>1811</v>
      </c>
      <c r="J531" t="s">
        <v>21</v>
      </c>
      <c r="K531" t="s">
        <v>22</v>
      </c>
      <c r="L531" t="s">
        <v>23</v>
      </c>
      <c r="M531" t="s">
        <v>24</v>
      </c>
      <c r="N531" t="s">
        <v>25</v>
      </c>
      <c r="O531" t="s">
        <v>37</v>
      </c>
      <c r="P531" t="s">
        <v>46</v>
      </c>
      <c r="Q531" t="s">
        <v>978</v>
      </c>
      <c r="R531">
        <v>1411.08</v>
      </c>
      <c r="S531">
        <v>2</v>
      </c>
      <c r="T531">
        <v>0.2</v>
      </c>
      <c r="U531" t="str">
        <f>IF(Retail_data[[#This Row],[Sales]]&gt;30000,"High",IF(Retail_data[[#This Row],[Sales]]&gt;10000,"Medium","Low"))</f>
        <v>Low</v>
      </c>
      <c r="V531" s="3">
        <f>Retail_data[[#This Row],[Profit]]/Retail_data[[#This Row],[Sales]]</f>
        <v>0.13258638773138307</v>
      </c>
      <c r="W531">
        <v>187.09</v>
      </c>
      <c r="X531" t="s">
        <v>48</v>
      </c>
    </row>
    <row r="532" spans="1:24" ht="13.8" x14ac:dyDescent="0.25">
      <c r="A532" t="s">
        <v>1812</v>
      </c>
      <c r="B532">
        <f>YEAR(Retail_data[[#This Row],[Order Date]])</f>
        <v>2027</v>
      </c>
      <c r="C532" t="str">
        <f>TEXT(Retail_data[[#This Row],[Order Date]],"mmmm")</f>
        <v>March</v>
      </c>
      <c r="D532">
        <f>MONTH(Retail_data[[#This Row],[Order Date]])</f>
        <v>3</v>
      </c>
      <c r="E532" t="str">
        <f>"Q"&amp;ROUNDUP(MONTH(Retail_data[[#This Row],[Order Date]])/3,0)</f>
        <v>Q1</v>
      </c>
      <c r="F532" s="1">
        <v>46452</v>
      </c>
      <c r="G532" s="1">
        <v>46456</v>
      </c>
      <c r="H532" t="s">
        <v>1813</v>
      </c>
      <c r="I532" t="s">
        <v>1814</v>
      </c>
      <c r="J532" t="s">
        <v>33</v>
      </c>
      <c r="K532" t="s">
        <v>22</v>
      </c>
      <c r="L532" t="s">
        <v>23</v>
      </c>
      <c r="M532" t="s">
        <v>24</v>
      </c>
      <c r="N532" t="s">
        <v>25</v>
      </c>
      <c r="O532" t="s">
        <v>57</v>
      </c>
      <c r="P532" t="s">
        <v>149</v>
      </c>
      <c r="Q532" t="s">
        <v>262</v>
      </c>
      <c r="R532">
        <v>41414.300000000003</v>
      </c>
      <c r="S532">
        <v>2</v>
      </c>
      <c r="T532">
        <v>0</v>
      </c>
      <c r="U532" t="str">
        <f>IF(Retail_data[[#This Row],[Sales]]&gt;30000,"High",IF(Retail_data[[#This Row],[Sales]]&gt;10000,"Medium","Low"))</f>
        <v>High</v>
      </c>
      <c r="V532" s="3">
        <f>Retail_data[[#This Row],[Profit]]/Retail_data[[#This Row],[Sales]]</f>
        <v>0.24577187106868881</v>
      </c>
      <c r="W532">
        <v>10178.469999999999</v>
      </c>
      <c r="X532" t="s">
        <v>29</v>
      </c>
    </row>
    <row r="533" spans="1:24" ht="13.8" x14ac:dyDescent="0.25">
      <c r="A533" t="s">
        <v>1815</v>
      </c>
      <c r="B533">
        <f>YEAR(Retail_data[[#This Row],[Order Date]])</f>
        <v>2027</v>
      </c>
      <c r="C533" t="str">
        <f>TEXT(Retail_data[[#This Row],[Order Date]],"mmmm")</f>
        <v>March</v>
      </c>
      <c r="D533">
        <f>MONTH(Retail_data[[#This Row],[Order Date]])</f>
        <v>3</v>
      </c>
      <c r="E533" t="str">
        <f>"Q"&amp;ROUNDUP(MONTH(Retail_data[[#This Row],[Order Date]])/3,0)</f>
        <v>Q1</v>
      </c>
      <c r="F533" s="1">
        <v>46453</v>
      </c>
      <c r="G533" s="1">
        <v>46457</v>
      </c>
      <c r="H533" t="s">
        <v>1816</v>
      </c>
      <c r="I533" t="s">
        <v>1817</v>
      </c>
      <c r="J533" t="s">
        <v>44</v>
      </c>
      <c r="K533" t="s">
        <v>22</v>
      </c>
      <c r="L533" t="s">
        <v>34</v>
      </c>
      <c r="M533" t="s">
        <v>35</v>
      </c>
      <c r="N533" t="s">
        <v>36</v>
      </c>
      <c r="O533" t="s">
        <v>26</v>
      </c>
      <c r="P533" t="s">
        <v>27</v>
      </c>
      <c r="Q533" t="s">
        <v>1571</v>
      </c>
      <c r="R533">
        <v>9374.7000000000007</v>
      </c>
      <c r="S533">
        <v>5</v>
      </c>
      <c r="T533">
        <v>0</v>
      </c>
      <c r="U533" t="str">
        <f>IF(Retail_data[[#This Row],[Sales]]&gt;30000,"High",IF(Retail_data[[#This Row],[Sales]]&gt;10000,"Medium","Low"))</f>
        <v>Low</v>
      </c>
      <c r="V533" s="3">
        <f>Retail_data[[#This Row],[Profit]]/Retail_data[[#This Row],[Sales]]</f>
        <v>6.6918408055724451E-2</v>
      </c>
      <c r="W533">
        <v>627.34</v>
      </c>
      <c r="X533" t="s">
        <v>40</v>
      </c>
    </row>
    <row r="534" spans="1:24" ht="13.8" x14ac:dyDescent="0.25">
      <c r="A534" t="s">
        <v>1818</v>
      </c>
      <c r="B534">
        <f>YEAR(Retail_data[[#This Row],[Order Date]])</f>
        <v>2027</v>
      </c>
      <c r="C534" t="str">
        <f>TEXT(Retail_data[[#This Row],[Order Date]],"mmmm")</f>
        <v>March</v>
      </c>
      <c r="D534">
        <f>MONTH(Retail_data[[#This Row],[Order Date]])</f>
        <v>3</v>
      </c>
      <c r="E534" t="str">
        <f>"Q"&amp;ROUNDUP(MONTH(Retail_data[[#This Row],[Order Date]])/3,0)</f>
        <v>Q1</v>
      </c>
      <c r="F534" s="1">
        <v>46454</v>
      </c>
      <c r="G534" s="1">
        <v>46458</v>
      </c>
      <c r="H534" t="s">
        <v>1819</v>
      </c>
      <c r="I534" t="s">
        <v>1820</v>
      </c>
      <c r="J534" t="s">
        <v>44</v>
      </c>
      <c r="K534" t="s">
        <v>22</v>
      </c>
      <c r="L534" t="s">
        <v>23</v>
      </c>
      <c r="M534" t="s">
        <v>24</v>
      </c>
      <c r="N534" t="s">
        <v>25</v>
      </c>
      <c r="O534" t="s">
        <v>37</v>
      </c>
      <c r="P534" t="s">
        <v>38</v>
      </c>
      <c r="Q534" t="s">
        <v>649</v>
      </c>
      <c r="R534">
        <v>22213.14</v>
      </c>
      <c r="S534">
        <v>4</v>
      </c>
      <c r="T534">
        <v>0.2</v>
      </c>
      <c r="U534" t="str">
        <f>IF(Retail_data[[#This Row],[Sales]]&gt;30000,"High",IF(Retail_data[[#This Row],[Sales]]&gt;10000,"Medium","Low"))</f>
        <v>Medium</v>
      </c>
      <c r="V534" s="3">
        <f>Retail_data[[#This Row],[Profit]]/Retail_data[[#This Row],[Sales]]</f>
        <v>0.1003113472476201</v>
      </c>
      <c r="W534">
        <v>2228.23</v>
      </c>
      <c r="X534" t="s">
        <v>40</v>
      </c>
    </row>
    <row r="535" spans="1:24" ht="13.8" x14ac:dyDescent="0.25">
      <c r="A535" t="s">
        <v>1821</v>
      </c>
      <c r="B535">
        <f>YEAR(Retail_data[[#This Row],[Order Date]])</f>
        <v>2027</v>
      </c>
      <c r="C535" t="str">
        <f>TEXT(Retail_data[[#This Row],[Order Date]],"mmmm")</f>
        <v>March</v>
      </c>
      <c r="D535">
        <f>MONTH(Retail_data[[#This Row],[Order Date]])</f>
        <v>3</v>
      </c>
      <c r="E535" t="str">
        <f>"Q"&amp;ROUNDUP(MONTH(Retail_data[[#This Row],[Order Date]])/3,0)</f>
        <v>Q1</v>
      </c>
      <c r="F535" s="1">
        <v>46455</v>
      </c>
      <c r="G535" s="1">
        <v>46459</v>
      </c>
      <c r="H535" t="s">
        <v>1822</v>
      </c>
      <c r="I535" t="s">
        <v>1823</v>
      </c>
      <c r="J535" t="s">
        <v>44</v>
      </c>
      <c r="K535" t="s">
        <v>22</v>
      </c>
      <c r="L535" t="s">
        <v>85</v>
      </c>
      <c r="M535" t="s">
        <v>86</v>
      </c>
      <c r="N535" t="s">
        <v>87</v>
      </c>
      <c r="O535" t="s">
        <v>57</v>
      </c>
      <c r="P535" t="s">
        <v>58</v>
      </c>
      <c r="Q535" t="s">
        <v>731</v>
      </c>
      <c r="R535">
        <v>29256.89</v>
      </c>
      <c r="S535">
        <v>6</v>
      </c>
      <c r="T535">
        <v>0</v>
      </c>
      <c r="U535" t="str">
        <f>IF(Retail_data[[#This Row],[Sales]]&gt;30000,"High",IF(Retail_data[[#This Row],[Sales]]&gt;10000,"Medium","Low"))</f>
        <v>Medium</v>
      </c>
      <c r="V535" s="3">
        <f>Retail_data[[#This Row],[Profit]]/Retail_data[[#This Row],[Sales]]</f>
        <v>0.12902567566135703</v>
      </c>
      <c r="W535">
        <v>3774.89</v>
      </c>
      <c r="X535" t="s">
        <v>48</v>
      </c>
    </row>
    <row r="536" spans="1:24" ht="13.8" x14ac:dyDescent="0.25">
      <c r="A536" t="s">
        <v>1824</v>
      </c>
      <c r="B536">
        <f>YEAR(Retail_data[[#This Row],[Order Date]])</f>
        <v>2027</v>
      </c>
      <c r="C536" t="str">
        <f>TEXT(Retail_data[[#This Row],[Order Date]],"mmmm")</f>
        <v>March</v>
      </c>
      <c r="D536">
        <f>MONTH(Retail_data[[#This Row],[Order Date]])</f>
        <v>3</v>
      </c>
      <c r="E536" t="str">
        <f>"Q"&amp;ROUNDUP(MONTH(Retail_data[[#This Row],[Order Date]])/3,0)</f>
        <v>Q1</v>
      </c>
      <c r="F536" s="1">
        <v>46456</v>
      </c>
      <c r="G536" s="1">
        <v>46460</v>
      </c>
      <c r="H536" t="s">
        <v>1825</v>
      </c>
      <c r="I536" t="s">
        <v>1826</v>
      </c>
      <c r="J536" t="s">
        <v>44</v>
      </c>
      <c r="K536" t="s">
        <v>22</v>
      </c>
      <c r="L536" t="s">
        <v>23</v>
      </c>
      <c r="M536" t="s">
        <v>24</v>
      </c>
      <c r="N536" t="s">
        <v>25</v>
      </c>
      <c r="O536" t="s">
        <v>26</v>
      </c>
      <c r="P536" t="s">
        <v>27</v>
      </c>
      <c r="Q536" t="s">
        <v>28</v>
      </c>
      <c r="R536">
        <v>32979.519999999997</v>
      </c>
      <c r="S536">
        <v>1</v>
      </c>
      <c r="T536">
        <v>0.3</v>
      </c>
      <c r="U536" t="str">
        <f>IF(Retail_data[[#This Row],[Sales]]&gt;30000,"High",IF(Retail_data[[#This Row],[Sales]]&gt;10000,"Medium","Low"))</f>
        <v>High</v>
      </c>
      <c r="V536" s="3">
        <f>Retail_data[[#This Row],[Profit]]/Retail_data[[#This Row],[Sales]]</f>
        <v>0.12748699799148078</v>
      </c>
      <c r="W536">
        <v>4204.46</v>
      </c>
      <c r="X536" t="s">
        <v>29</v>
      </c>
    </row>
    <row r="537" spans="1:24" ht="13.8" x14ac:dyDescent="0.25">
      <c r="A537" t="s">
        <v>1827</v>
      </c>
      <c r="B537">
        <f>YEAR(Retail_data[[#This Row],[Order Date]])</f>
        <v>2027</v>
      </c>
      <c r="C537" t="str">
        <f>TEXT(Retail_data[[#This Row],[Order Date]],"mmmm")</f>
        <v>March</v>
      </c>
      <c r="D537">
        <f>MONTH(Retail_data[[#This Row],[Order Date]])</f>
        <v>3</v>
      </c>
      <c r="E537" t="str">
        <f>"Q"&amp;ROUNDUP(MONTH(Retail_data[[#This Row],[Order Date]])/3,0)</f>
        <v>Q1</v>
      </c>
      <c r="F537" s="1">
        <v>46457</v>
      </c>
      <c r="G537" s="1">
        <v>46461</v>
      </c>
      <c r="H537" t="s">
        <v>1828</v>
      </c>
      <c r="I537" t="s">
        <v>1829</v>
      </c>
      <c r="J537" t="s">
        <v>33</v>
      </c>
      <c r="K537" t="s">
        <v>22</v>
      </c>
      <c r="L537" t="s">
        <v>23</v>
      </c>
      <c r="M537" t="s">
        <v>24</v>
      </c>
      <c r="N537" t="s">
        <v>25</v>
      </c>
      <c r="O537" t="s">
        <v>37</v>
      </c>
      <c r="P537" t="s">
        <v>38</v>
      </c>
      <c r="Q537" t="s">
        <v>664</v>
      </c>
      <c r="R537">
        <v>30300.58</v>
      </c>
      <c r="S537">
        <v>3</v>
      </c>
      <c r="T537">
        <v>0.3</v>
      </c>
      <c r="U537" t="str">
        <f>IF(Retail_data[[#This Row],[Sales]]&gt;30000,"High",IF(Retail_data[[#This Row],[Sales]]&gt;10000,"Medium","Low"))</f>
        <v>High</v>
      </c>
      <c r="V537" s="3">
        <f>Retail_data[[#This Row],[Profit]]/Retail_data[[#This Row],[Sales]]</f>
        <v>5.758965669964073E-2</v>
      </c>
      <c r="W537">
        <v>1745</v>
      </c>
      <c r="X537" t="s">
        <v>81</v>
      </c>
    </row>
    <row r="538" spans="1:24" ht="13.8" x14ac:dyDescent="0.25">
      <c r="A538" t="s">
        <v>1830</v>
      </c>
      <c r="B538">
        <f>YEAR(Retail_data[[#This Row],[Order Date]])</f>
        <v>2027</v>
      </c>
      <c r="C538" t="str">
        <f>TEXT(Retail_data[[#This Row],[Order Date]],"mmmm")</f>
        <v>March</v>
      </c>
      <c r="D538">
        <f>MONTH(Retail_data[[#This Row],[Order Date]])</f>
        <v>3</v>
      </c>
      <c r="E538" t="str">
        <f>"Q"&amp;ROUNDUP(MONTH(Retail_data[[#This Row],[Order Date]])/3,0)</f>
        <v>Q1</v>
      </c>
      <c r="F538" s="1">
        <v>46458</v>
      </c>
      <c r="G538" s="1">
        <v>46462</v>
      </c>
      <c r="H538" t="s">
        <v>1831</v>
      </c>
      <c r="I538" t="s">
        <v>1832</v>
      </c>
      <c r="J538" t="s">
        <v>44</v>
      </c>
      <c r="K538" t="s">
        <v>22</v>
      </c>
      <c r="L538" t="s">
        <v>67</v>
      </c>
      <c r="M538" t="s">
        <v>68</v>
      </c>
      <c r="N538" t="s">
        <v>69</v>
      </c>
      <c r="O538" t="s">
        <v>57</v>
      </c>
      <c r="P538" t="s">
        <v>149</v>
      </c>
      <c r="Q538" t="s">
        <v>453</v>
      </c>
      <c r="R538">
        <v>32597.55</v>
      </c>
      <c r="S538">
        <v>8</v>
      </c>
      <c r="T538">
        <v>0.1</v>
      </c>
      <c r="U538" t="str">
        <f>IF(Retail_data[[#This Row],[Sales]]&gt;30000,"High",IF(Retail_data[[#This Row],[Sales]]&gt;10000,"Medium","Low"))</f>
        <v>High</v>
      </c>
      <c r="V538" s="3">
        <f>Retail_data[[#This Row],[Profit]]/Retail_data[[#This Row],[Sales]]</f>
        <v>0.18321622330512569</v>
      </c>
      <c r="W538">
        <v>5972.4</v>
      </c>
      <c r="X538" t="s">
        <v>29</v>
      </c>
    </row>
    <row r="539" spans="1:24" ht="13.8" x14ac:dyDescent="0.25">
      <c r="A539" t="s">
        <v>1833</v>
      </c>
      <c r="B539">
        <f>YEAR(Retail_data[[#This Row],[Order Date]])</f>
        <v>2027</v>
      </c>
      <c r="C539" t="str">
        <f>TEXT(Retail_data[[#This Row],[Order Date]],"mmmm")</f>
        <v>March</v>
      </c>
      <c r="D539">
        <f>MONTH(Retail_data[[#This Row],[Order Date]])</f>
        <v>3</v>
      </c>
      <c r="E539" t="str">
        <f>"Q"&amp;ROUNDUP(MONTH(Retail_data[[#This Row],[Order Date]])/3,0)</f>
        <v>Q1</v>
      </c>
      <c r="F539" s="1">
        <v>46459</v>
      </c>
      <c r="G539" s="1">
        <v>46463</v>
      </c>
      <c r="H539" t="s">
        <v>1834</v>
      </c>
      <c r="I539" t="s">
        <v>1835</v>
      </c>
      <c r="J539" t="s">
        <v>21</v>
      </c>
      <c r="K539" t="s">
        <v>22</v>
      </c>
      <c r="L539" t="s">
        <v>34</v>
      </c>
      <c r="M539" t="s">
        <v>35</v>
      </c>
      <c r="N539" t="s">
        <v>36</v>
      </c>
      <c r="O539" t="s">
        <v>26</v>
      </c>
      <c r="P539" t="s">
        <v>92</v>
      </c>
      <c r="Q539" t="s">
        <v>570</v>
      </c>
      <c r="R539">
        <v>27160.31</v>
      </c>
      <c r="S539">
        <v>1</v>
      </c>
      <c r="T539">
        <v>0.3</v>
      </c>
      <c r="U539" t="str">
        <f>IF(Retail_data[[#This Row],[Sales]]&gt;30000,"High",IF(Retail_data[[#This Row],[Sales]]&gt;10000,"Medium","Low"))</f>
        <v>Medium</v>
      </c>
      <c r="V539" s="3">
        <f>Retail_data[[#This Row],[Profit]]/Retail_data[[#This Row],[Sales]]</f>
        <v>0.17271084166565109</v>
      </c>
      <c r="W539">
        <v>4690.88</v>
      </c>
      <c r="X539" t="s">
        <v>40</v>
      </c>
    </row>
    <row r="540" spans="1:24" ht="13.8" x14ac:dyDescent="0.25">
      <c r="A540" t="s">
        <v>1836</v>
      </c>
      <c r="B540">
        <f>YEAR(Retail_data[[#This Row],[Order Date]])</f>
        <v>2027</v>
      </c>
      <c r="C540" t="str">
        <f>TEXT(Retail_data[[#This Row],[Order Date]],"mmmm")</f>
        <v>March</v>
      </c>
      <c r="D540">
        <f>MONTH(Retail_data[[#This Row],[Order Date]])</f>
        <v>3</v>
      </c>
      <c r="E540" t="str">
        <f>"Q"&amp;ROUNDUP(MONTH(Retail_data[[#This Row],[Order Date]])/3,0)</f>
        <v>Q1</v>
      </c>
      <c r="F540" s="1">
        <v>46460</v>
      </c>
      <c r="G540" s="1">
        <v>46464</v>
      </c>
      <c r="H540" t="s">
        <v>1837</v>
      </c>
      <c r="I540" t="s">
        <v>1838</v>
      </c>
      <c r="J540" t="s">
        <v>44</v>
      </c>
      <c r="K540" t="s">
        <v>22</v>
      </c>
      <c r="L540" t="s">
        <v>23</v>
      </c>
      <c r="M540" t="s">
        <v>24</v>
      </c>
      <c r="N540" t="s">
        <v>25</v>
      </c>
      <c r="O540" t="s">
        <v>57</v>
      </c>
      <c r="P540" t="s">
        <v>58</v>
      </c>
      <c r="Q540" t="s">
        <v>63</v>
      </c>
      <c r="R540">
        <v>4441.05</v>
      </c>
      <c r="S540">
        <v>8</v>
      </c>
      <c r="T540">
        <v>0</v>
      </c>
      <c r="U540" t="str">
        <f>IF(Retail_data[[#This Row],[Sales]]&gt;30000,"High",IF(Retail_data[[#This Row],[Sales]]&gt;10000,"Medium","Low"))</f>
        <v>Low</v>
      </c>
      <c r="V540" s="3">
        <f>Retail_data[[#This Row],[Profit]]/Retail_data[[#This Row],[Sales]]</f>
        <v>0.26199659990317603</v>
      </c>
      <c r="W540">
        <v>1163.54</v>
      </c>
      <c r="X540" t="s">
        <v>29</v>
      </c>
    </row>
    <row r="541" spans="1:24" ht="13.8" x14ac:dyDescent="0.25">
      <c r="A541" t="s">
        <v>1839</v>
      </c>
      <c r="B541">
        <f>YEAR(Retail_data[[#This Row],[Order Date]])</f>
        <v>2027</v>
      </c>
      <c r="C541" t="str">
        <f>TEXT(Retail_data[[#This Row],[Order Date]],"mmmm")</f>
        <v>March</v>
      </c>
      <c r="D541">
        <f>MONTH(Retail_data[[#This Row],[Order Date]])</f>
        <v>3</v>
      </c>
      <c r="E541" t="str">
        <f>"Q"&amp;ROUNDUP(MONTH(Retail_data[[#This Row],[Order Date]])/3,0)</f>
        <v>Q1</v>
      </c>
      <c r="F541" s="1">
        <v>46461</v>
      </c>
      <c r="G541" s="1">
        <v>46465</v>
      </c>
      <c r="H541" t="s">
        <v>1840</v>
      </c>
      <c r="I541" t="s">
        <v>1841</v>
      </c>
      <c r="J541" t="s">
        <v>44</v>
      </c>
      <c r="K541" t="s">
        <v>22</v>
      </c>
      <c r="L541" t="s">
        <v>34</v>
      </c>
      <c r="M541" t="s">
        <v>35</v>
      </c>
      <c r="N541" t="s">
        <v>36</v>
      </c>
      <c r="O541" t="s">
        <v>57</v>
      </c>
      <c r="P541" t="s">
        <v>79</v>
      </c>
      <c r="Q541" t="s">
        <v>351</v>
      </c>
      <c r="R541">
        <v>18736.79</v>
      </c>
      <c r="S541">
        <v>4</v>
      </c>
      <c r="T541">
        <v>0.1</v>
      </c>
      <c r="U541" t="str">
        <f>IF(Retail_data[[#This Row],[Sales]]&gt;30000,"High",IF(Retail_data[[#This Row],[Sales]]&gt;10000,"Medium","Low"))</f>
        <v>Medium</v>
      </c>
      <c r="V541" s="3">
        <f>Retail_data[[#This Row],[Profit]]/Retail_data[[#This Row],[Sales]]</f>
        <v>6.5419957207184368E-2</v>
      </c>
      <c r="W541">
        <v>1225.76</v>
      </c>
      <c r="X541" t="s">
        <v>81</v>
      </c>
    </row>
    <row r="542" spans="1:24" ht="13.8" x14ac:dyDescent="0.25">
      <c r="A542" t="s">
        <v>1842</v>
      </c>
      <c r="B542">
        <f>YEAR(Retail_data[[#This Row],[Order Date]])</f>
        <v>2027</v>
      </c>
      <c r="C542" t="str">
        <f>TEXT(Retail_data[[#This Row],[Order Date]],"mmmm")</f>
        <v>March</v>
      </c>
      <c r="D542">
        <f>MONTH(Retail_data[[#This Row],[Order Date]])</f>
        <v>3</v>
      </c>
      <c r="E542" t="str">
        <f>"Q"&amp;ROUNDUP(MONTH(Retail_data[[#This Row],[Order Date]])/3,0)</f>
        <v>Q1</v>
      </c>
      <c r="F542" s="1">
        <v>46462</v>
      </c>
      <c r="G542" s="1">
        <v>46466</v>
      </c>
      <c r="H542" t="s">
        <v>1843</v>
      </c>
      <c r="I542" t="s">
        <v>1844</v>
      </c>
      <c r="J542" t="s">
        <v>44</v>
      </c>
      <c r="K542" t="s">
        <v>22</v>
      </c>
      <c r="L542" t="s">
        <v>23</v>
      </c>
      <c r="M542" t="s">
        <v>24</v>
      </c>
      <c r="N542" t="s">
        <v>25</v>
      </c>
      <c r="O542" t="s">
        <v>26</v>
      </c>
      <c r="P542" t="s">
        <v>92</v>
      </c>
      <c r="Q542" t="s">
        <v>831</v>
      </c>
      <c r="R542">
        <v>27134.3</v>
      </c>
      <c r="S542">
        <v>7</v>
      </c>
      <c r="T542">
        <v>0.1</v>
      </c>
      <c r="U542" t="str">
        <f>IF(Retail_data[[#This Row],[Sales]]&gt;30000,"High",IF(Retail_data[[#This Row],[Sales]]&gt;10000,"Medium","Low"))</f>
        <v>Medium</v>
      </c>
      <c r="V542" s="3">
        <f>Retail_data[[#This Row],[Profit]]/Retail_data[[#This Row],[Sales]]</f>
        <v>5.7491440722627817E-2</v>
      </c>
      <c r="W542">
        <v>1559.99</v>
      </c>
      <c r="X542" t="s">
        <v>48</v>
      </c>
    </row>
    <row r="543" spans="1:24" ht="13.8" x14ac:dyDescent="0.25">
      <c r="A543" t="s">
        <v>1845</v>
      </c>
      <c r="B543">
        <f>YEAR(Retail_data[[#This Row],[Order Date]])</f>
        <v>2027</v>
      </c>
      <c r="C543" t="str">
        <f>TEXT(Retail_data[[#This Row],[Order Date]],"mmmm")</f>
        <v>March</v>
      </c>
      <c r="D543">
        <f>MONTH(Retail_data[[#This Row],[Order Date]])</f>
        <v>3</v>
      </c>
      <c r="E543" t="str">
        <f>"Q"&amp;ROUNDUP(MONTH(Retail_data[[#This Row],[Order Date]])/3,0)</f>
        <v>Q1</v>
      </c>
      <c r="F543" s="1">
        <v>46463</v>
      </c>
      <c r="G543" s="1">
        <v>46467</v>
      </c>
      <c r="H543" t="s">
        <v>1846</v>
      </c>
      <c r="I543" t="s">
        <v>1847</v>
      </c>
      <c r="J543" t="s">
        <v>33</v>
      </c>
      <c r="K543" t="s">
        <v>22</v>
      </c>
      <c r="L543" t="s">
        <v>67</v>
      </c>
      <c r="M543" t="s">
        <v>68</v>
      </c>
      <c r="N543" t="s">
        <v>69</v>
      </c>
      <c r="O543" t="s">
        <v>26</v>
      </c>
      <c r="P543" t="s">
        <v>92</v>
      </c>
      <c r="Q543" t="s">
        <v>631</v>
      </c>
      <c r="R543">
        <v>11561.28</v>
      </c>
      <c r="S543">
        <v>2</v>
      </c>
      <c r="T543">
        <v>0.3</v>
      </c>
      <c r="U543" t="str">
        <f>IF(Retail_data[[#This Row],[Sales]]&gt;30000,"High",IF(Retail_data[[#This Row],[Sales]]&gt;10000,"Medium","Low"))</f>
        <v>Medium</v>
      </c>
      <c r="V543" s="3">
        <f>Retail_data[[#This Row],[Profit]]/Retail_data[[#This Row],[Sales]]</f>
        <v>7.0988679454178083E-2</v>
      </c>
      <c r="W543">
        <v>820.72</v>
      </c>
      <c r="X543" t="s">
        <v>81</v>
      </c>
    </row>
    <row r="544" spans="1:24" ht="13.8" x14ac:dyDescent="0.25">
      <c r="A544" t="s">
        <v>1848</v>
      </c>
      <c r="B544">
        <f>YEAR(Retail_data[[#This Row],[Order Date]])</f>
        <v>2027</v>
      </c>
      <c r="C544" t="str">
        <f>TEXT(Retail_data[[#This Row],[Order Date]],"mmmm")</f>
        <v>March</v>
      </c>
      <c r="D544">
        <f>MONTH(Retail_data[[#This Row],[Order Date]])</f>
        <v>3</v>
      </c>
      <c r="E544" t="str">
        <f>"Q"&amp;ROUNDUP(MONTH(Retail_data[[#This Row],[Order Date]])/3,0)</f>
        <v>Q1</v>
      </c>
      <c r="F544" s="1">
        <v>46464</v>
      </c>
      <c r="G544" s="1">
        <v>46468</v>
      </c>
      <c r="H544" t="s">
        <v>1849</v>
      </c>
      <c r="I544" t="s">
        <v>1850</v>
      </c>
      <c r="J544" t="s">
        <v>33</v>
      </c>
      <c r="K544" t="s">
        <v>22</v>
      </c>
      <c r="L544" t="s">
        <v>67</v>
      </c>
      <c r="M544" t="s">
        <v>68</v>
      </c>
      <c r="N544" t="s">
        <v>69</v>
      </c>
      <c r="O544" t="s">
        <v>57</v>
      </c>
      <c r="P544" t="s">
        <v>79</v>
      </c>
      <c r="Q544" t="s">
        <v>489</v>
      </c>
      <c r="R544">
        <v>40364.82</v>
      </c>
      <c r="S544">
        <v>8</v>
      </c>
      <c r="T544">
        <v>0.2</v>
      </c>
      <c r="U544" t="str">
        <f>IF(Retail_data[[#This Row],[Sales]]&gt;30000,"High",IF(Retail_data[[#This Row],[Sales]]&gt;10000,"Medium","Low"))</f>
        <v>High</v>
      </c>
      <c r="V544" s="3">
        <f>Retail_data[[#This Row],[Profit]]/Retail_data[[#This Row],[Sales]]</f>
        <v>0.1713566417489289</v>
      </c>
      <c r="W544">
        <v>6916.78</v>
      </c>
      <c r="X544" t="s">
        <v>81</v>
      </c>
    </row>
    <row r="545" spans="1:24" ht="13.8" x14ac:dyDescent="0.25">
      <c r="A545" t="s">
        <v>1851</v>
      </c>
      <c r="B545">
        <f>YEAR(Retail_data[[#This Row],[Order Date]])</f>
        <v>2027</v>
      </c>
      <c r="C545" t="str">
        <f>TEXT(Retail_data[[#This Row],[Order Date]],"mmmm")</f>
        <v>March</v>
      </c>
      <c r="D545">
        <f>MONTH(Retail_data[[#This Row],[Order Date]])</f>
        <v>3</v>
      </c>
      <c r="E545" t="str">
        <f>"Q"&amp;ROUNDUP(MONTH(Retail_data[[#This Row],[Order Date]])/3,0)</f>
        <v>Q1</v>
      </c>
      <c r="F545" s="1">
        <v>46465</v>
      </c>
      <c r="G545" s="1">
        <v>46469</v>
      </c>
      <c r="H545" t="s">
        <v>1852</v>
      </c>
      <c r="I545" t="s">
        <v>1853</v>
      </c>
      <c r="J545" t="s">
        <v>21</v>
      </c>
      <c r="K545" t="s">
        <v>22</v>
      </c>
      <c r="L545" t="s">
        <v>34</v>
      </c>
      <c r="M545" t="s">
        <v>35</v>
      </c>
      <c r="N545" t="s">
        <v>36</v>
      </c>
      <c r="O545" t="s">
        <v>57</v>
      </c>
      <c r="P545" t="s">
        <v>149</v>
      </c>
      <c r="Q545" t="s">
        <v>453</v>
      </c>
      <c r="R545">
        <v>42659.09</v>
      </c>
      <c r="S545">
        <v>4</v>
      </c>
      <c r="T545">
        <v>0.1</v>
      </c>
      <c r="U545" t="str">
        <f>IF(Retail_data[[#This Row],[Sales]]&gt;30000,"High",IF(Retail_data[[#This Row],[Sales]]&gt;10000,"Medium","Low"))</f>
        <v>High</v>
      </c>
      <c r="V545" s="3">
        <f>Retail_data[[#This Row],[Profit]]/Retail_data[[#This Row],[Sales]]</f>
        <v>0.10282404055032586</v>
      </c>
      <c r="W545">
        <v>4386.38</v>
      </c>
      <c r="X545" t="s">
        <v>48</v>
      </c>
    </row>
    <row r="546" spans="1:24" ht="13.8" x14ac:dyDescent="0.25">
      <c r="A546" t="s">
        <v>1854</v>
      </c>
      <c r="B546">
        <f>YEAR(Retail_data[[#This Row],[Order Date]])</f>
        <v>2027</v>
      </c>
      <c r="C546" t="str">
        <f>TEXT(Retail_data[[#This Row],[Order Date]],"mmmm")</f>
        <v>March</v>
      </c>
      <c r="D546">
        <f>MONTH(Retail_data[[#This Row],[Order Date]])</f>
        <v>3</v>
      </c>
      <c r="E546" t="str">
        <f>"Q"&amp;ROUNDUP(MONTH(Retail_data[[#This Row],[Order Date]])/3,0)</f>
        <v>Q1</v>
      </c>
      <c r="F546" s="1">
        <v>46466</v>
      </c>
      <c r="G546" s="1">
        <v>46470</v>
      </c>
      <c r="H546" t="s">
        <v>1855</v>
      </c>
      <c r="I546" t="s">
        <v>1856</v>
      </c>
      <c r="J546" t="s">
        <v>44</v>
      </c>
      <c r="K546" t="s">
        <v>22</v>
      </c>
      <c r="L546" t="s">
        <v>85</v>
      </c>
      <c r="M546" t="s">
        <v>86</v>
      </c>
      <c r="N546" t="s">
        <v>87</v>
      </c>
      <c r="O546" t="s">
        <v>26</v>
      </c>
      <c r="P546" t="s">
        <v>92</v>
      </c>
      <c r="Q546" t="s">
        <v>93</v>
      </c>
      <c r="R546">
        <v>36338.269999999997</v>
      </c>
      <c r="S546">
        <v>1</v>
      </c>
      <c r="T546">
        <v>0.3</v>
      </c>
      <c r="U546" t="str">
        <f>IF(Retail_data[[#This Row],[Sales]]&gt;30000,"High",IF(Retail_data[[#This Row],[Sales]]&gt;10000,"Medium","Low"))</f>
        <v>High</v>
      </c>
      <c r="V546" s="3">
        <f>Retail_data[[#This Row],[Profit]]/Retail_data[[#This Row],[Sales]]</f>
        <v>-1.2330801658967255E-2</v>
      </c>
      <c r="W546">
        <v>-448.08</v>
      </c>
      <c r="X546" t="s">
        <v>29</v>
      </c>
    </row>
    <row r="547" spans="1:24" ht="13.8" x14ac:dyDescent="0.25">
      <c r="A547" t="s">
        <v>1857</v>
      </c>
      <c r="B547">
        <f>YEAR(Retail_data[[#This Row],[Order Date]])</f>
        <v>2027</v>
      </c>
      <c r="C547" t="str">
        <f>TEXT(Retail_data[[#This Row],[Order Date]],"mmmm")</f>
        <v>March</v>
      </c>
      <c r="D547">
        <f>MONTH(Retail_data[[#This Row],[Order Date]])</f>
        <v>3</v>
      </c>
      <c r="E547" t="str">
        <f>"Q"&amp;ROUNDUP(MONTH(Retail_data[[#This Row],[Order Date]])/3,0)</f>
        <v>Q1</v>
      </c>
      <c r="F547" s="1">
        <v>46467</v>
      </c>
      <c r="G547" s="1">
        <v>46471</v>
      </c>
      <c r="H547" t="s">
        <v>1858</v>
      </c>
      <c r="I547" t="s">
        <v>1859</v>
      </c>
      <c r="J547" t="s">
        <v>44</v>
      </c>
      <c r="K547" t="s">
        <v>22</v>
      </c>
      <c r="L547" t="s">
        <v>23</v>
      </c>
      <c r="M547" t="s">
        <v>24</v>
      </c>
      <c r="N547" t="s">
        <v>25</v>
      </c>
      <c r="O547" t="s">
        <v>37</v>
      </c>
      <c r="P547" t="s">
        <v>46</v>
      </c>
      <c r="Q547" t="s">
        <v>426</v>
      </c>
      <c r="R547">
        <v>39894.339999999997</v>
      </c>
      <c r="S547">
        <v>8</v>
      </c>
      <c r="T547">
        <v>0.3</v>
      </c>
      <c r="U547" t="str">
        <f>IF(Retail_data[[#This Row],[Sales]]&gt;30000,"High",IF(Retail_data[[#This Row],[Sales]]&gt;10000,"Medium","Low"))</f>
        <v>High</v>
      </c>
      <c r="V547" s="3">
        <f>Retail_data[[#This Row],[Profit]]/Retail_data[[#This Row],[Sales]]</f>
        <v>6.4556526063596992E-2</v>
      </c>
      <c r="W547">
        <v>2575.44</v>
      </c>
      <c r="X547" t="s">
        <v>40</v>
      </c>
    </row>
    <row r="548" spans="1:24" ht="13.8" x14ac:dyDescent="0.25">
      <c r="A548" t="s">
        <v>1860</v>
      </c>
      <c r="B548">
        <f>YEAR(Retail_data[[#This Row],[Order Date]])</f>
        <v>2027</v>
      </c>
      <c r="C548" t="str">
        <f>TEXT(Retail_data[[#This Row],[Order Date]],"mmmm")</f>
        <v>March</v>
      </c>
      <c r="D548">
        <f>MONTH(Retail_data[[#This Row],[Order Date]])</f>
        <v>3</v>
      </c>
      <c r="E548" t="str">
        <f>"Q"&amp;ROUNDUP(MONTH(Retail_data[[#This Row],[Order Date]])/3,0)</f>
        <v>Q1</v>
      </c>
      <c r="F548" s="1">
        <v>46468</v>
      </c>
      <c r="G548" s="1">
        <v>46472</v>
      </c>
      <c r="H548" t="s">
        <v>1861</v>
      </c>
      <c r="I548" t="s">
        <v>1862</v>
      </c>
      <c r="J548" t="s">
        <v>21</v>
      </c>
      <c r="K548" t="s">
        <v>22</v>
      </c>
      <c r="L548" t="s">
        <v>34</v>
      </c>
      <c r="M548" t="s">
        <v>35</v>
      </c>
      <c r="N548" t="s">
        <v>36</v>
      </c>
      <c r="O548" t="s">
        <v>37</v>
      </c>
      <c r="P548" t="s">
        <v>38</v>
      </c>
      <c r="Q548" t="s">
        <v>1157</v>
      </c>
      <c r="R548">
        <v>48414.37</v>
      </c>
      <c r="S548">
        <v>5</v>
      </c>
      <c r="T548">
        <v>0.3</v>
      </c>
      <c r="U548" t="str">
        <f>IF(Retail_data[[#This Row],[Sales]]&gt;30000,"High",IF(Retail_data[[#This Row],[Sales]]&gt;10000,"Medium","Low"))</f>
        <v>High</v>
      </c>
      <c r="V548" s="3">
        <f>Retail_data[[#This Row],[Profit]]/Retail_data[[#This Row],[Sales]]</f>
        <v>8.5890614707988561E-2</v>
      </c>
      <c r="W548">
        <v>4158.34</v>
      </c>
      <c r="X548" t="s">
        <v>29</v>
      </c>
    </row>
    <row r="549" spans="1:24" ht="13.8" x14ac:dyDescent="0.25">
      <c r="A549" t="s">
        <v>1863</v>
      </c>
      <c r="B549">
        <f>YEAR(Retail_data[[#This Row],[Order Date]])</f>
        <v>2027</v>
      </c>
      <c r="C549" t="str">
        <f>TEXT(Retail_data[[#This Row],[Order Date]],"mmmm")</f>
        <v>March</v>
      </c>
      <c r="D549">
        <f>MONTH(Retail_data[[#This Row],[Order Date]])</f>
        <v>3</v>
      </c>
      <c r="E549" t="str">
        <f>"Q"&amp;ROUNDUP(MONTH(Retail_data[[#This Row],[Order Date]])/3,0)</f>
        <v>Q1</v>
      </c>
      <c r="F549" s="1">
        <v>46469</v>
      </c>
      <c r="G549" s="1">
        <v>46473</v>
      </c>
      <c r="H549" t="s">
        <v>1864</v>
      </c>
      <c r="I549" t="s">
        <v>1865</v>
      </c>
      <c r="J549" t="s">
        <v>33</v>
      </c>
      <c r="K549" t="s">
        <v>22</v>
      </c>
      <c r="L549" t="s">
        <v>85</v>
      </c>
      <c r="M549" t="s">
        <v>86</v>
      </c>
      <c r="N549" t="s">
        <v>87</v>
      </c>
      <c r="O549" t="s">
        <v>26</v>
      </c>
      <c r="P549" t="s">
        <v>70</v>
      </c>
      <c r="Q549" t="s">
        <v>1866</v>
      </c>
      <c r="R549">
        <v>2102.75</v>
      </c>
      <c r="S549">
        <v>2</v>
      </c>
      <c r="T549">
        <v>0.3</v>
      </c>
      <c r="U549" t="str">
        <f>IF(Retail_data[[#This Row],[Sales]]&gt;30000,"High",IF(Retail_data[[#This Row],[Sales]]&gt;10000,"Medium","Low"))</f>
        <v>Low</v>
      </c>
      <c r="V549" s="3">
        <f>Retail_data[[#This Row],[Profit]]/Retail_data[[#This Row],[Sales]]</f>
        <v>-3.3698727856378549E-2</v>
      </c>
      <c r="W549">
        <v>-70.86</v>
      </c>
      <c r="X549" t="s">
        <v>48</v>
      </c>
    </row>
    <row r="550" spans="1:24" ht="13.8" x14ac:dyDescent="0.25">
      <c r="A550" t="s">
        <v>1867</v>
      </c>
      <c r="B550">
        <f>YEAR(Retail_data[[#This Row],[Order Date]])</f>
        <v>2027</v>
      </c>
      <c r="C550" t="str">
        <f>TEXT(Retail_data[[#This Row],[Order Date]],"mmmm")</f>
        <v>March</v>
      </c>
      <c r="D550">
        <f>MONTH(Retail_data[[#This Row],[Order Date]])</f>
        <v>3</v>
      </c>
      <c r="E550" t="str">
        <f>"Q"&amp;ROUNDUP(MONTH(Retail_data[[#This Row],[Order Date]])/3,0)</f>
        <v>Q1</v>
      </c>
      <c r="F550" s="1">
        <v>46470</v>
      </c>
      <c r="G550" s="1">
        <v>46474</v>
      </c>
      <c r="H550" t="s">
        <v>1868</v>
      </c>
      <c r="I550" t="s">
        <v>1869</v>
      </c>
      <c r="J550" t="s">
        <v>33</v>
      </c>
      <c r="K550" t="s">
        <v>22</v>
      </c>
      <c r="L550" t="s">
        <v>23</v>
      </c>
      <c r="M550" t="s">
        <v>24</v>
      </c>
      <c r="N550" t="s">
        <v>25</v>
      </c>
      <c r="O550" t="s">
        <v>26</v>
      </c>
      <c r="P550" t="s">
        <v>70</v>
      </c>
      <c r="Q550" t="s">
        <v>180</v>
      </c>
      <c r="R550">
        <v>25750.21</v>
      </c>
      <c r="S550">
        <v>3</v>
      </c>
      <c r="T550">
        <v>0.1</v>
      </c>
      <c r="U550" t="str">
        <f>IF(Retail_data[[#This Row],[Sales]]&gt;30000,"High",IF(Retail_data[[#This Row],[Sales]]&gt;10000,"Medium","Low"))</f>
        <v>Medium</v>
      </c>
      <c r="V550" s="3">
        <f>Retail_data[[#This Row],[Profit]]/Retail_data[[#This Row],[Sales]]</f>
        <v>8.0303811114550136E-2</v>
      </c>
      <c r="W550">
        <v>2067.84</v>
      </c>
      <c r="X550" t="s">
        <v>81</v>
      </c>
    </row>
    <row r="551" spans="1:24" ht="13.8" x14ac:dyDescent="0.25">
      <c r="A551" t="s">
        <v>1870</v>
      </c>
      <c r="B551">
        <f>YEAR(Retail_data[[#This Row],[Order Date]])</f>
        <v>2027</v>
      </c>
      <c r="C551" t="str">
        <f>TEXT(Retail_data[[#This Row],[Order Date]],"mmmm")</f>
        <v>March</v>
      </c>
      <c r="D551">
        <f>MONTH(Retail_data[[#This Row],[Order Date]])</f>
        <v>3</v>
      </c>
      <c r="E551" t="str">
        <f>"Q"&amp;ROUNDUP(MONTH(Retail_data[[#This Row],[Order Date]])/3,0)</f>
        <v>Q1</v>
      </c>
      <c r="F551" s="1">
        <v>46471</v>
      </c>
      <c r="G551" s="1">
        <v>46475</v>
      </c>
      <c r="H551" t="s">
        <v>1871</v>
      </c>
      <c r="I551" t="s">
        <v>1872</v>
      </c>
      <c r="J551" t="s">
        <v>33</v>
      </c>
      <c r="K551" t="s">
        <v>22</v>
      </c>
      <c r="L551" t="s">
        <v>23</v>
      </c>
      <c r="M551" t="s">
        <v>24</v>
      </c>
      <c r="N551" t="s">
        <v>25</v>
      </c>
      <c r="O551" t="s">
        <v>37</v>
      </c>
      <c r="P551" t="s">
        <v>38</v>
      </c>
      <c r="Q551" t="s">
        <v>649</v>
      </c>
      <c r="R551">
        <v>31440.02</v>
      </c>
      <c r="S551">
        <v>3</v>
      </c>
      <c r="T551">
        <v>0.3</v>
      </c>
      <c r="U551" t="str">
        <f>IF(Retail_data[[#This Row],[Sales]]&gt;30000,"High",IF(Retail_data[[#This Row],[Sales]]&gt;10000,"Medium","Low"))</f>
        <v>High</v>
      </c>
      <c r="V551" s="3">
        <f>Retail_data[[#This Row],[Profit]]/Retail_data[[#This Row],[Sales]]</f>
        <v>-6.4038763334120022E-2</v>
      </c>
      <c r="W551">
        <v>-2013.38</v>
      </c>
      <c r="X551" t="s">
        <v>48</v>
      </c>
    </row>
    <row r="552" spans="1:24" ht="13.8" x14ac:dyDescent="0.25">
      <c r="A552" t="s">
        <v>1873</v>
      </c>
      <c r="B552">
        <f>YEAR(Retail_data[[#This Row],[Order Date]])</f>
        <v>2027</v>
      </c>
      <c r="C552" t="str">
        <f>TEXT(Retail_data[[#This Row],[Order Date]],"mmmm")</f>
        <v>March</v>
      </c>
      <c r="D552">
        <f>MONTH(Retail_data[[#This Row],[Order Date]])</f>
        <v>3</v>
      </c>
      <c r="E552" t="str">
        <f>"Q"&amp;ROUNDUP(MONTH(Retail_data[[#This Row],[Order Date]])/3,0)</f>
        <v>Q1</v>
      </c>
      <c r="F552" s="1">
        <v>46472</v>
      </c>
      <c r="G552" s="1">
        <v>46476</v>
      </c>
      <c r="H552" t="s">
        <v>1874</v>
      </c>
      <c r="I552" t="s">
        <v>1875</v>
      </c>
      <c r="J552" t="s">
        <v>21</v>
      </c>
      <c r="K552" t="s">
        <v>22</v>
      </c>
      <c r="L552" t="s">
        <v>67</v>
      </c>
      <c r="M552" t="s">
        <v>68</v>
      </c>
      <c r="N552" t="s">
        <v>69</v>
      </c>
      <c r="O552" t="s">
        <v>26</v>
      </c>
      <c r="P552" t="s">
        <v>92</v>
      </c>
      <c r="Q552" t="s">
        <v>767</v>
      </c>
      <c r="R552">
        <v>48870.03</v>
      </c>
      <c r="S552">
        <v>3</v>
      </c>
      <c r="T552">
        <v>0</v>
      </c>
      <c r="U552" t="str">
        <f>IF(Retail_data[[#This Row],[Sales]]&gt;30000,"High",IF(Retail_data[[#This Row],[Sales]]&gt;10000,"Medium","Low"))</f>
        <v>High</v>
      </c>
      <c r="V552" s="3">
        <f>Retail_data[[#This Row],[Profit]]/Retail_data[[#This Row],[Sales]]</f>
        <v>0.28250136126374387</v>
      </c>
      <c r="W552">
        <v>13805.85</v>
      </c>
      <c r="X552" t="s">
        <v>40</v>
      </c>
    </row>
    <row r="553" spans="1:24" ht="13.8" x14ac:dyDescent="0.25">
      <c r="A553" t="s">
        <v>1876</v>
      </c>
      <c r="B553">
        <f>YEAR(Retail_data[[#This Row],[Order Date]])</f>
        <v>2027</v>
      </c>
      <c r="C553" t="str">
        <f>TEXT(Retail_data[[#This Row],[Order Date]],"mmmm")</f>
        <v>March</v>
      </c>
      <c r="D553">
        <f>MONTH(Retail_data[[#This Row],[Order Date]])</f>
        <v>3</v>
      </c>
      <c r="E553" t="str">
        <f>"Q"&amp;ROUNDUP(MONTH(Retail_data[[#This Row],[Order Date]])/3,0)</f>
        <v>Q1</v>
      </c>
      <c r="F553" s="1">
        <v>46473</v>
      </c>
      <c r="G553" s="1">
        <v>46477</v>
      </c>
      <c r="H553" t="s">
        <v>1877</v>
      </c>
      <c r="I553" t="s">
        <v>1878</v>
      </c>
      <c r="J553" t="s">
        <v>44</v>
      </c>
      <c r="K553" t="s">
        <v>22</v>
      </c>
      <c r="L553" t="s">
        <v>85</v>
      </c>
      <c r="M553" t="s">
        <v>86</v>
      </c>
      <c r="N553" t="s">
        <v>87</v>
      </c>
      <c r="O553" t="s">
        <v>26</v>
      </c>
      <c r="P553" t="s">
        <v>92</v>
      </c>
      <c r="Q553" t="s">
        <v>767</v>
      </c>
      <c r="R553">
        <v>41719.39</v>
      </c>
      <c r="S553">
        <v>2</v>
      </c>
      <c r="T553">
        <v>0</v>
      </c>
      <c r="U553" t="str">
        <f>IF(Retail_data[[#This Row],[Sales]]&gt;30000,"High",IF(Retail_data[[#This Row],[Sales]]&gt;10000,"Medium","Low"))</f>
        <v>High</v>
      </c>
      <c r="V553" s="3">
        <f>Retail_data[[#This Row],[Profit]]/Retail_data[[#This Row],[Sales]]</f>
        <v>0.1658447067418771</v>
      </c>
      <c r="W553">
        <v>6918.94</v>
      </c>
      <c r="X553" t="s">
        <v>40</v>
      </c>
    </row>
    <row r="554" spans="1:24" ht="13.8" x14ac:dyDescent="0.25">
      <c r="A554" t="s">
        <v>1879</v>
      </c>
      <c r="B554">
        <f>YEAR(Retail_data[[#This Row],[Order Date]])</f>
        <v>2027</v>
      </c>
      <c r="C554" t="str">
        <f>TEXT(Retail_data[[#This Row],[Order Date]],"mmmm")</f>
        <v>March</v>
      </c>
      <c r="D554">
        <f>MONTH(Retail_data[[#This Row],[Order Date]])</f>
        <v>3</v>
      </c>
      <c r="E554" t="str">
        <f>"Q"&amp;ROUNDUP(MONTH(Retail_data[[#This Row],[Order Date]])/3,0)</f>
        <v>Q1</v>
      </c>
      <c r="F554" s="1">
        <v>46474</v>
      </c>
      <c r="G554" s="1">
        <v>46478</v>
      </c>
      <c r="H554" t="s">
        <v>1880</v>
      </c>
      <c r="I554" t="s">
        <v>1881</v>
      </c>
      <c r="J554" t="s">
        <v>33</v>
      </c>
      <c r="K554" t="s">
        <v>22</v>
      </c>
      <c r="L554" t="s">
        <v>85</v>
      </c>
      <c r="M554" t="s">
        <v>86</v>
      </c>
      <c r="N554" t="s">
        <v>87</v>
      </c>
      <c r="O554" t="s">
        <v>26</v>
      </c>
      <c r="P554" t="s">
        <v>70</v>
      </c>
      <c r="Q554" t="s">
        <v>75</v>
      </c>
      <c r="R554">
        <v>16232.14</v>
      </c>
      <c r="S554">
        <v>8</v>
      </c>
      <c r="T554">
        <v>0.2</v>
      </c>
      <c r="U554" t="str">
        <f>IF(Retail_data[[#This Row],[Sales]]&gt;30000,"High",IF(Retail_data[[#This Row],[Sales]]&gt;10000,"Medium","Low"))</f>
        <v>Medium</v>
      </c>
      <c r="V554" s="3">
        <f>Retail_data[[#This Row],[Profit]]/Retail_data[[#This Row],[Sales]]</f>
        <v>0.13052561153366099</v>
      </c>
      <c r="W554">
        <v>2118.71</v>
      </c>
      <c r="X554" t="s">
        <v>81</v>
      </c>
    </row>
    <row r="555" spans="1:24" ht="13.8" x14ac:dyDescent="0.25">
      <c r="A555" t="s">
        <v>1882</v>
      </c>
      <c r="B555">
        <f>YEAR(Retail_data[[#This Row],[Order Date]])</f>
        <v>2027</v>
      </c>
      <c r="C555" t="str">
        <f>TEXT(Retail_data[[#This Row],[Order Date]],"mmmm")</f>
        <v>March</v>
      </c>
      <c r="D555">
        <f>MONTH(Retail_data[[#This Row],[Order Date]])</f>
        <v>3</v>
      </c>
      <c r="E555" t="str">
        <f>"Q"&amp;ROUNDUP(MONTH(Retail_data[[#This Row],[Order Date]])/3,0)</f>
        <v>Q1</v>
      </c>
      <c r="F555" s="1">
        <v>46475</v>
      </c>
      <c r="G555" s="1">
        <v>46479</v>
      </c>
      <c r="H555" t="s">
        <v>1883</v>
      </c>
      <c r="I555" t="s">
        <v>1884</v>
      </c>
      <c r="J555" t="s">
        <v>21</v>
      </c>
      <c r="K555" t="s">
        <v>22</v>
      </c>
      <c r="L555" t="s">
        <v>34</v>
      </c>
      <c r="M555" t="s">
        <v>35</v>
      </c>
      <c r="N555" t="s">
        <v>36</v>
      </c>
      <c r="O555" t="s">
        <v>37</v>
      </c>
      <c r="P555" t="s">
        <v>38</v>
      </c>
      <c r="Q555" t="s">
        <v>1157</v>
      </c>
      <c r="R555">
        <v>17813.54</v>
      </c>
      <c r="S555">
        <v>7</v>
      </c>
      <c r="T555">
        <v>0.2</v>
      </c>
      <c r="U555" t="str">
        <f>IF(Retail_data[[#This Row],[Sales]]&gt;30000,"High",IF(Retail_data[[#This Row],[Sales]]&gt;10000,"Medium","Low"))</f>
        <v>Medium</v>
      </c>
      <c r="V555" s="3">
        <f>Retail_data[[#This Row],[Profit]]/Retail_data[[#This Row],[Sales]]</f>
        <v>-1.056892678266083E-2</v>
      </c>
      <c r="W555">
        <v>-188.27</v>
      </c>
      <c r="X555" t="s">
        <v>48</v>
      </c>
    </row>
    <row r="556" spans="1:24" ht="13.8" x14ac:dyDescent="0.25">
      <c r="A556" t="s">
        <v>1885</v>
      </c>
      <c r="B556">
        <f>YEAR(Retail_data[[#This Row],[Order Date]])</f>
        <v>2027</v>
      </c>
      <c r="C556" t="str">
        <f>TEXT(Retail_data[[#This Row],[Order Date]],"mmmm")</f>
        <v>March</v>
      </c>
      <c r="D556">
        <f>MONTH(Retail_data[[#This Row],[Order Date]])</f>
        <v>3</v>
      </c>
      <c r="E556" t="str">
        <f>"Q"&amp;ROUNDUP(MONTH(Retail_data[[#This Row],[Order Date]])/3,0)</f>
        <v>Q1</v>
      </c>
      <c r="F556" s="1">
        <v>46476</v>
      </c>
      <c r="G556" s="1">
        <v>46480</v>
      </c>
      <c r="H556" t="s">
        <v>1886</v>
      </c>
      <c r="I556" t="s">
        <v>1887</v>
      </c>
      <c r="J556" t="s">
        <v>44</v>
      </c>
      <c r="K556" t="s">
        <v>22</v>
      </c>
      <c r="L556" t="s">
        <v>23</v>
      </c>
      <c r="M556" t="s">
        <v>24</v>
      </c>
      <c r="N556" t="s">
        <v>25</v>
      </c>
      <c r="O556" t="s">
        <v>57</v>
      </c>
      <c r="P556" t="s">
        <v>58</v>
      </c>
      <c r="Q556" t="s">
        <v>549</v>
      </c>
      <c r="R556">
        <v>44701.58</v>
      </c>
      <c r="S556">
        <v>2</v>
      </c>
      <c r="T556">
        <v>0.3</v>
      </c>
      <c r="U556" t="str">
        <f>IF(Retail_data[[#This Row],[Sales]]&gt;30000,"High",IF(Retail_data[[#This Row],[Sales]]&gt;10000,"Medium","Low"))</f>
        <v>High</v>
      </c>
      <c r="V556" s="3">
        <f>Retail_data[[#This Row],[Profit]]/Retail_data[[#This Row],[Sales]]</f>
        <v>6.8498249950001769E-2</v>
      </c>
      <c r="W556">
        <v>3061.98</v>
      </c>
      <c r="X556" t="s">
        <v>48</v>
      </c>
    </row>
    <row r="557" spans="1:24" ht="13.8" x14ac:dyDescent="0.25">
      <c r="A557" t="s">
        <v>1888</v>
      </c>
      <c r="B557">
        <f>YEAR(Retail_data[[#This Row],[Order Date]])</f>
        <v>2027</v>
      </c>
      <c r="C557" t="str">
        <f>TEXT(Retail_data[[#This Row],[Order Date]],"mmmm")</f>
        <v>March</v>
      </c>
      <c r="D557">
        <f>MONTH(Retail_data[[#This Row],[Order Date]])</f>
        <v>3</v>
      </c>
      <c r="E557" t="str">
        <f>"Q"&amp;ROUNDUP(MONTH(Retail_data[[#This Row],[Order Date]])/3,0)</f>
        <v>Q1</v>
      </c>
      <c r="F557" s="1">
        <v>46477</v>
      </c>
      <c r="G557" s="1">
        <v>46481</v>
      </c>
      <c r="H557" t="s">
        <v>1889</v>
      </c>
      <c r="I557" t="s">
        <v>1890</v>
      </c>
      <c r="J557" t="s">
        <v>21</v>
      </c>
      <c r="K557" t="s">
        <v>22</v>
      </c>
      <c r="L557" t="s">
        <v>23</v>
      </c>
      <c r="M557" t="s">
        <v>24</v>
      </c>
      <c r="N557" t="s">
        <v>25</v>
      </c>
      <c r="O557" t="s">
        <v>26</v>
      </c>
      <c r="P557" t="s">
        <v>70</v>
      </c>
      <c r="Q557" t="s">
        <v>231</v>
      </c>
      <c r="R557">
        <v>18752.16</v>
      </c>
      <c r="S557">
        <v>8</v>
      </c>
      <c r="T557">
        <v>0.1</v>
      </c>
      <c r="U557" t="str">
        <f>IF(Retail_data[[#This Row],[Sales]]&gt;30000,"High",IF(Retail_data[[#This Row],[Sales]]&gt;10000,"Medium","Low"))</f>
        <v>Medium</v>
      </c>
      <c r="V557" s="3">
        <f>Retail_data[[#This Row],[Profit]]/Retail_data[[#This Row],[Sales]]</f>
        <v>0.11645858397112652</v>
      </c>
      <c r="W557">
        <v>2183.85</v>
      </c>
      <c r="X557" t="s">
        <v>29</v>
      </c>
    </row>
    <row r="558" spans="1:24" ht="13.8" x14ac:dyDescent="0.25">
      <c r="A558" t="s">
        <v>1891</v>
      </c>
      <c r="B558">
        <f>YEAR(Retail_data[[#This Row],[Order Date]])</f>
        <v>2027</v>
      </c>
      <c r="C558" t="str">
        <f>TEXT(Retail_data[[#This Row],[Order Date]],"mmmm")</f>
        <v>April</v>
      </c>
      <c r="D558">
        <f>MONTH(Retail_data[[#This Row],[Order Date]])</f>
        <v>4</v>
      </c>
      <c r="E558" t="str">
        <f>"Q"&amp;ROUNDUP(MONTH(Retail_data[[#This Row],[Order Date]])/3,0)</f>
        <v>Q2</v>
      </c>
      <c r="F558" s="1">
        <v>46478</v>
      </c>
      <c r="G558" s="1">
        <v>46482</v>
      </c>
      <c r="H558" t="s">
        <v>1892</v>
      </c>
      <c r="I558" t="s">
        <v>1893</v>
      </c>
      <c r="J558" t="s">
        <v>44</v>
      </c>
      <c r="K558" t="s">
        <v>22</v>
      </c>
      <c r="L558" t="s">
        <v>67</v>
      </c>
      <c r="M558" t="s">
        <v>68</v>
      </c>
      <c r="N558" t="s">
        <v>69</v>
      </c>
      <c r="O558" t="s">
        <v>57</v>
      </c>
      <c r="P558" t="s">
        <v>79</v>
      </c>
      <c r="Q558" t="s">
        <v>137</v>
      </c>
      <c r="R558">
        <v>22002.58</v>
      </c>
      <c r="S558">
        <v>7</v>
      </c>
      <c r="T558">
        <v>0</v>
      </c>
      <c r="U558" t="str">
        <f>IF(Retail_data[[#This Row],[Sales]]&gt;30000,"High",IF(Retail_data[[#This Row],[Sales]]&gt;10000,"Medium","Low"))</f>
        <v>Medium</v>
      </c>
      <c r="V558" s="3">
        <f>Retail_data[[#This Row],[Profit]]/Retail_data[[#This Row],[Sales]]</f>
        <v>0.29857316732855871</v>
      </c>
      <c r="W558">
        <v>6569.38</v>
      </c>
      <c r="X558" t="s">
        <v>48</v>
      </c>
    </row>
    <row r="559" spans="1:24" ht="13.8" x14ac:dyDescent="0.25">
      <c r="A559" t="s">
        <v>1894</v>
      </c>
      <c r="B559">
        <f>YEAR(Retail_data[[#This Row],[Order Date]])</f>
        <v>2027</v>
      </c>
      <c r="C559" t="str">
        <f>TEXT(Retail_data[[#This Row],[Order Date]],"mmmm")</f>
        <v>April</v>
      </c>
      <c r="D559">
        <f>MONTH(Retail_data[[#This Row],[Order Date]])</f>
        <v>4</v>
      </c>
      <c r="E559" t="str">
        <f>"Q"&amp;ROUNDUP(MONTH(Retail_data[[#This Row],[Order Date]])/3,0)</f>
        <v>Q2</v>
      </c>
      <c r="F559" s="1">
        <v>46479</v>
      </c>
      <c r="G559" s="1">
        <v>46483</v>
      </c>
      <c r="H559" t="s">
        <v>1895</v>
      </c>
      <c r="I559" t="s">
        <v>1896</v>
      </c>
      <c r="J559" t="s">
        <v>33</v>
      </c>
      <c r="K559" t="s">
        <v>22</v>
      </c>
      <c r="L559" t="s">
        <v>67</v>
      </c>
      <c r="M559" t="s">
        <v>68</v>
      </c>
      <c r="N559" t="s">
        <v>69</v>
      </c>
      <c r="O559" t="s">
        <v>26</v>
      </c>
      <c r="P559" t="s">
        <v>70</v>
      </c>
      <c r="Q559" t="s">
        <v>161</v>
      </c>
      <c r="R559">
        <v>11935.57</v>
      </c>
      <c r="S559">
        <v>1</v>
      </c>
      <c r="T559">
        <v>0.3</v>
      </c>
      <c r="U559" t="str">
        <f>IF(Retail_data[[#This Row],[Sales]]&gt;30000,"High",IF(Retail_data[[#This Row],[Sales]]&gt;10000,"Medium","Low"))</f>
        <v>Medium</v>
      </c>
      <c r="V559" s="3">
        <f>Retail_data[[#This Row],[Profit]]/Retail_data[[#This Row],[Sales]]</f>
        <v>0.16095670336649193</v>
      </c>
      <c r="W559">
        <v>1921.11</v>
      </c>
      <c r="X559" t="s">
        <v>81</v>
      </c>
    </row>
    <row r="560" spans="1:24" ht="13.8" x14ac:dyDescent="0.25">
      <c r="A560" t="s">
        <v>1897</v>
      </c>
      <c r="B560">
        <f>YEAR(Retail_data[[#This Row],[Order Date]])</f>
        <v>2027</v>
      </c>
      <c r="C560" t="str">
        <f>TEXT(Retail_data[[#This Row],[Order Date]],"mmmm")</f>
        <v>April</v>
      </c>
      <c r="D560">
        <f>MONTH(Retail_data[[#This Row],[Order Date]])</f>
        <v>4</v>
      </c>
      <c r="E560" t="str">
        <f>"Q"&amp;ROUNDUP(MONTH(Retail_data[[#This Row],[Order Date]])/3,0)</f>
        <v>Q2</v>
      </c>
      <c r="F560" s="1">
        <v>46480</v>
      </c>
      <c r="G560" s="1">
        <v>46484</v>
      </c>
      <c r="H560" t="s">
        <v>1898</v>
      </c>
      <c r="I560" t="s">
        <v>1899</v>
      </c>
      <c r="J560" t="s">
        <v>44</v>
      </c>
      <c r="K560" t="s">
        <v>22</v>
      </c>
      <c r="L560" t="s">
        <v>85</v>
      </c>
      <c r="M560" t="s">
        <v>86</v>
      </c>
      <c r="N560" t="s">
        <v>87</v>
      </c>
      <c r="O560" t="s">
        <v>37</v>
      </c>
      <c r="P560" t="s">
        <v>38</v>
      </c>
      <c r="Q560" t="s">
        <v>664</v>
      </c>
      <c r="R560">
        <v>30633.29</v>
      </c>
      <c r="S560">
        <v>8</v>
      </c>
      <c r="T560">
        <v>0.3</v>
      </c>
      <c r="U560" t="str">
        <f>IF(Retail_data[[#This Row],[Sales]]&gt;30000,"High",IF(Retail_data[[#This Row],[Sales]]&gt;10000,"Medium","Low"))</f>
        <v>High</v>
      </c>
      <c r="V560" s="3">
        <f>Retail_data[[#This Row],[Profit]]/Retail_data[[#This Row],[Sales]]</f>
        <v>-3.3790036917353633E-2</v>
      </c>
      <c r="W560">
        <v>-1035.0999999999999</v>
      </c>
      <c r="X560" t="s">
        <v>29</v>
      </c>
    </row>
    <row r="561" spans="1:24" ht="13.8" x14ac:dyDescent="0.25">
      <c r="A561" t="s">
        <v>1900</v>
      </c>
      <c r="B561">
        <f>YEAR(Retail_data[[#This Row],[Order Date]])</f>
        <v>2027</v>
      </c>
      <c r="C561" t="str">
        <f>TEXT(Retail_data[[#This Row],[Order Date]],"mmmm")</f>
        <v>April</v>
      </c>
      <c r="D561">
        <f>MONTH(Retail_data[[#This Row],[Order Date]])</f>
        <v>4</v>
      </c>
      <c r="E561" t="str">
        <f>"Q"&amp;ROUNDUP(MONTH(Retail_data[[#This Row],[Order Date]])/3,0)</f>
        <v>Q2</v>
      </c>
      <c r="F561" s="1">
        <v>46481</v>
      </c>
      <c r="G561" s="1">
        <v>46485</v>
      </c>
      <c r="H561" t="s">
        <v>1901</v>
      </c>
      <c r="I561" t="s">
        <v>1902</v>
      </c>
      <c r="J561" t="s">
        <v>44</v>
      </c>
      <c r="K561" t="s">
        <v>22</v>
      </c>
      <c r="L561" t="s">
        <v>23</v>
      </c>
      <c r="M561" t="s">
        <v>24</v>
      </c>
      <c r="N561" t="s">
        <v>25</v>
      </c>
      <c r="O561" t="s">
        <v>26</v>
      </c>
      <c r="P561" t="s">
        <v>27</v>
      </c>
      <c r="Q561" t="s">
        <v>511</v>
      </c>
      <c r="R561">
        <v>35904.79</v>
      </c>
      <c r="S561">
        <v>1</v>
      </c>
      <c r="T561">
        <v>0</v>
      </c>
      <c r="U561" t="str">
        <f>IF(Retail_data[[#This Row],[Sales]]&gt;30000,"High",IF(Retail_data[[#This Row],[Sales]]&gt;10000,"Medium","Low"))</f>
        <v>High</v>
      </c>
      <c r="V561" s="3">
        <f>Retail_data[[#This Row],[Profit]]/Retail_data[[#This Row],[Sales]]</f>
        <v>6.5654192657859864E-2</v>
      </c>
      <c r="W561">
        <v>2357.3000000000002</v>
      </c>
      <c r="X561" t="s">
        <v>81</v>
      </c>
    </row>
    <row r="562" spans="1:24" ht="13.8" x14ac:dyDescent="0.25">
      <c r="A562" t="s">
        <v>1903</v>
      </c>
      <c r="B562">
        <f>YEAR(Retail_data[[#This Row],[Order Date]])</f>
        <v>2027</v>
      </c>
      <c r="C562" t="str">
        <f>TEXT(Retail_data[[#This Row],[Order Date]],"mmmm")</f>
        <v>April</v>
      </c>
      <c r="D562">
        <f>MONTH(Retail_data[[#This Row],[Order Date]])</f>
        <v>4</v>
      </c>
      <c r="E562" t="str">
        <f>"Q"&amp;ROUNDUP(MONTH(Retail_data[[#This Row],[Order Date]])/3,0)</f>
        <v>Q2</v>
      </c>
      <c r="F562" s="1">
        <v>46482</v>
      </c>
      <c r="G562" s="1">
        <v>46486</v>
      </c>
      <c r="H562" t="s">
        <v>1904</v>
      </c>
      <c r="I562" t="s">
        <v>1905</v>
      </c>
      <c r="J562" t="s">
        <v>44</v>
      </c>
      <c r="K562" t="s">
        <v>22</v>
      </c>
      <c r="L562" t="s">
        <v>67</v>
      </c>
      <c r="M562" t="s">
        <v>68</v>
      </c>
      <c r="N562" t="s">
        <v>69</v>
      </c>
      <c r="O562" t="s">
        <v>26</v>
      </c>
      <c r="P562" t="s">
        <v>92</v>
      </c>
      <c r="Q562" t="s">
        <v>631</v>
      </c>
      <c r="R562">
        <v>18717.990000000002</v>
      </c>
      <c r="S562">
        <v>5</v>
      </c>
      <c r="T562">
        <v>0.1</v>
      </c>
      <c r="U562" t="str">
        <f>IF(Retail_data[[#This Row],[Sales]]&gt;30000,"High",IF(Retail_data[[#This Row],[Sales]]&gt;10000,"Medium","Low"))</f>
        <v>Medium</v>
      </c>
      <c r="V562" s="3">
        <f>Retail_data[[#This Row],[Profit]]/Retail_data[[#This Row],[Sales]]</f>
        <v>0.11750300112351807</v>
      </c>
      <c r="W562">
        <v>2199.42</v>
      </c>
      <c r="X562" t="s">
        <v>48</v>
      </c>
    </row>
    <row r="563" spans="1:24" ht="13.8" x14ac:dyDescent="0.25">
      <c r="A563" t="s">
        <v>1906</v>
      </c>
      <c r="B563">
        <f>YEAR(Retail_data[[#This Row],[Order Date]])</f>
        <v>2027</v>
      </c>
      <c r="C563" t="str">
        <f>TEXT(Retail_data[[#This Row],[Order Date]],"mmmm")</f>
        <v>April</v>
      </c>
      <c r="D563">
        <f>MONTH(Retail_data[[#This Row],[Order Date]])</f>
        <v>4</v>
      </c>
      <c r="E563" t="str">
        <f>"Q"&amp;ROUNDUP(MONTH(Retail_data[[#This Row],[Order Date]])/3,0)</f>
        <v>Q2</v>
      </c>
      <c r="F563" s="1">
        <v>46483</v>
      </c>
      <c r="G563" s="1">
        <v>46487</v>
      </c>
      <c r="H563" t="s">
        <v>1907</v>
      </c>
      <c r="I563" t="s">
        <v>1908</v>
      </c>
      <c r="J563" t="s">
        <v>44</v>
      </c>
      <c r="K563" t="s">
        <v>22</v>
      </c>
      <c r="L563" t="s">
        <v>45</v>
      </c>
      <c r="M563" t="s">
        <v>45</v>
      </c>
      <c r="N563" t="s">
        <v>25</v>
      </c>
      <c r="O563" t="s">
        <v>26</v>
      </c>
      <c r="P563" t="s">
        <v>70</v>
      </c>
      <c r="Q563" t="s">
        <v>677</v>
      </c>
      <c r="R563">
        <v>23781.83</v>
      </c>
      <c r="S563">
        <v>7</v>
      </c>
      <c r="T563">
        <v>0</v>
      </c>
      <c r="U563" t="str">
        <f>IF(Retail_data[[#This Row],[Sales]]&gt;30000,"High",IF(Retail_data[[#This Row],[Sales]]&gt;10000,"Medium","Low"))</f>
        <v>Medium</v>
      </c>
      <c r="V563" s="3">
        <f>Retail_data[[#This Row],[Profit]]/Retail_data[[#This Row],[Sales]]</f>
        <v>8.7402020786457549E-2</v>
      </c>
      <c r="W563">
        <v>2078.58</v>
      </c>
      <c r="X563" t="s">
        <v>40</v>
      </c>
    </row>
    <row r="564" spans="1:24" ht="13.8" x14ac:dyDescent="0.25">
      <c r="A564" t="s">
        <v>1909</v>
      </c>
      <c r="B564">
        <f>YEAR(Retail_data[[#This Row],[Order Date]])</f>
        <v>2027</v>
      </c>
      <c r="C564" t="str">
        <f>TEXT(Retail_data[[#This Row],[Order Date]],"mmmm")</f>
        <v>April</v>
      </c>
      <c r="D564">
        <f>MONTH(Retail_data[[#This Row],[Order Date]])</f>
        <v>4</v>
      </c>
      <c r="E564" t="str">
        <f>"Q"&amp;ROUNDUP(MONTH(Retail_data[[#This Row],[Order Date]])/3,0)</f>
        <v>Q2</v>
      </c>
      <c r="F564" s="1">
        <v>46484</v>
      </c>
      <c r="G564" s="1">
        <v>46488</v>
      </c>
      <c r="H564" t="s">
        <v>1910</v>
      </c>
      <c r="I564" t="s">
        <v>1911</v>
      </c>
      <c r="J564" t="s">
        <v>21</v>
      </c>
      <c r="K564" t="s">
        <v>22</v>
      </c>
      <c r="L564" t="s">
        <v>34</v>
      </c>
      <c r="M564" t="s">
        <v>35</v>
      </c>
      <c r="N564" t="s">
        <v>36</v>
      </c>
      <c r="O564" t="s">
        <v>37</v>
      </c>
      <c r="P564" t="s">
        <v>46</v>
      </c>
      <c r="Q564" t="s">
        <v>129</v>
      </c>
      <c r="R564">
        <v>38601.9</v>
      </c>
      <c r="S564">
        <v>2</v>
      </c>
      <c r="T564">
        <v>0.1</v>
      </c>
      <c r="U564" t="str">
        <f>IF(Retail_data[[#This Row],[Sales]]&gt;30000,"High",IF(Retail_data[[#This Row],[Sales]]&gt;10000,"Medium","Low"))</f>
        <v>High</v>
      </c>
      <c r="V564" s="3">
        <f>Retail_data[[#This Row],[Profit]]/Retail_data[[#This Row],[Sales]]</f>
        <v>0.1584683655467736</v>
      </c>
      <c r="W564">
        <v>6117.18</v>
      </c>
      <c r="X564" t="s">
        <v>81</v>
      </c>
    </row>
    <row r="565" spans="1:24" ht="13.8" x14ac:dyDescent="0.25">
      <c r="A565" t="s">
        <v>1912</v>
      </c>
      <c r="B565">
        <f>YEAR(Retail_data[[#This Row],[Order Date]])</f>
        <v>2027</v>
      </c>
      <c r="C565" t="str">
        <f>TEXT(Retail_data[[#This Row],[Order Date]],"mmmm")</f>
        <v>April</v>
      </c>
      <c r="D565">
        <f>MONTH(Retail_data[[#This Row],[Order Date]])</f>
        <v>4</v>
      </c>
      <c r="E565" t="str">
        <f>"Q"&amp;ROUNDUP(MONTH(Retail_data[[#This Row],[Order Date]])/3,0)</f>
        <v>Q2</v>
      </c>
      <c r="F565" s="1">
        <v>46485</v>
      </c>
      <c r="G565" s="1">
        <v>46489</v>
      </c>
      <c r="H565" t="s">
        <v>1913</v>
      </c>
      <c r="I565" t="s">
        <v>1914</v>
      </c>
      <c r="J565" t="s">
        <v>33</v>
      </c>
      <c r="K565" t="s">
        <v>22</v>
      </c>
      <c r="L565" t="s">
        <v>67</v>
      </c>
      <c r="M565" t="s">
        <v>68</v>
      </c>
      <c r="N565" t="s">
        <v>69</v>
      </c>
      <c r="O565" t="s">
        <v>26</v>
      </c>
      <c r="P565" t="s">
        <v>92</v>
      </c>
      <c r="Q565" t="s">
        <v>121</v>
      </c>
      <c r="R565">
        <v>39141.85</v>
      </c>
      <c r="S565">
        <v>4</v>
      </c>
      <c r="T565">
        <v>0.2</v>
      </c>
      <c r="U565" t="str">
        <f>IF(Retail_data[[#This Row],[Sales]]&gt;30000,"High",IF(Retail_data[[#This Row],[Sales]]&gt;10000,"Medium","Low"))</f>
        <v>High</v>
      </c>
      <c r="V565" s="3">
        <f>Retail_data[[#This Row],[Profit]]/Retail_data[[#This Row],[Sales]]</f>
        <v>4.5593910354262766E-2</v>
      </c>
      <c r="W565">
        <v>1784.63</v>
      </c>
      <c r="X565" t="s">
        <v>40</v>
      </c>
    </row>
    <row r="566" spans="1:24" ht="13.8" x14ac:dyDescent="0.25">
      <c r="A566" t="s">
        <v>1915</v>
      </c>
      <c r="B566">
        <f>YEAR(Retail_data[[#This Row],[Order Date]])</f>
        <v>2027</v>
      </c>
      <c r="C566" t="str">
        <f>TEXT(Retail_data[[#This Row],[Order Date]],"mmmm")</f>
        <v>April</v>
      </c>
      <c r="D566">
        <f>MONTH(Retail_data[[#This Row],[Order Date]])</f>
        <v>4</v>
      </c>
      <c r="E566" t="str">
        <f>"Q"&amp;ROUNDUP(MONTH(Retail_data[[#This Row],[Order Date]])/3,0)</f>
        <v>Q2</v>
      </c>
      <c r="F566" s="1">
        <v>46486</v>
      </c>
      <c r="G566" s="1">
        <v>46490</v>
      </c>
      <c r="H566" t="s">
        <v>1916</v>
      </c>
      <c r="I566" t="s">
        <v>1917</v>
      </c>
      <c r="J566" t="s">
        <v>21</v>
      </c>
      <c r="K566" t="s">
        <v>22</v>
      </c>
      <c r="L566" t="s">
        <v>67</v>
      </c>
      <c r="M566" t="s">
        <v>68</v>
      </c>
      <c r="N566" t="s">
        <v>69</v>
      </c>
      <c r="O566" t="s">
        <v>57</v>
      </c>
      <c r="P566" t="s">
        <v>79</v>
      </c>
      <c r="Q566" t="s">
        <v>866</v>
      </c>
      <c r="R566">
        <v>22969.1</v>
      </c>
      <c r="S566">
        <v>6</v>
      </c>
      <c r="T566">
        <v>0.2</v>
      </c>
      <c r="U566" t="str">
        <f>IF(Retail_data[[#This Row],[Sales]]&gt;30000,"High",IF(Retail_data[[#This Row],[Sales]]&gt;10000,"Medium","Low"))</f>
        <v>Medium</v>
      </c>
      <c r="V566" s="3">
        <f>Retail_data[[#This Row],[Profit]]/Retail_data[[#This Row],[Sales]]</f>
        <v>7.5893700667418407E-2</v>
      </c>
      <c r="W566">
        <v>1743.21</v>
      </c>
      <c r="X566" t="s">
        <v>48</v>
      </c>
    </row>
    <row r="567" spans="1:24" ht="13.8" x14ac:dyDescent="0.25">
      <c r="A567" t="s">
        <v>1918</v>
      </c>
      <c r="B567">
        <f>YEAR(Retail_data[[#This Row],[Order Date]])</f>
        <v>2027</v>
      </c>
      <c r="C567" t="str">
        <f>TEXT(Retail_data[[#This Row],[Order Date]],"mmmm")</f>
        <v>April</v>
      </c>
      <c r="D567">
        <f>MONTH(Retail_data[[#This Row],[Order Date]])</f>
        <v>4</v>
      </c>
      <c r="E567" t="str">
        <f>"Q"&amp;ROUNDUP(MONTH(Retail_data[[#This Row],[Order Date]])/3,0)</f>
        <v>Q2</v>
      </c>
      <c r="F567" s="1">
        <v>46487</v>
      </c>
      <c r="G567" s="1">
        <v>46491</v>
      </c>
      <c r="H567" t="s">
        <v>1919</v>
      </c>
      <c r="I567" t="s">
        <v>1920</v>
      </c>
      <c r="J567" t="s">
        <v>21</v>
      </c>
      <c r="K567" t="s">
        <v>22</v>
      </c>
      <c r="L567" t="s">
        <v>34</v>
      </c>
      <c r="M567" t="s">
        <v>35</v>
      </c>
      <c r="N567" t="s">
        <v>36</v>
      </c>
      <c r="O567" t="s">
        <v>57</v>
      </c>
      <c r="P567" t="s">
        <v>58</v>
      </c>
      <c r="Q567" t="s">
        <v>1093</v>
      </c>
      <c r="R567">
        <v>25846.7</v>
      </c>
      <c r="S567">
        <v>5</v>
      </c>
      <c r="T567">
        <v>0.3</v>
      </c>
      <c r="U567" t="str">
        <f>IF(Retail_data[[#This Row],[Sales]]&gt;30000,"High",IF(Retail_data[[#This Row],[Sales]]&gt;10000,"Medium","Low"))</f>
        <v>Medium</v>
      </c>
      <c r="V567" s="3">
        <f>Retail_data[[#This Row],[Profit]]/Retail_data[[#This Row],[Sales]]</f>
        <v>6.777809159389786E-2</v>
      </c>
      <c r="W567">
        <v>1751.84</v>
      </c>
      <c r="X567" t="s">
        <v>29</v>
      </c>
    </row>
    <row r="568" spans="1:24" ht="13.8" x14ac:dyDescent="0.25">
      <c r="A568" t="s">
        <v>1921</v>
      </c>
      <c r="B568">
        <f>YEAR(Retail_data[[#This Row],[Order Date]])</f>
        <v>2027</v>
      </c>
      <c r="C568" t="str">
        <f>TEXT(Retail_data[[#This Row],[Order Date]],"mmmm")</f>
        <v>April</v>
      </c>
      <c r="D568">
        <f>MONTH(Retail_data[[#This Row],[Order Date]])</f>
        <v>4</v>
      </c>
      <c r="E568" t="str">
        <f>"Q"&amp;ROUNDUP(MONTH(Retail_data[[#This Row],[Order Date]])/3,0)</f>
        <v>Q2</v>
      </c>
      <c r="F568" s="1">
        <v>46488</v>
      </c>
      <c r="G568" s="1">
        <v>46492</v>
      </c>
      <c r="H568" t="s">
        <v>1922</v>
      </c>
      <c r="I568" t="s">
        <v>1923</v>
      </c>
      <c r="J568" t="s">
        <v>21</v>
      </c>
      <c r="K568" t="s">
        <v>22</v>
      </c>
      <c r="L568" t="s">
        <v>23</v>
      </c>
      <c r="M568" t="s">
        <v>24</v>
      </c>
      <c r="N568" t="s">
        <v>25</v>
      </c>
      <c r="O568" t="s">
        <v>57</v>
      </c>
      <c r="P568" t="s">
        <v>58</v>
      </c>
      <c r="Q568" t="s">
        <v>731</v>
      </c>
      <c r="R568">
        <v>29035.62</v>
      </c>
      <c r="S568">
        <v>7</v>
      </c>
      <c r="T568">
        <v>0.3</v>
      </c>
      <c r="U568" t="str">
        <f>IF(Retail_data[[#This Row],[Sales]]&gt;30000,"High",IF(Retail_data[[#This Row],[Sales]]&gt;10000,"Medium","Low"))</f>
        <v>Medium</v>
      </c>
      <c r="V568" s="3">
        <f>Retail_data[[#This Row],[Profit]]/Retail_data[[#This Row],[Sales]]</f>
        <v>3.0085460548112973E-2</v>
      </c>
      <c r="W568">
        <v>873.55</v>
      </c>
      <c r="X568" t="s">
        <v>48</v>
      </c>
    </row>
    <row r="569" spans="1:24" ht="13.8" x14ac:dyDescent="0.25">
      <c r="A569" t="s">
        <v>1924</v>
      </c>
      <c r="B569">
        <f>YEAR(Retail_data[[#This Row],[Order Date]])</f>
        <v>2027</v>
      </c>
      <c r="C569" t="str">
        <f>TEXT(Retail_data[[#This Row],[Order Date]],"mmmm")</f>
        <v>April</v>
      </c>
      <c r="D569">
        <f>MONTH(Retail_data[[#This Row],[Order Date]])</f>
        <v>4</v>
      </c>
      <c r="E569" t="str">
        <f>"Q"&amp;ROUNDUP(MONTH(Retail_data[[#This Row],[Order Date]])/3,0)</f>
        <v>Q2</v>
      </c>
      <c r="F569" s="1">
        <v>46489</v>
      </c>
      <c r="G569" s="1">
        <v>46493</v>
      </c>
      <c r="H569" t="s">
        <v>1925</v>
      </c>
      <c r="I569" t="s">
        <v>1926</v>
      </c>
      <c r="J569" t="s">
        <v>21</v>
      </c>
      <c r="K569" t="s">
        <v>22</v>
      </c>
      <c r="L569" t="s">
        <v>23</v>
      </c>
      <c r="M569" t="s">
        <v>24</v>
      </c>
      <c r="N569" t="s">
        <v>25</v>
      </c>
      <c r="O569" t="s">
        <v>37</v>
      </c>
      <c r="P569" t="s">
        <v>52</v>
      </c>
      <c r="Q569" t="s">
        <v>1927</v>
      </c>
      <c r="R569">
        <v>37452.92</v>
      </c>
      <c r="S569">
        <v>5</v>
      </c>
      <c r="T569">
        <v>0</v>
      </c>
      <c r="U569" t="str">
        <f>IF(Retail_data[[#This Row],[Sales]]&gt;30000,"High",IF(Retail_data[[#This Row],[Sales]]&gt;10000,"Medium","Low"))</f>
        <v>High</v>
      </c>
      <c r="V569" s="3">
        <f>Retail_data[[#This Row],[Profit]]/Retail_data[[#This Row],[Sales]]</f>
        <v>0.13392093326768648</v>
      </c>
      <c r="W569">
        <v>5015.7299999999996</v>
      </c>
      <c r="X569" t="s">
        <v>48</v>
      </c>
    </row>
    <row r="570" spans="1:24" ht="13.8" x14ac:dyDescent="0.25">
      <c r="A570" t="s">
        <v>1928</v>
      </c>
      <c r="B570">
        <f>YEAR(Retail_data[[#This Row],[Order Date]])</f>
        <v>2027</v>
      </c>
      <c r="C570" t="str">
        <f>TEXT(Retail_data[[#This Row],[Order Date]],"mmmm")</f>
        <v>April</v>
      </c>
      <c r="D570">
        <f>MONTH(Retail_data[[#This Row],[Order Date]])</f>
        <v>4</v>
      </c>
      <c r="E570" t="str">
        <f>"Q"&amp;ROUNDUP(MONTH(Retail_data[[#This Row],[Order Date]])/3,0)</f>
        <v>Q2</v>
      </c>
      <c r="F570" s="1">
        <v>46490</v>
      </c>
      <c r="G570" s="1">
        <v>46494</v>
      </c>
      <c r="H570" t="s">
        <v>1929</v>
      </c>
      <c r="I570" t="s">
        <v>1930</v>
      </c>
      <c r="J570" t="s">
        <v>21</v>
      </c>
      <c r="K570" t="s">
        <v>22</v>
      </c>
      <c r="L570" t="s">
        <v>67</v>
      </c>
      <c r="M570" t="s">
        <v>68</v>
      </c>
      <c r="N570" t="s">
        <v>69</v>
      </c>
      <c r="O570" t="s">
        <v>57</v>
      </c>
      <c r="P570" t="s">
        <v>149</v>
      </c>
      <c r="Q570" t="s">
        <v>262</v>
      </c>
      <c r="R570">
        <v>28009.599999999999</v>
      </c>
      <c r="S570">
        <v>8</v>
      </c>
      <c r="T570">
        <v>0.1</v>
      </c>
      <c r="U570" t="str">
        <f>IF(Retail_data[[#This Row],[Sales]]&gt;30000,"High",IF(Retail_data[[#This Row],[Sales]]&gt;10000,"Medium","Low"))</f>
        <v>Medium</v>
      </c>
      <c r="V570" s="3">
        <f>Retail_data[[#This Row],[Profit]]/Retail_data[[#This Row],[Sales]]</f>
        <v>8.0336384668113797E-2</v>
      </c>
      <c r="W570">
        <v>2250.19</v>
      </c>
      <c r="X570" t="s">
        <v>40</v>
      </c>
    </row>
    <row r="571" spans="1:24" ht="13.8" x14ac:dyDescent="0.25">
      <c r="A571" t="s">
        <v>1931</v>
      </c>
      <c r="B571">
        <f>YEAR(Retail_data[[#This Row],[Order Date]])</f>
        <v>2027</v>
      </c>
      <c r="C571" t="str">
        <f>TEXT(Retail_data[[#This Row],[Order Date]],"mmmm")</f>
        <v>April</v>
      </c>
      <c r="D571">
        <f>MONTH(Retail_data[[#This Row],[Order Date]])</f>
        <v>4</v>
      </c>
      <c r="E571" t="str">
        <f>"Q"&amp;ROUNDUP(MONTH(Retail_data[[#This Row],[Order Date]])/3,0)</f>
        <v>Q2</v>
      </c>
      <c r="F571" s="1">
        <v>46491</v>
      </c>
      <c r="G571" s="1">
        <v>46495</v>
      </c>
      <c r="H571" t="s">
        <v>1932</v>
      </c>
      <c r="I571" t="s">
        <v>1933</v>
      </c>
      <c r="J571" t="s">
        <v>21</v>
      </c>
      <c r="K571" t="s">
        <v>22</v>
      </c>
      <c r="L571" t="s">
        <v>34</v>
      </c>
      <c r="M571" t="s">
        <v>35</v>
      </c>
      <c r="N571" t="s">
        <v>36</v>
      </c>
      <c r="O571" t="s">
        <v>57</v>
      </c>
      <c r="P571" t="s">
        <v>79</v>
      </c>
      <c r="Q571" t="s">
        <v>395</v>
      </c>
      <c r="R571">
        <v>19724.93</v>
      </c>
      <c r="S571">
        <v>3</v>
      </c>
      <c r="T571">
        <v>0</v>
      </c>
      <c r="U571" t="str">
        <f>IF(Retail_data[[#This Row],[Sales]]&gt;30000,"High",IF(Retail_data[[#This Row],[Sales]]&gt;10000,"Medium","Low"))</f>
        <v>Medium</v>
      </c>
      <c r="V571" s="3">
        <f>Retail_data[[#This Row],[Profit]]/Retail_data[[#This Row],[Sales]]</f>
        <v>8.4383569422046112E-2</v>
      </c>
      <c r="W571">
        <v>1664.46</v>
      </c>
      <c r="X571" t="s">
        <v>29</v>
      </c>
    </row>
    <row r="572" spans="1:24" ht="13.8" x14ac:dyDescent="0.25">
      <c r="A572" t="s">
        <v>1934</v>
      </c>
      <c r="B572">
        <f>YEAR(Retail_data[[#This Row],[Order Date]])</f>
        <v>2027</v>
      </c>
      <c r="C572" t="str">
        <f>TEXT(Retail_data[[#This Row],[Order Date]],"mmmm")</f>
        <v>April</v>
      </c>
      <c r="D572">
        <f>MONTH(Retail_data[[#This Row],[Order Date]])</f>
        <v>4</v>
      </c>
      <c r="E572" t="str">
        <f>"Q"&amp;ROUNDUP(MONTH(Retail_data[[#This Row],[Order Date]])/3,0)</f>
        <v>Q2</v>
      </c>
      <c r="F572" s="1">
        <v>46492</v>
      </c>
      <c r="G572" s="1">
        <v>46496</v>
      </c>
      <c r="H572" t="s">
        <v>1935</v>
      </c>
      <c r="I572" t="s">
        <v>1936</v>
      </c>
      <c r="J572" t="s">
        <v>33</v>
      </c>
      <c r="K572" t="s">
        <v>22</v>
      </c>
      <c r="L572" t="s">
        <v>34</v>
      </c>
      <c r="M572" t="s">
        <v>35</v>
      </c>
      <c r="N572" t="s">
        <v>36</v>
      </c>
      <c r="O572" t="s">
        <v>26</v>
      </c>
      <c r="P572" t="s">
        <v>27</v>
      </c>
      <c r="Q572" t="s">
        <v>347</v>
      </c>
      <c r="R572">
        <v>10445.540000000001</v>
      </c>
      <c r="S572">
        <v>8</v>
      </c>
      <c r="T572">
        <v>0</v>
      </c>
      <c r="U572" t="str">
        <f>IF(Retail_data[[#This Row],[Sales]]&gt;30000,"High",IF(Retail_data[[#This Row],[Sales]]&gt;10000,"Medium","Low"))</f>
        <v>Medium</v>
      </c>
      <c r="V572" s="3">
        <f>Retail_data[[#This Row],[Profit]]/Retail_data[[#This Row],[Sales]]</f>
        <v>0.24145520480511298</v>
      </c>
      <c r="W572">
        <v>2522.13</v>
      </c>
      <c r="X572" t="s">
        <v>40</v>
      </c>
    </row>
    <row r="573" spans="1:24" ht="13.8" x14ac:dyDescent="0.25">
      <c r="A573" t="s">
        <v>1937</v>
      </c>
      <c r="B573">
        <f>YEAR(Retail_data[[#This Row],[Order Date]])</f>
        <v>2027</v>
      </c>
      <c r="C573" t="str">
        <f>TEXT(Retail_data[[#This Row],[Order Date]],"mmmm")</f>
        <v>April</v>
      </c>
      <c r="D573">
        <f>MONTH(Retail_data[[#This Row],[Order Date]])</f>
        <v>4</v>
      </c>
      <c r="E573" t="str">
        <f>"Q"&amp;ROUNDUP(MONTH(Retail_data[[#This Row],[Order Date]])/3,0)</f>
        <v>Q2</v>
      </c>
      <c r="F573" s="1">
        <v>46493</v>
      </c>
      <c r="G573" s="1">
        <v>46497</v>
      </c>
      <c r="H573" t="s">
        <v>1938</v>
      </c>
      <c r="I573" t="s">
        <v>1939</v>
      </c>
      <c r="J573" t="s">
        <v>21</v>
      </c>
      <c r="K573" t="s">
        <v>22</v>
      </c>
      <c r="L573" t="s">
        <v>45</v>
      </c>
      <c r="M573" t="s">
        <v>45</v>
      </c>
      <c r="N573" t="s">
        <v>25</v>
      </c>
      <c r="O573" t="s">
        <v>37</v>
      </c>
      <c r="P573" t="s">
        <v>52</v>
      </c>
      <c r="Q573" t="s">
        <v>358</v>
      </c>
      <c r="R573">
        <v>21905.95</v>
      </c>
      <c r="S573">
        <v>6</v>
      </c>
      <c r="T573">
        <v>0.2</v>
      </c>
      <c r="U573" t="str">
        <f>IF(Retail_data[[#This Row],[Sales]]&gt;30000,"High",IF(Retail_data[[#This Row],[Sales]]&gt;10000,"Medium","Low"))</f>
        <v>Medium</v>
      </c>
      <c r="V573" s="3">
        <f>Retail_data[[#This Row],[Profit]]/Retail_data[[#This Row],[Sales]]</f>
        <v>0.13389238996710939</v>
      </c>
      <c r="W573">
        <v>2933.04</v>
      </c>
      <c r="X573" t="s">
        <v>81</v>
      </c>
    </row>
    <row r="574" spans="1:24" ht="13.8" x14ac:dyDescent="0.25">
      <c r="A574" t="s">
        <v>1940</v>
      </c>
      <c r="B574">
        <f>YEAR(Retail_data[[#This Row],[Order Date]])</f>
        <v>2027</v>
      </c>
      <c r="C574" t="str">
        <f>TEXT(Retail_data[[#This Row],[Order Date]],"mmmm")</f>
        <v>April</v>
      </c>
      <c r="D574">
        <f>MONTH(Retail_data[[#This Row],[Order Date]])</f>
        <v>4</v>
      </c>
      <c r="E574" t="str">
        <f>"Q"&amp;ROUNDUP(MONTH(Retail_data[[#This Row],[Order Date]])/3,0)</f>
        <v>Q2</v>
      </c>
      <c r="F574" s="1">
        <v>46494</v>
      </c>
      <c r="G574" s="1">
        <v>46498</v>
      </c>
      <c r="H574" t="s">
        <v>1941</v>
      </c>
      <c r="I574" t="s">
        <v>1942</v>
      </c>
      <c r="J574" t="s">
        <v>44</v>
      </c>
      <c r="K574" t="s">
        <v>22</v>
      </c>
      <c r="L574" t="s">
        <v>67</v>
      </c>
      <c r="M574" t="s">
        <v>68</v>
      </c>
      <c r="N574" t="s">
        <v>69</v>
      </c>
      <c r="O574" t="s">
        <v>37</v>
      </c>
      <c r="P574" t="s">
        <v>46</v>
      </c>
      <c r="Q574" t="s">
        <v>1651</v>
      </c>
      <c r="R574">
        <v>10910.79</v>
      </c>
      <c r="S574">
        <v>1</v>
      </c>
      <c r="T574">
        <v>0</v>
      </c>
      <c r="U574" t="str">
        <f>IF(Retail_data[[#This Row],[Sales]]&gt;30000,"High",IF(Retail_data[[#This Row],[Sales]]&gt;10000,"Medium","Low"))</f>
        <v>Medium</v>
      </c>
      <c r="V574" s="3">
        <f>Retail_data[[#This Row],[Profit]]/Retail_data[[#This Row],[Sales]]</f>
        <v>0.11382860452817807</v>
      </c>
      <c r="W574">
        <v>1241.96</v>
      </c>
      <c r="X574" t="s">
        <v>29</v>
      </c>
    </row>
    <row r="575" spans="1:24" ht="13.8" x14ac:dyDescent="0.25">
      <c r="A575" t="s">
        <v>1943</v>
      </c>
      <c r="B575">
        <f>YEAR(Retail_data[[#This Row],[Order Date]])</f>
        <v>2027</v>
      </c>
      <c r="C575" t="str">
        <f>TEXT(Retail_data[[#This Row],[Order Date]],"mmmm")</f>
        <v>April</v>
      </c>
      <c r="D575">
        <f>MONTH(Retail_data[[#This Row],[Order Date]])</f>
        <v>4</v>
      </c>
      <c r="E575" t="str">
        <f>"Q"&amp;ROUNDUP(MONTH(Retail_data[[#This Row],[Order Date]])/3,0)</f>
        <v>Q2</v>
      </c>
      <c r="F575" s="1">
        <v>46495</v>
      </c>
      <c r="G575" s="1">
        <v>46499</v>
      </c>
      <c r="H575" t="s">
        <v>1944</v>
      </c>
      <c r="I575" t="s">
        <v>1945</v>
      </c>
      <c r="J575" t="s">
        <v>44</v>
      </c>
      <c r="K575" t="s">
        <v>22</v>
      </c>
      <c r="L575" t="s">
        <v>45</v>
      </c>
      <c r="M575" t="s">
        <v>45</v>
      </c>
      <c r="N575" t="s">
        <v>25</v>
      </c>
      <c r="O575" t="s">
        <v>57</v>
      </c>
      <c r="P575" t="s">
        <v>79</v>
      </c>
      <c r="Q575" t="s">
        <v>88</v>
      </c>
      <c r="R575">
        <v>30681.39</v>
      </c>
      <c r="S575">
        <v>4</v>
      </c>
      <c r="T575">
        <v>0.1</v>
      </c>
      <c r="U575" t="str">
        <f>IF(Retail_data[[#This Row],[Sales]]&gt;30000,"High",IF(Retail_data[[#This Row],[Sales]]&gt;10000,"Medium","Low"))</f>
        <v>High</v>
      </c>
      <c r="V575" s="3">
        <f>Retail_data[[#This Row],[Profit]]/Retail_data[[#This Row],[Sales]]</f>
        <v>0.22192964529964254</v>
      </c>
      <c r="W575">
        <v>6809.11</v>
      </c>
      <c r="X575" t="s">
        <v>29</v>
      </c>
    </row>
    <row r="576" spans="1:24" ht="13.8" x14ac:dyDescent="0.25">
      <c r="A576" t="s">
        <v>1946</v>
      </c>
      <c r="B576">
        <f>YEAR(Retail_data[[#This Row],[Order Date]])</f>
        <v>2027</v>
      </c>
      <c r="C576" t="str">
        <f>TEXT(Retail_data[[#This Row],[Order Date]],"mmmm")</f>
        <v>April</v>
      </c>
      <c r="D576">
        <f>MONTH(Retail_data[[#This Row],[Order Date]])</f>
        <v>4</v>
      </c>
      <c r="E576" t="str">
        <f>"Q"&amp;ROUNDUP(MONTH(Retail_data[[#This Row],[Order Date]])/3,0)</f>
        <v>Q2</v>
      </c>
      <c r="F576" s="1">
        <v>46496</v>
      </c>
      <c r="G576" s="1">
        <v>46500</v>
      </c>
      <c r="H576" t="s">
        <v>1947</v>
      </c>
      <c r="I576" t="s">
        <v>1948</v>
      </c>
      <c r="J576" t="s">
        <v>44</v>
      </c>
      <c r="K576" t="s">
        <v>22</v>
      </c>
      <c r="L576" t="s">
        <v>67</v>
      </c>
      <c r="M576" t="s">
        <v>68</v>
      </c>
      <c r="N576" t="s">
        <v>69</v>
      </c>
      <c r="O576" t="s">
        <v>37</v>
      </c>
      <c r="P576" t="s">
        <v>46</v>
      </c>
      <c r="Q576" t="s">
        <v>129</v>
      </c>
      <c r="R576">
        <v>1303.74</v>
      </c>
      <c r="S576">
        <v>5</v>
      </c>
      <c r="T576">
        <v>0.1</v>
      </c>
      <c r="U576" t="str">
        <f>IF(Retail_data[[#This Row],[Sales]]&gt;30000,"High",IF(Retail_data[[#This Row],[Sales]]&gt;10000,"Medium","Low"))</f>
        <v>Low</v>
      </c>
      <c r="V576" s="3">
        <f>Retail_data[[#This Row],[Profit]]/Retail_data[[#This Row],[Sales]]</f>
        <v>0.11549081872152422</v>
      </c>
      <c r="W576">
        <v>150.57</v>
      </c>
      <c r="X576" t="s">
        <v>81</v>
      </c>
    </row>
    <row r="577" spans="1:24" ht="13.8" x14ac:dyDescent="0.25">
      <c r="A577" t="s">
        <v>1949</v>
      </c>
      <c r="B577">
        <f>YEAR(Retail_data[[#This Row],[Order Date]])</f>
        <v>2027</v>
      </c>
      <c r="C577" t="str">
        <f>TEXT(Retail_data[[#This Row],[Order Date]],"mmmm")</f>
        <v>April</v>
      </c>
      <c r="D577">
        <f>MONTH(Retail_data[[#This Row],[Order Date]])</f>
        <v>4</v>
      </c>
      <c r="E577" t="str">
        <f>"Q"&amp;ROUNDUP(MONTH(Retail_data[[#This Row],[Order Date]])/3,0)</f>
        <v>Q2</v>
      </c>
      <c r="F577" s="1">
        <v>46497</v>
      </c>
      <c r="G577" s="1">
        <v>46501</v>
      </c>
      <c r="H577" t="s">
        <v>1950</v>
      </c>
      <c r="I577" t="s">
        <v>1951</v>
      </c>
      <c r="J577" t="s">
        <v>33</v>
      </c>
      <c r="K577" t="s">
        <v>22</v>
      </c>
      <c r="L577" t="s">
        <v>34</v>
      </c>
      <c r="M577" t="s">
        <v>35</v>
      </c>
      <c r="N577" t="s">
        <v>36</v>
      </c>
      <c r="O577" t="s">
        <v>37</v>
      </c>
      <c r="P577" t="s">
        <v>52</v>
      </c>
      <c r="Q577" t="s">
        <v>358</v>
      </c>
      <c r="R577">
        <v>6097.43</v>
      </c>
      <c r="S577">
        <v>6</v>
      </c>
      <c r="T577">
        <v>0.3</v>
      </c>
      <c r="U577" t="str">
        <f>IF(Retail_data[[#This Row],[Sales]]&gt;30000,"High",IF(Retail_data[[#This Row],[Sales]]&gt;10000,"Medium","Low"))</f>
        <v>Low</v>
      </c>
      <c r="V577" s="3">
        <f>Retail_data[[#This Row],[Profit]]/Retail_data[[#This Row],[Sales]]</f>
        <v>8.4511015296608566E-2</v>
      </c>
      <c r="W577">
        <v>515.29999999999995</v>
      </c>
      <c r="X577" t="s">
        <v>48</v>
      </c>
    </row>
    <row r="578" spans="1:24" ht="13.8" x14ac:dyDescent="0.25">
      <c r="A578" t="s">
        <v>1952</v>
      </c>
      <c r="B578">
        <f>YEAR(Retail_data[[#This Row],[Order Date]])</f>
        <v>2027</v>
      </c>
      <c r="C578" t="str">
        <f>TEXT(Retail_data[[#This Row],[Order Date]],"mmmm")</f>
        <v>April</v>
      </c>
      <c r="D578">
        <f>MONTH(Retail_data[[#This Row],[Order Date]])</f>
        <v>4</v>
      </c>
      <c r="E578" t="str">
        <f>"Q"&amp;ROUNDUP(MONTH(Retail_data[[#This Row],[Order Date]])/3,0)</f>
        <v>Q2</v>
      </c>
      <c r="F578" s="1">
        <v>46498</v>
      </c>
      <c r="G578" s="1">
        <v>46502</v>
      </c>
      <c r="H578" t="s">
        <v>1953</v>
      </c>
      <c r="I578" t="s">
        <v>1954</v>
      </c>
      <c r="J578" t="s">
        <v>44</v>
      </c>
      <c r="K578" t="s">
        <v>22</v>
      </c>
      <c r="L578" t="s">
        <v>85</v>
      </c>
      <c r="M578" t="s">
        <v>86</v>
      </c>
      <c r="N578" t="s">
        <v>87</v>
      </c>
      <c r="O578" t="s">
        <v>57</v>
      </c>
      <c r="P578" t="s">
        <v>149</v>
      </c>
      <c r="Q578" t="s">
        <v>835</v>
      </c>
      <c r="R578">
        <v>35006</v>
      </c>
      <c r="S578">
        <v>7</v>
      </c>
      <c r="T578">
        <v>0.3</v>
      </c>
      <c r="U578" t="str">
        <f>IF(Retail_data[[#This Row],[Sales]]&gt;30000,"High",IF(Retail_data[[#This Row],[Sales]]&gt;10000,"Medium","Low"))</f>
        <v>High</v>
      </c>
      <c r="V578" s="3">
        <f>Retail_data[[#This Row],[Profit]]/Retail_data[[#This Row],[Sales]]</f>
        <v>-4.0618179740615899E-2</v>
      </c>
      <c r="W578">
        <v>-1421.88</v>
      </c>
      <c r="X578" t="s">
        <v>81</v>
      </c>
    </row>
    <row r="579" spans="1:24" ht="13.8" x14ac:dyDescent="0.25">
      <c r="A579" t="s">
        <v>1955</v>
      </c>
      <c r="B579">
        <f>YEAR(Retail_data[[#This Row],[Order Date]])</f>
        <v>2027</v>
      </c>
      <c r="C579" t="str">
        <f>TEXT(Retail_data[[#This Row],[Order Date]],"mmmm")</f>
        <v>April</v>
      </c>
      <c r="D579">
        <f>MONTH(Retail_data[[#This Row],[Order Date]])</f>
        <v>4</v>
      </c>
      <c r="E579" t="str">
        <f>"Q"&amp;ROUNDUP(MONTH(Retail_data[[#This Row],[Order Date]])/3,0)</f>
        <v>Q2</v>
      </c>
      <c r="F579" s="1">
        <v>46499</v>
      </c>
      <c r="G579" s="1">
        <v>46503</v>
      </c>
      <c r="H579" t="s">
        <v>1956</v>
      </c>
      <c r="I579" t="s">
        <v>1957</v>
      </c>
      <c r="J579" t="s">
        <v>33</v>
      </c>
      <c r="K579" t="s">
        <v>22</v>
      </c>
      <c r="L579" t="s">
        <v>45</v>
      </c>
      <c r="M579" t="s">
        <v>45</v>
      </c>
      <c r="N579" t="s">
        <v>25</v>
      </c>
      <c r="O579" t="s">
        <v>26</v>
      </c>
      <c r="P579" t="s">
        <v>92</v>
      </c>
      <c r="Q579" t="s">
        <v>570</v>
      </c>
      <c r="R579">
        <v>10591.38</v>
      </c>
      <c r="S579">
        <v>8</v>
      </c>
      <c r="T579">
        <v>0.3</v>
      </c>
      <c r="U579" t="str">
        <f>IF(Retail_data[[#This Row],[Sales]]&gt;30000,"High",IF(Retail_data[[#This Row],[Sales]]&gt;10000,"Medium","Low"))</f>
        <v>Medium</v>
      </c>
      <c r="V579" s="3">
        <f>Retail_data[[#This Row],[Profit]]/Retail_data[[#This Row],[Sales]]</f>
        <v>-5.731170064713003E-2</v>
      </c>
      <c r="W579">
        <v>-607.01</v>
      </c>
      <c r="X579" t="s">
        <v>48</v>
      </c>
    </row>
    <row r="580" spans="1:24" ht="13.8" x14ac:dyDescent="0.25">
      <c r="A580" t="s">
        <v>1958</v>
      </c>
      <c r="B580">
        <f>YEAR(Retail_data[[#This Row],[Order Date]])</f>
        <v>2027</v>
      </c>
      <c r="C580" t="str">
        <f>TEXT(Retail_data[[#This Row],[Order Date]],"mmmm")</f>
        <v>April</v>
      </c>
      <c r="D580">
        <f>MONTH(Retail_data[[#This Row],[Order Date]])</f>
        <v>4</v>
      </c>
      <c r="E580" t="str">
        <f>"Q"&amp;ROUNDUP(MONTH(Retail_data[[#This Row],[Order Date]])/3,0)</f>
        <v>Q2</v>
      </c>
      <c r="F580" s="1">
        <v>46500</v>
      </c>
      <c r="G580" s="1">
        <v>46504</v>
      </c>
      <c r="H580" t="s">
        <v>1959</v>
      </c>
      <c r="I580" t="s">
        <v>1960</v>
      </c>
      <c r="J580" t="s">
        <v>44</v>
      </c>
      <c r="K580" t="s">
        <v>22</v>
      </c>
      <c r="L580" t="s">
        <v>67</v>
      </c>
      <c r="M580" t="s">
        <v>68</v>
      </c>
      <c r="N580" t="s">
        <v>69</v>
      </c>
      <c r="O580" t="s">
        <v>26</v>
      </c>
      <c r="P580" t="s">
        <v>27</v>
      </c>
      <c r="Q580" t="s">
        <v>493</v>
      </c>
      <c r="R580">
        <v>44197.59</v>
      </c>
      <c r="S580">
        <v>2</v>
      </c>
      <c r="T580">
        <v>0.3</v>
      </c>
      <c r="U580" t="str">
        <f>IF(Retail_data[[#This Row],[Sales]]&gt;30000,"High",IF(Retail_data[[#This Row],[Sales]]&gt;10000,"Medium","Low"))</f>
        <v>High</v>
      </c>
      <c r="V580" s="3">
        <f>Retail_data[[#This Row],[Profit]]/Retail_data[[#This Row],[Sales]]</f>
        <v>1.7454797874725751E-2</v>
      </c>
      <c r="W580">
        <v>771.46</v>
      </c>
      <c r="X580" t="s">
        <v>81</v>
      </c>
    </row>
    <row r="581" spans="1:24" ht="13.8" x14ac:dyDescent="0.25">
      <c r="A581" t="s">
        <v>1961</v>
      </c>
      <c r="B581">
        <f>YEAR(Retail_data[[#This Row],[Order Date]])</f>
        <v>2027</v>
      </c>
      <c r="C581" t="str">
        <f>TEXT(Retail_data[[#This Row],[Order Date]],"mmmm")</f>
        <v>April</v>
      </c>
      <c r="D581">
        <f>MONTH(Retail_data[[#This Row],[Order Date]])</f>
        <v>4</v>
      </c>
      <c r="E581" t="str">
        <f>"Q"&amp;ROUNDUP(MONTH(Retail_data[[#This Row],[Order Date]])/3,0)</f>
        <v>Q2</v>
      </c>
      <c r="F581" s="1">
        <v>46501</v>
      </c>
      <c r="G581" s="1">
        <v>46505</v>
      </c>
      <c r="H581" t="s">
        <v>1962</v>
      </c>
      <c r="I581" t="s">
        <v>1963</v>
      </c>
      <c r="J581" t="s">
        <v>33</v>
      </c>
      <c r="K581" t="s">
        <v>22</v>
      </c>
      <c r="L581" t="s">
        <v>67</v>
      </c>
      <c r="M581" t="s">
        <v>68</v>
      </c>
      <c r="N581" t="s">
        <v>69</v>
      </c>
      <c r="O581" t="s">
        <v>57</v>
      </c>
      <c r="P581" t="s">
        <v>58</v>
      </c>
      <c r="Q581" t="s">
        <v>309</v>
      </c>
      <c r="R581">
        <v>3064.63</v>
      </c>
      <c r="S581">
        <v>1</v>
      </c>
      <c r="T581">
        <v>0.2</v>
      </c>
      <c r="U581" t="str">
        <f>IF(Retail_data[[#This Row],[Sales]]&gt;30000,"High",IF(Retail_data[[#This Row],[Sales]]&gt;10000,"Medium","Low"))</f>
        <v>Low</v>
      </c>
      <c r="V581" s="3">
        <f>Retail_data[[#This Row],[Profit]]/Retail_data[[#This Row],[Sales]]</f>
        <v>3.6810316416663678E-2</v>
      </c>
      <c r="W581">
        <v>112.81</v>
      </c>
      <c r="X581" t="s">
        <v>48</v>
      </c>
    </row>
    <row r="582" spans="1:24" ht="13.8" x14ac:dyDescent="0.25">
      <c r="A582" t="s">
        <v>1964</v>
      </c>
      <c r="B582">
        <f>YEAR(Retail_data[[#This Row],[Order Date]])</f>
        <v>2027</v>
      </c>
      <c r="C582" t="str">
        <f>TEXT(Retail_data[[#This Row],[Order Date]],"mmmm")</f>
        <v>April</v>
      </c>
      <c r="D582">
        <f>MONTH(Retail_data[[#This Row],[Order Date]])</f>
        <v>4</v>
      </c>
      <c r="E582" t="str">
        <f>"Q"&amp;ROUNDUP(MONTH(Retail_data[[#This Row],[Order Date]])/3,0)</f>
        <v>Q2</v>
      </c>
      <c r="F582" s="1">
        <v>46502</v>
      </c>
      <c r="G582" s="1">
        <v>46506</v>
      </c>
      <c r="H582" t="s">
        <v>1965</v>
      </c>
      <c r="I582" t="s">
        <v>1966</v>
      </c>
      <c r="J582" t="s">
        <v>21</v>
      </c>
      <c r="K582" t="s">
        <v>22</v>
      </c>
      <c r="L582" t="s">
        <v>67</v>
      </c>
      <c r="M582" t="s">
        <v>68</v>
      </c>
      <c r="N582" t="s">
        <v>69</v>
      </c>
      <c r="O582" t="s">
        <v>37</v>
      </c>
      <c r="P582" t="s">
        <v>38</v>
      </c>
      <c r="Q582" t="s">
        <v>649</v>
      </c>
      <c r="R582">
        <v>49744.87</v>
      </c>
      <c r="S582">
        <v>1</v>
      </c>
      <c r="T582">
        <v>0.1</v>
      </c>
      <c r="U582" t="str">
        <f>IF(Retail_data[[#This Row],[Sales]]&gt;30000,"High",IF(Retail_data[[#This Row],[Sales]]&gt;10000,"Medium","Low"))</f>
        <v>High</v>
      </c>
      <c r="V582" s="3">
        <f>Retail_data[[#This Row],[Profit]]/Retail_data[[#This Row],[Sales]]</f>
        <v>0.15819279455348861</v>
      </c>
      <c r="W582">
        <v>7869.28</v>
      </c>
      <c r="X582" t="s">
        <v>48</v>
      </c>
    </row>
    <row r="583" spans="1:24" ht="13.8" x14ac:dyDescent="0.25">
      <c r="A583" t="s">
        <v>1967</v>
      </c>
      <c r="B583">
        <f>YEAR(Retail_data[[#This Row],[Order Date]])</f>
        <v>2027</v>
      </c>
      <c r="C583" t="str">
        <f>TEXT(Retail_data[[#This Row],[Order Date]],"mmmm")</f>
        <v>April</v>
      </c>
      <c r="D583">
        <f>MONTH(Retail_data[[#This Row],[Order Date]])</f>
        <v>4</v>
      </c>
      <c r="E583" t="str">
        <f>"Q"&amp;ROUNDUP(MONTH(Retail_data[[#This Row],[Order Date]])/3,0)</f>
        <v>Q2</v>
      </c>
      <c r="F583" s="1">
        <v>46503</v>
      </c>
      <c r="G583" s="1">
        <v>46507</v>
      </c>
      <c r="H583" t="s">
        <v>1968</v>
      </c>
      <c r="I583" t="s">
        <v>1969</v>
      </c>
      <c r="J583" t="s">
        <v>33</v>
      </c>
      <c r="K583" t="s">
        <v>22</v>
      </c>
      <c r="L583" t="s">
        <v>45</v>
      </c>
      <c r="M583" t="s">
        <v>45</v>
      </c>
      <c r="N583" t="s">
        <v>25</v>
      </c>
      <c r="O583" t="s">
        <v>37</v>
      </c>
      <c r="P583" t="s">
        <v>46</v>
      </c>
      <c r="Q583" t="s">
        <v>474</v>
      </c>
      <c r="R583">
        <v>37219.949999999997</v>
      </c>
      <c r="S583">
        <v>8</v>
      </c>
      <c r="T583">
        <v>0.2</v>
      </c>
      <c r="U583" t="str">
        <f>IF(Retail_data[[#This Row],[Sales]]&gt;30000,"High",IF(Retail_data[[#This Row],[Sales]]&gt;10000,"Medium","Low"))</f>
        <v>High</v>
      </c>
      <c r="V583" s="3">
        <f>Retail_data[[#This Row],[Profit]]/Retail_data[[#This Row],[Sales]]</f>
        <v>0.10205548368549663</v>
      </c>
      <c r="W583">
        <v>3798.5</v>
      </c>
      <c r="X583" t="s">
        <v>29</v>
      </c>
    </row>
    <row r="584" spans="1:24" ht="13.8" x14ac:dyDescent="0.25">
      <c r="A584" t="s">
        <v>1970</v>
      </c>
      <c r="B584">
        <f>YEAR(Retail_data[[#This Row],[Order Date]])</f>
        <v>2027</v>
      </c>
      <c r="C584" t="str">
        <f>TEXT(Retail_data[[#This Row],[Order Date]],"mmmm")</f>
        <v>April</v>
      </c>
      <c r="D584">
        <f>MONTH(Retail_data[[#This Row],[Order Date]])</f>
        <v>4</v>
      </c>
      <c r="E584" t="str">
        <f>"Q"&amp;ROUNDUP(MONTH(Retail_data[[#This Row],[Order Date]])/3,0)</f>
        <v>Q2</v>
      </c>
      <c r="F584" s="1">
        <v>46504</v>
      </c>
      <c r="G584" s="1">
        <v>46508</v>
      </c>
      <c r="H584" t="s">
        <v>1971</v>
      </c>
      <c r="I584" t="s">
        <v>1972</v>
      </c>
      <c r="J584" t="s">
        <v>21</v>
      </c>
      <c r="K584" t="s">
        <v>22</v>
      </c>
      <c r="L584" t="s">
        <v>45</v>
      </c>
      <c r="M584" t="s">
        <v>45</v>
      </c>
      <c r="N584" t="s">
        <v>25</v>
      </c>
      <c r="O584" t="s">
        <v>26</v>
      </c>
      <c r="P584" t="s">
        <v>70</v>
      </c>
      <c r="Q584" t="s">
        <v>231</v>
      </c>
      <c r="R584">
        <v>9122.9500000000007</v>
      </c>
      <c r="S584">
        <v>6</v>
      </c>
      <c r="T584">
        <v>0.2</v>
      </c>
      <c r="U584" t="str">
        <f>IF(Retail_data[[#This Row],[Sales]]&gt;30000,"High",IF(Retail_data[[#This Row],[Sales]]&gt;10000,"Medium","Low"))</f>
        <v>Low</v>
      </c>
      <c r="V584" s="3">
        <f>Retail_data[[#This Row],[Profit]]/Retail_data[[#This Row],[Sales]]</f>
        <v>9.0711885957941218E-2</v>
      </c>
      <c r="W584">
        <v>827.56</v>
      </c>
      <c r="X584" t="s">
        <v>48</v>
      </c>
    </row>
    <row r="585" spans="1:24" ht="13.8" x14ac:dyDescent="0.25">
      <c r="A585" t="s">
        <v>1973</v>
      </c>
      <c r="B585">
        <f>YEAR(Retail_data[[#This Row],[Order Date]])</f>
        <v>2027</v>
      </c>
      <c r="C585" t="str">
        <f>TEXT(Retail_data[[#This Row],[Order Date]],"mmmm")</f>
        <v>April</v>
      </c>
      <c r="D585">
        <f>MONTH(Retail_data[[#This Row],[Order Date]])</f>
        <v>4</v>
      </c>
      <c r="E585" t="str">
        <f>"Q"&amp;ROUNDUP(MONTH(Retail_data[[#This Row],[Order Date]])/3,0)</f>
        <v>Q2</v>
      </c>
      <c r="F585" s="1">
        <v>46505</v>
      </c>
      <c r="G585" s="1">
        <v>46509</v>
      </c>
      <c r="H585" t="s">
        <v>1974</v>
      </c>
      <c r="I585" t="s">
        <v>1975</v>
      </c>
      <c r="J585" t="s">
        <v>33</v>
      </c>
      <c r="K585" t="s">
        <v>22</v>
      </c>
      <c r="L585" t="s">
        <v>45</v>
      </c>
      <c r="M585" t="s">
        <v>45</v>
      </c>
      <c r="N585" t="s">
        <v>25</v>
      </c>
      <c r="O585" t="s">
        <v>26</v>
      </c>
      <c r="P585" t="s">
        <v>70</v>
      </c>
      <c r="Q585" t="s">
        <v>994</v>
      </c>
      <c r="R585">
        <v>21313.69</v>
      </c>
      <c r="S585">
        <v>7</v>
      </c>
      <c r="T585">
        <v>0.2</v>
      </c>
      <c r="U585" t="str">
        <f>IF(Retail_data[[#This Row],[Sales]]&gt;30000,"High",IF(Retail_data[[#This Row],[Sales]]&gt;10000,"Medium","Low"))</f>
        <v>Medium</v>
      </c>
      <c r="V585" s="3">
        <f>Retail_data[[#This Row],[Profit]]/Retail_data[[#This Row],[Sales]]</f>
        <v>8.037275572648378E-2</v>
      </c>
      <c r="W585">
        <v>1713.04</v>
      </c>
      <c r="X585" t="s">
        <v>48</v>
      </c>
    </row>
    <row r="586" spans="1:24" ht="13.8" x14ac:dyDescent="0.25">
      <c r="A586" t="s">
        <v>1976</v>
      </c>
      <c r="B586">
        <f>YEAR(Retail_data[[#This Row],[Order Date]])</f>
        <v>2027</v>
      </c>
      <c r="C586" t="str">
        <f>TEXT(Retail_data[[#This Row],[Order Date]],"mmmm")</f>
        <v>April</v>
      </c>
      <c r="D586">
        <f>MONTH(Retail_data[[#This Row],[Order Date]])</f>
        <v>4</v>
      </c>
      <c r="E586" t="str">
        <f>"Q"&amp;ROUNDUP(MONTH(Retail_data[[#This Row],[Order Date]])/3,0)</f>
        <v>Q2</v>
      </c>
      <c r="F586" s="1">
        <v>46506</v>
      </c>
      <c r="G586" s="1">
        <v>46510</v>
      </c>
      <c r="H586" t="s">
        <v>1977</v>
      </c>
      <c r="I586" t="s">
        <v>1978</v>
      </c>
      <c r="J586" t="s">
        <v>33</v>
      </c>
      <c r="K586" t="s">
        <v>22</v>
      </c>
      <c r="L586" t="s">
        <v>67</v>
      </c>
      <c r="M586" t="s">
        <v>68</v>
      </c>
      <c r="N586" t="s">
        <v>69</v>
      </c>
      <c r="O586" t="s">
        <v>37</v>
      </c>
      <c r="P586" t="s">
        <v>52</v>
      </c>
      <c r="Q586" t="s">
        <v>184</v>
      </c>
      <c r="R586">
        <v>11687.8</v>
      </c>
      <c r="S586">
        <v>6</v>
      </c>
      <c r="T586">
        <v>0.3</v>
      </c>
      <c r="U586" t="str">
        <f>IF(Retail_data[[#This Row],[Sales]]&gt;30000,"High",IF(Retail_data[[#This Row],[Sales]]&gt;10000,"Medium","Low"))</f>
        <v>Medium</v>
      </c>
      <c r="V586" s="3">
        <f>Retail_data[[#This Row],[Profit]]/Retail_data[[#This Row],[Sales]]</f>
        <v>0.10605075377744315</v>
      </c>
      <c r="W586">
        <v>1239.5</v>
      </c>
      <c r="X586" t="s">
        <v>48</v>
      </c>
    </row>
    <row r="587" spans="1:24" ht="13.8" x14ac:dyDescent="0.25">
      <c r="A587" t="s">
        <v>1979</v>
      </c>
      <c r="B587">
        <f>YEAR(Retail_data[[#This Row],[Order Date]])</f>
        <v>2027</v>
      </c>
      <c r="C587" t="str">
        <f>TEXT(Retail_data[[#This Row],[Order Date]],"mmmm")</f>
        <v>April</v>
      </c>
      <c r="D587">
        <f>MONTH(Retail_data[[#This Row],[Order Date]])</f>
        <v>4</v>
      </c>
      <c r="E587" t="str">
        <f>"Q"&amp;ROUNDUP(MONTH(Retail_data[[#This Row],[Order Date]])/3,0)</f>
        <v>Q2</v>
      </c>
      <c r="F587" s="1">
        <v>46507</v>
      </c>
      <c r="G587" s="1">
        <v>46511</v>
      </c>
      <c r="H587" t="s">
        <v>1980</v>
      </c>
      <c r="I587" t="s">
        <v>1981</v>
      </c>
      <c r="J587" t="s">
        <v>44</v>
      </c>
      <c r="K587" t="s">
        <v>22</v>
      </c>
      <c r="L587" t="s">
        <v>34</v>
      </c>
      <c r="M587" t="s">
        <v>35</v>
      </c>
      <c r="N587" t="s">
        <v>36</v>
      </c>
      <c r="O587" t="s">
        <v>57</v>
      </c>
      <c r="P587" t="s">
        <v>149</v>
      </c>
      <c r="Q587" t="s">
        <v>681</v>
      </c>
      <c r="R587">
        <v>24903.439999999999</v>
      </c>
      <c r="S587">
        <v>1</v>
      </c>
      <c r="T587">
        <v>0.2</v>
      </c>
      <c r="U587" t="str">
        <f>IF(Retail_data[[#This Row],[Sales]]&gt;30000,"High",IF(Retail_data[[#This Row],[Sales]]&gt;10000,"Medium","Low"))</f>
        <v>Medium</v>
      </c>
      <c r="V587" s="3">
        <f>Retail_data[[#This Row],[Profit]]/Retail_data[[#This Row],[Sales]]</f>
        <v>2.8654274268936342E-2</v>
      </c>
      <c r="W587">
        <v>713.59</v>
      </c>
      <c r="X587" t="s">
        <v>81</v>
      </c>
    </row>
    <row r="588" spans="1:24" ht="13.8" x14ac:dyDescent="0.25">
      <c r="A588" t="s">
        <v>1982</v>
      </c>
      <c r="B588">
        <f>YEAR(Retail_data[[#This Row],[Order Date]])</f>
        <v>2027</v>
      </c>
      <c r="C588" t="str">
        <f>TEXT(Retail_data[[#This Row],[Order Date]],"mmmm")</f>
        <v>May</v>
      </c>
      <c r="D588">
        <f>MONTH(Retail_data[[#This Row],[Order Date]])</f>
        <v>5</v>
      </c>
      <c r="E588" t="str">
        <f>"Q"&amp;ROUNDUP(MONTH(Retail_data[[#This Row],[Order Date]])/3,0)</f>
        <v>Q2</v>
      </c>
      <c r="F588" s="1">
        <v>46508</v>
      </c>
      <c r="G588" s="1">
        <v>46512</v>
      </c>
      <c r="H588" t="s">
        <v>1983</v>
      </c>
      <c r="I588" t="s">
        <v>1984</v>
      </c>
      <c r="J588" t="s">
        <v>33</v>
      </c>
      <c r="K588" t="s">
        <v>22</v>
      </c>
      <c r="L588" t="s">
        <v>85</v>
      </c>
      <c r="M588" t="s">
        <v>86</v>
      </c>
      <c r="N588" t="s">
        <v>87</v>
      </c>
      <c r="O588" t="s">
        <v>57</v>
      </c>
      <c r="P588" t="s">
        <v>79</v>
      </c>
      <c r="Q588" t="s">
        <v>254</v>
      </c>
      <c r="R588">
        <v>24179.33</v>
      </c>
      <c r="S588">
        <v>1</v>
      </c>
      <c r="T588">
        <v>0.3</v>
      </c>
      <c r="U588" t="str">
        <f>IF(Retail_data[[#This Row],[Sales]]&gt;30000,"High",IF(Retail_data[[#This Row],[Sales]]&gt;10000,"Medium","Low"))</f>
        <v>Medium</v>
      </c>
      <c r="V588" s="3">
        <f>Retail_data[[#This Row],[Profit]]/Retail_data[[#This Row],[Sales]]</f>
        <v>0.17834985502079667</v>
      </c>
      <c r="W588">
        <v>4312.38</v>
      </c>
      <c r="X588" t="s">
        <v>48</v>
      </c>
    </row>
    <row r="589" spans="1:24" ht="13.8" x14ac:dyDescent="0.25">
      <c r="A589" t="s">
        <v>1985</v>
      </c>
      <c r="B589">
        <f>YEAR(Retail_data[[#This Row],[Order Date]])</f>
        <v>2027</v>
      </c>
      <c r="C589" t="str">
        <f>TEXT(Retail_data[[#This Row],[Order Date]],"mmmm")</f>
        <v>May</v>
      </c>
      <c r="D589">
        <f>MONTH(Retail_data[[#This Row],[Order Date]])</f>
        <v>5</v>
      </c>
      <c r="E589" t="str">
        <f>"Q"&amp;ROUNDUP(MONTH(Retail_data[[#This Row],[Order Date]])/3,0)</f>
        <v>Q2</v>
      </c>
      <c r="F589" s="1">
        <v>46509</v>
      </c>
      <c r="G589" s="1">
        <v>46513</v>
      </c>
      <c r="H589" t="s">
        <v>1986</v>
      </c>
      <c r="I589" t="s">
        <v>1987</v>
      </c>
      <c r="J589" t="s">
        <v>33</v>
      </c>
      <c r="K589" t="s">
        <v>22</v>
      </c>
      <c r="L589" t="s">
        <v>23</v>
      </c>
      <c r="M589" t="s">
        <v>24</v>
      </c>
      <c r="N589" t="s">
        <v>25</v>
      </c>
      <c r="O589" t="s">
        <v>37</v>
      </c>
      <c r="P589" t="s">
        <v>46</v>
      </c>
      <c r="Q589" t="s">
        <v>849</v>
      </c>
      <c r="R589">
        <v>12550.36</v>
      </c>
      <c r="S589">
        <v>8</v>
      </c>
      <c r="T589">
        <v>0</v>
      </c>
      <c r="U589" t="str">
        <f>IF(Retail_data[[#This Row],[Sales]]&gt;30000,"High",IF(Retail_data[[#This Row],[Sales]]&gt;10000,"Medium","Low"))</f>
        <v>Medium</v>
      </c>
      <c r="V589" s="3">
        <f>Retail_data[[#This Row],[Profit]]/Retail_data[[#This Row],[Sales]]</f>
        <v>0.1979265933407488</v>
      </c>
      <c r="W589">
        <v>2484.0500000000002</v>
      </c>
      <c r="X589" t="s">
        <v>48</v>
      </c>
    </row>
    <row r="590" spans="1:24" ht="13.8" x14ac:dyDescent="0.25">
      <c r="A590" t="s">
        <v>1988</v>
      </c>
      <c r="B590">
        <f>YEAR(Retail_data[[#This Row],[Order Date]])</f>
        <v>2027</v>
      </c>
      <c r="C590" t="str">
        <f>TEXT(Retail_data[[#This Row],[Order Date]],"mmmm")</f>
        <v>May</v>
      </c>
      <c r="D590">
        <f>MONTH(Retail_data[[#This Row],[Order Date]])</f>
        <v>5</v>
      </c>
      <c r="E590" t="str">
        <f>"Q"&amp;ROUNDUP(MONTH(Retail_data[[#This Row],[Order Date]])/3,0)</f>
        <v>Q2</v>
      </c>
      <c r="F590" s="1">
        <v>46510</v>
      </c>
      <c r="G590" s="1">
        <v>46514</v>
      </c>
      <c r="H590" t="s">
        <v>1989</v>
      </c>
      <c r="I590" t="s">
        <v>1990</v>
      </c>
      <c r="J590" t="s">
        <v>21</v>
      </c>
      <c r="K590" t="s">
        <v>22</v>
      </c>
      <c r="L590" t="s">
        <v>23</v>
      </c>
      <c r="M590" t="s">
        <v>24</v>
      </c>
      <c r="N590" t="s">
        <v>25</v>
      </c>
      <c r="O590" t="s">
        <v>57</v>
      </c>
      <c r="P590" t="s">
        <v>79</v>
      </c>
      <c r="Q590" t="s">
        <v>137</v>
      </c>
      <c r="R590">
        <v>25280.65</v>
      </c>
      <c r="S590">
        <v>3</v>
      </c>
      <c r="T590">
        <v>0.1</v>
      </c>
      <c r="U590" t="str">
        <f>IF(Retail_data[[#This Row],[Sales]]&gt;30000,"High",IF(Retail_data[[#This Row],[Sales]]&gt;10000,"Medium","Low"))</f>
        <v>Medium</v>
      </c>
      <c r="V590" s="3">
        <f>Retail_data[[#This Row],[Profit]]/Retail_data[[#This Row],[Sales]]</f>
        <v>9.6070710207213819E-2</v>
      </c>
      <c r="W590">
        <v>2428.73</v>
      </c>
      <c r="X590" t="s">
        <v>48</v>
      </c>
    </row>
    <row r="591" spans="1:24" ht="13.8" x14ac:dyDescent="0.25">
      <c r="A591" t="s">
        <v>1991</v>
      </c>
      <c r="B591">
        <f>YEAR(Retail_data[[#This Row],[Order Date]])</f>
        <v>2027</v>
      </c>
      <c r="C591" t="str">
        <f>TEXT(Retail_data[[#This Row],[Order Date]],"mmmm")</f>
        <v>May</v>
      </c>
      <c r="D591">
        <f>MONTH(Retail_data[[#This Row],[Order Date]])</f>
        <v>5</v>
      </c>
      <c r="E591" t="str">
        <f>"Q"&amp;ROUNDUP(MONTH(Retail_data[[#This Row],[Order Date]])/3,0)</f>
        <v>Q2</v>
      </c>
      <c r="F591" s="1">
        <v>46511</v>
      </c>
      <c r="G591" s="1">
        <v>46515</v>
      </c>
      <c r="H591" t="s">
        <v>1992</v>
      </c>
      <c r="I591" t="s">
        <v>1993</v>
      </c>
      <c r="J591" t="s">
        <v>44</v>
      </c>
      <c r="K591" t="s">
        <v>22</v>
      </c>
      <c r="L591" t="s">
        <v>23</v>
      </c>
      <c r="M591" t="s">
        <v>24</v>
      </c>
      <c r="N591" t="s">
        <v>25</v>
      </c>
      <c r="O591" t="s">
        <v>57</v>
      </c>
      <c r="P591" t="s">
        <v>58</v>
      </c>
      <c r="Q591" t="s">
        <v>125</v>
      </c>
      <c r="R591">
        <v>28138.06</v>
      </c>
      <c r="S591">
        <v>6</v>
      </c>
      <c r="T591">
        <v>0.2</v>
      </c>
      <c r="U591" t="str">
        <f>IF(Retail_data[[#This Row],[Sales]]&gt;30000,"High",IF(Retail_data[[#This Row],[Sales]]&gt;10000,"Medium","Low"))</f>
        <v>Medium</v>
      </c>
      <c r="V591" s="3">
        <f>Retail_data[[#This Row],[Profit]]/Retail_data[[#This Row],[Sales]]</f>
        <v>0.1106291620673209</v>
      </c>
      <c r="W591">
        <v>3112.89</v>
      </c>
      <c r="X591" t="s">
        <v>48</v>
      </c>
    </row>
    <row r="592" spans="1:24" ht="13.8" x14ac:dyDescent="0.25">
      <c r="A592" t="s">
        <v>1994</v>
      </c>
      <c r="B592">
        <f>YEAR(Retail_data[[#This Row],[Order Date]])</f>
        <v>2027</v>
      </c>
      <c r="C592" t="str">
        <f>TEXT(Retail_data[[#This Row],[Order Date]],"mmmm")</f>
        <v>May</v>
      </c>
      <c r="D592">
        <f>MONTH(Retail_data[[#This Row],[Order Date]])</f>
        <v>5</v>
      </c>
      <c r="E592" t="str">
        <f>"Q"&amp;ROUNDUP(MONTH(Retail_data[[#This Row],[Order Date]])/3,0)</f>
        <v>Q2</v>
      </c>
      <c r="F592" s="1">
        <v>46512</v>
      </c>
      <c r="G592" s="1">
        <v>46516</v>
      </c>
      <c r="H592" t="s">
        <v>1995</v>
      </c>
      <c r="I592" t="s">
        <v>1996</v>
      </c>
      <c r="J592" t="s">
        <v>21</v>
      </c>
      <c r="K592" t="s">
        <v>22</v>
      </c>
      <c r="L592" t="s">
        <v>67</v>
      </c>
      <c r="M592" t="s">
        <v>68</v>
      </c>
      <c r="N592" t="s">
        <v>69</v>
      </c>
      <c r="O592" t="s">
        <v>57</v>
      </c>
      <c r="P592" t="s">
        <v>58</v>
      </c>
      <c r="Q592" t="s">
        <v>419</v>
      </c>
      <c r="R592">
        <v>26663.83</v>
      </c>
      <c r="S592">
        <v>8</v>
      </c>
      <c r="T592">
        <v>0</v>
      </c>
      <c r="U592" t="str">
        <f>IF(Retail_data[[#This Row],[Sales]]&gt;30000,"High",IF(Retail_data[[#This Row],[Sales]]&gt;10000,"Medium","Low"))</f>
        <v>Medium</v>
      </c>
      <c r="V592" s="3">
        <f>Retail_data[[#This Row],[Profit]]/Retail_data[[#This Row],[Sales]]</f>
        <v>0.14655884019662591</v>
      </c>
      <c r="W592">
        <v>3907.82</v>
      </c>
      <c r="X592" t="s">
        <v>81</v>
      </c>
    </row>
    <row r="593" spans="1:24" ht="13.8" x14ac:dyDescent="0.25">
      <c r="A593" t="s">
        <v>1997</v>
      </c>
      <c r="B593">
        <f>YEAR(Retail_data[[#This Row],[Order Date]])</f>
        <v>2027</v>
      </c>
      <c r="C593" t="str">
        <f>TEXT(Retail_data[[#This Row],[Order Date]],"mmmm")</f>
        <v>May</v>
      </c>
      <c r="D593">
        <f>MONTH(Retail_data[[#This Row],[Order Date]])</f>
        <v>5</v>
      </c>
      <c r="E593" t="str">
        <f>"Q"&amp;ROUNDUP(MONTH(Retail_data[[#This Row],[Order Date]])/3,0)</f>
        <v>Q2</v>
      </c>
      <c r="F593" s="1">
        <v>46513</v>
      </c>
      <c r="G593" s="1">
        <v>46517</v>
      </c>
      <c r="H593" t="s">
        <v>1998</v>
      </c>
      <c r="I593" t="s">
        <v>1999</v>
      </c>
      <c r="J593" t="s">
        <v>44</v>
      </c>
      <c r="K593" t="s">
        <v>22</v>
      </c>
      <c r="L593" t="s">
        <v>67</v>
      </c>
      <c r="M593" t="s">
        <v>68</v>
      </c>
      <c r="N593" t="s">
        <v>69</v>
      </c>
      <c r="O593" t="s">
        <v>26</v>
      </c>
      <c r="P593" t="s">
        <v>70</v>
      </c>
      <c r="Q593" t="s">
        <v>180</v>
      </c>
      <c r="R593">
        <v>41223.93</v>
      </c>
      <c r="S593">
        <v>1</v>
      </c>
      <c r="T593">
        <v>0.1</v>
      </c>
      <c r="U593" t="str">
        <f>IF(Retail_data[[#This Row],[Sales]]&gt;30000,"High",IF(Retail_data[[#This Row],[Sales]]&gt;10000,"Medium","Low"))</f>
        <v>High</v>
      </c>
      <c r="V593" s="3">
        <f>Retail_data[[#This Row],[Profit]]/Retail_data[[#This Row],[Sales]]</f>
        <v>0.13620583966642674</v>
      </c>
      <c r="W593">
        <v>5614.94</v>
      </c>
      <c r="X593" t="s">
        <v>40</v>
      </c>
    </row>
    <row r="594" spans="1:24" ht="13.8" x14ac:dyDescent="0.25">
      <c r="A594" t="s">
        <v>2000</v>
      </c>
      <c r="B594">
        <f>YEAR(Retail_data[[#This Row],[Order Date]])</f>
        <v>2027</v>
      </c>
      <c r="C594" t="str">
        <f>TEXT(Retail_data[[#This Row],[Order Date]],"mmmm")</f>
        <v>May</v>
      </c>
      <c r="D594">
        <f>MONTH(Retail_data[[#This Row],[Order Date]])</f>
        <v>5</v>
      </c>
      <c r="E594" t="str">
        <f>"Q"&amp;ROUNDUP(MONTH(Retail_data[[#This Row],[Order Date]])/3,0)</f>
        <v>Q2</v>
      </c>
      <c r="F594" s="1">
        <v>46514</v>
      </c>
      <c r="G594" s="1">
        <v>46518</v>
      </c>
      <c r="H594" t="s">
        <v>2001</v>
      </c>
      <c r="I594" t="s">
        <v>2002</v>
      </c>
      <c r="J594" t="s">
        <v>44</v>
      </c>
      <c r="K594" t="s">
        <v>22</v>
      </c>
      <c r="L594" t="s">
        <v>67</v>
      </c>
      <c r="M594" t="s">
        <v>68</v>
      </c>
      <c r="N594" t="s">
        <v>69</v>
      </c>
      <c r="O594" t="s">
        <v>57</v>
      </c>
      <c r="P594" t="s">
        <v>149</v>
      </c>
      <c r="Q594" t="s">
        <v>453</v>
      </c>
      <c r="R594">
        <v>19493.66</v>
      </c>
      <c r="S594">
        <v>5</v>
      </c>
      <c r="T594">
        <v>0.3</v>
      </c>
      <c r="U594" t="str">
        <f>IF(Retail_data[[#This Row],[Sales]]&gt;30000,"High",IF(Retail_data[[#This Row],[Sales]]&gt;10000,"Medium","Low"))</f>
        <v>Medium</v>
      </c>
      <c r="V594" s="3">
        <f>Retail_data[[#This Row],[Profit]]/Retail_data[[#This Row],[Sales]]</f>
        <v>0.12952621518996432</v>
      </c>
      <c r="W594">
        <v>2524.94</v>
      </c>
      <c r="X594" t="s">
        <v>29</v>
      </c>
    </row>
    <row r="595" spans="1:24" ht="13.8" x14ac:dyDescent="0.25">
      <c r="A595" t="s">
        <v>2003</v>
      </c>
      <c r="B595">
        <f>YEAR(Retail_data[[#This Row],[Order Date]])</f>
        <v>2027</v>
      </c>
      <c r="C595" t="str">
        <f>TEXT(Retail_data[[#This Row],[Order Date]],"mmmm")</f>
        <v>May</v>
      </c>
      <c r="D595">
        <f>MONTH(Retail_data[[#This Row],[Order Date]])</f>
        <v>5</v>
      </c>
      <c r="E595" t="str">
        <f>"Q"&amp;ROUNDUP(MONTH(Retail_data[[#This Row],[Order Date]])/3,0)</f>
        <v>Q2</v>
      </c>
      <c r="F595" s="1">
        <v>46515</v>
      </c>
      <c r="G595" s="1">
        <v>46519</v>
      </c>
      <c r="H595" t="s">
        <v>2004</v>
      </c>
      <c r="I595" t="s">
        <v>2005</v>
      </c>
      <c r="J595" t="s">
        <v>33</v>
      </c>
      <c r="K595" t="s">
        <v>22</v>
      </c>
      <c r="L595" t="s">
        <v>34</v>
      </c>
      <c r="M595" t="s">
        <v>35</v>
      </c>
      <c r="N595" t="s">
        <v>36</v>
      </c>
      <c r="O595" t="s">
        <v>57</v>
      </c>
      <c r="P595" t="s">
        <v>79</v>
      </c>
      <c r="Q595" t="s">
        <v>824</v>
      </c>
      <c r="R595">
        <v>31868.13</v>
      </c>
      <c r="S595">
        <v>2</v>
      </c>
      <c r="T595">
        <v>0</v>
      </c>
      <c r="U595" t="str">
        <f>IF(Retail_data[[#This Row],[Sales]]&gt;30000,"High",IF(Retail_data[[#This Row],[Sales]]&gt;10000,"Medium","Low"))</f>
        <v>High</v>
      </c>
      <c r="V595" s="3">
        <f>Retail_data[[#This Row],[Profit]]/Retail_data[[#This Row],[Sales]]</f>
        <v>0.26136739118360569</v>
      </c>
      <c r="W595">
        <v>8329.2900000000009</v>
      </c>
      <c r="X595" t="s">
        <v>81</v>
      </c>
    </row>
    <row r="596" spans="1:24" ht="13.8" x14ac:dyDescent="0.25">
      <c r="A596" t="s">
        <v>2006</v>
      </c>
      <c r="B596">
        <f>YEAR(Retail_data[[#This Row],[Order Date]])</f>
        <v>2027</v>
      </c>
      <c r="C596" t="str">
        <f>TEXT(Retail_data[[#This Row],[Order Date]],"mmmm")</f>
        <v>May</v>
      </c>
      <c r="D596">
        <f>MONTH(Retail_data[[#This Row],[Order Date]])</f>
        <v>5</v>
      </c>
      <c r="E596" t="str">
        <f>"Q"&amp;ROUNDUP(MONTH(Retail_data[[#This Row],[Order Date]])/3,0)</f>
        <v>Q2</v>
      </c>
      <c r="F596" s="1">
        <v>46516</v>
      </c>
      <c r="G596" s="1">
        <v>46520</v>
      </c>
      <c r="H596" t="s">
        <v>2007</v>
      </c>
      <c r="I596" t="s">
        <v>2008</v>
      </c>
      <c r="J596" t="s">
        <v>21</v>
      </c>
      <c r="K596" t="s">
        <v>22</v>
      </c>
      <c r="L596" t="s">
        <v>45</v>
      </c>
      <c r="M596" t="s">
        <v>45</v>
      </c>
      <c r="N596" t="s">
        <v>25</v>
      </c>
      <c r="O596" t="s">
        <v>57</v>
      </c>
      <c r="P596" t="s">
        <v>58</v>
      </c>
      <c r="Q596" t="s">
        <v>896</v>
      </c>
      <c r="R596">
        <v>15109.9</v>
      </c>
      <c r="S596">
        <v>6</v>
      </c>
      <c r="T596">
        <v>0.3</v>
      </c>
      <c r="U596" t="str">
        <f>IF(Retail_data[[#This Row],[Sales]]&gt;30000,"High",IF(Retail_data[[#This Row],[Sales]]&gt;10000,"Medium","Low"))</f>
        <v>Medium</v>
      </c>
      <c r="V596" s="3">
        <f>Retail_data[[#This Row],[Profit]]/Retail_data[[#This Row],[Sales]]</f>
        <v>-1.7337639560817745E-2</v>
      </c>
      <c r="W596">
        <v>-261.97000000000003</v>
      </c>
      <c r="X596" t="s">
        <v>81</v>
      </c>
    </row>
    <row r="597" spans="1:24" ht="13.8" x14ac:dyDescent="0.25">
      <c r="A597" t="s">
        <v>2009</v>
      </c>
      <c r="B597">
        <f>YEAR(Retail_data[[#This Row],[Order Date]])</f>
        <v>2027</v>
      </c>
      <c r="C597" t="str">
        <f>TEXT(Retail_data[[#This Row],[Order Date]],"mmmm")</f>
        <v>May</v>
      </c>
      <c r="D597">
        <f>MONTH(Retail_data[[#This Row],[Order Date]])</f>
        <v>5</v>
      </c>
      <c r="E597" t="str">
        <f>"Q"&amp;ROUNDUP(MONTH(Retail_data[[#This Row],[Order Date]])/3,0)</f>
        <v>Q2</v>
      </c>
      <c r="F597" s="1">
        <v>46517</v>
      </c>
      <c r="G597" s="1">
        <v>46521</v>
      </c>
      <c r="H597" t="s">
        <v>2010</v>
      </c>
      <c r="I597" t="s">
        <v>2011</v>
      </c>
      <c r="J597" t="s">
        <v>21</v>
      </c>
      <c r="K597" t="s">
        <v>22</v>
      </c>
      <c r="L597" t="s">
        <v>67</v>
      </c>
      <c r="M597" t="s">
        <v>68</v>
      </c>
      <c r="N597" t="s">
        <v>69</v>
      </c>
      <c r="O597" t="s">
        <v>57</v>
      </c>
      <c r="P597" t="s">
        <v>149</v>
      </c>
      <c r="Q597" t="s">
        <v>467</v>
      </c>
      <c r="R597">
        <v>49575.46</v>
      </c>
      <c r="S597">
        <v>4</v>
      </c>
      <c r="T597">
        <v>0.2</v>
      </c>
      <c r="U597" t="str">
        <f>IF(Retail_data[[#This Row],[Sales]]&gt;30000,"High",IF(Retail_data[[#This Row],[Sales]]&gt;10000,"Medium","Low"))</f>
        <v>High</v>
      </c>
      <c r="V597" s="3">
        <f>Retail_data[[#This Row],[Profit]]/Retail_data[[#This Row],[Sales]]</f>
        <v>0.172580748620386</v>
      </c>
      <c r="W597">
        <v>8555.77</v>
      </c>
      <c r="X597" t="s">
        <v>81</v>
      </c>
    </row>
    <row r="598" spans="1:24" ht="13.8" x14ac:dyDescent="0.25">
      <c r="A598" t="s">
        <v>2012</v>
      </c>
      <c r="B598">
        <f>YEAR(Retail_data[[#This Row],[Order Date]])</f>
        <v>2027</v>
      </c>
      <c r="C598" t="str">
        <f>TEXT(Retail_data[[#This Row],[Order Date]],"mmmm")</f>
        <v>May</v>
      </c>
      <c r="D598">
        <f>MONTH(Retail_data[[#This Row],[Order Date]])</f>
        <v>5</v>
      </c>
      <c r="E598" t="str">
        <f>"Q"&amp;ROUNDUP(MONTH(Retail_data[[#This Row],[Order Date]])/3,0)</f>
        <v>Q2</v>
      </c>
      <c r="F598" s="1">
        <v>46518</v>
      </c>
      <c r="G598" s="1">
        <v>46522</v>
      </c>
      <c r="H598" t="s">
        <v>2013</v>
      </c>
      <c r="I598" t="s">
        <v>2014</v>
      </c>
      <c r="J598" t="s">
        <v>33</v>
      </c>
      <c r="K598" t="s">
        <v>22</v>
      </c>
      <c r="L598" t="s">
        <v>67</v>
      </c>
      <c r="M598" t="s">
        <v>68</v>
      </c>
      <c r="N598" t="s">
        <v>69</v>
      </c>
      <c r="O598" t="s">
        <v>37</v>
      </c>
      <c r="P598" t="s">
        <v>38</v>
      </c>
      <c r="Q598" t="s">
        <v>1455</v>
      </c>
      <c r="R598">
        <v>9399.76</v>
      </c>
      <c r="S598">
        <v>5</v>
      </c>
      <c r="T598">
        <v>0.2</v>
      </c>
      <c r="U598" t="str">
        <f>IF(Retail_data[[#This Row],[Sales]]&gt;30000,"High",IF(Retail_data[[#This Row],[Sales]]&gt;10000,"Medium","Low"))</f>
        <v>Low</v>
      </c>
      <c r="V598" s="3">
        <f>Retail_data[[#This Row],[Profit]]/Retail_data[[#This Row],[Sales]]</f>
        <v>0.20447330570142216</v>
      </c>
      <c r="W598">
        <v>1922</v>
      </c>
      <c r="X598" t="s">
        <v>29</v>
      </c>
    </row>
    <row r="599" spans="1:24" ht="13.8" x14ac:dyDescent="0.25">
      <c r="A599" t="s">
        <v>2015</v>
      </c>
      <c r="B599">
        <f>YEAR(Retail_data[[#This Row],[Order Date]])</f>
        <v>2027</v>
      </c>
      <c r="C599" t="str">
        <f>TEXT(Retail_data[[#This Row],[Order Date]],"mmmm")</f>
        <v>May</v>
      </c>
      <c r="D599">
        <f>MONTH(Retail_data[[#This Row],[Order Date]])</f>
        <v>5</v>
      </c>
      <c r="E599" t="str">
        <f>"Q"&amp;ROUNDUP(MONTH(Retail_data[[#This Row],[Order Date]])/3,0)</f>
        <v>Q2</v>
      </c>
      <c r="F599" s="1">
        <v>46519</v>
      </c>
      <c r="G599" s="1">
        <v>46523</v>
      </c>
      <c r="H599" t="s">
        <v>2016</v>
      </c>
      <c r="I599" t="s">
        <v>2017</v>
      </c>
      <c r="J599" t="s">
        <v>44</v>
      </c>
      <c r="K599" t="s">
        <v>22</v>
      </c>
      <c r="L599" t="s">
        <v>23</v>
      </c>
      <c r="M599" t="s">
        <v>24</v>
      </c>
      <c r="N599" t="s">
        <v>25</v>
      </c>
      <c r="O599" t="s">
        <v>37</v>
      </c>
      <c r="P599" t="s">
        <v>38</v>
      </c>
      <c r="Q599" t="s">
        <v>715</v>
      </c>
      <c r="R599">
        <v>1284.18</v>
      </c>
      <c r="S599">
        <v>1</v>
      </c>
      <c r="T599">
        <v>0.3</v>
      </c>
      <c r="U599" t="str">
        <f>IF(Retail_data[[#This Row],[Sales]]&gt;30000,"High",IF(Retail_data[[#This Row],[Sales]]&gt;10000,"Medium","Low"))</f>
        <v>Low</v>
      </c>
      <c r="V599" s="3">
        <f>Retail_data[[#This Row],[Profit]]/Retail_data[[#This Row],[Sales]]</f>
        <v>0.15336635051161052</v>
      </c>
      <c r="W599">
        <v>196.95</v>
      </c>
      <c r="X599" t="s">
        <v>40</v>
      </c>
    </row>
    <row r="600" spans="1:24" ht="13.8" x14ac:dyDescent="0.25">
      <c r="A600" t="s">
        <v>2018</v>
      </c>
      <c r="B600">
        <f>YEAR(Retail_data[[#This Row],[Order Date]])</f>
        <v>2027</v>
      </c>
      <c r="C600" t="str">
        <f>TEXT(Retail_data[[#This Row],[Order Date]],"mmmm")</f>
        <v>May</v>
      </c>
      <c r="D600">
        <f>MONTH(Retail_data[[#This Row],[Order Date]])</f>
        <v>5</v>
      </c>
      <c r="E600" t="str">
        <f>"Q"&amp;ROUNDUP(MONTH(Retail_data[[#This Row],[Order Date]])/3,0)</f>
        <v>Q2</v>
      </c>
      <c r="F600" s="1">
        <v>46520</v>
      </c>
      <c r="G600" s="1">
        <v>46524</v>
      </c>
      <c r="H600" t="s">
        <v>2019</v>
      </c>
      <c r="I600" t="s">
        <v>2020</v>
      </c>
      <c r="J600" t="s">
        <v>44</v>
      </c>
      <c r="K600" t="s">
        <v>22</v>
      </c>
      <c r="L600" t="s">
        <v>34</v>
      </c>
      <c r="M600" t="s">
        <v>35</v>
      </c>
      <c r="N600" t="s">
        <v>36</v>
      </c>
      <c r="O600" t="s">
        <v>57</v>
      </c>
      <c r="P600" t="s">
        <v>149</v>
      </c>
      <c r="Q600" t="s">
        <v>527</v>
      </c>
      <c r="R600">
        <v>30929.89</v>
      </c>
      <c r="S600">
        <v>6</v>
      </c>
      <c r="T600">
        <v>0.3</v>
      </c>
      <c r="U600" t="str">
        <f>IF(Retail_data[[#This Row],[Sales]]&gt;30000,"High",IF(Retail_data[[#This Row],[Sales]]&gt;10000,"Medium","Low"))</f>
        <v>High</v>
      </c>
      <c r="V600" s="3">
        <f>Retail_data[[#This Row],[Profit]]/Retail_data[[#This Row],[Sales]]</f>
        <v>-4.0614434774905442E-3</v>
      </c>
      <c r="W600">
        <v>-125.62</v>
      </c>
      <c r="X600" t="s">
        <v>48</v>
      </c>
    </row>
    <row r="601" spans="1:24" ht="13.8" x14ac:dyDescent="0.25">
      <c r="A601" t="s">
        <v>2021</v>
      </c>
      <c r="B601">
        <f>YEAR(Retail_data[[#This Row],[Order Date]])</f>
        <v>2027</v>
      </c>
      <c r="C601" t="str">
        <f>TEXT(Retail_data[[#This Row],[Order Date]],"mmmm")</f>
        <v>May</v>
      </c>
      <c r="D601">
        <f>MONTH(Retail_data[[#This Row],[Order Date]])</f>
        <v>5</v>
      </c>
      <c r="E601" t="str">
        <f>"Q"&amp;ROUNDUP(MONTH(Retail_data[[#This Row],[Order Date]])/3,0)</f>
        <v>Q2</v>
      </c>
      <c r="F601" s="1">
        <v>46521</v>
      </c>
      <c r="G601" s="1">
        <v>46525</v>
      </c>
      <c r="H601" t="s">
        <v>2022</v>
      </c>
      <c r="I601" t="s">
        <v>2023</v>
      </c>
      <c r="J601" t="s">
        <v>44</v>
      </c>
      <c r="K601" t="s">
        <v>22</v>
      </c>
      <c r="L601" t="s">
        <v>23</v>
      </c>
      <c r="M601" t="s">
        <v>24</v>
      </c>
      <c r="N601" t="s">
        <v>25</v>
      </c>
      <c r="O601" t="s">
        <v>26</v>
      </c>
      <c r="P601" t="s">
        <v>70</v>
      </c>
      <c r="Q601" t="s">
        <v>133</v>
      </c>
      <c r="R601">
        <v>894.8</v>
      </c>
      <c r="S601">
        <v>1</v>
      </c>
      <c r="T601">
        <v>0.3</v>
      </c>
      <c r="U601" t="str">
        <f>IF(Retail_data[[#This Row],[Sales]]&gt;30000,"High",IF(Retail_data[[#This Row],[Sales]]&gt;10000,"Medium","Low"))</f>
        <v>Low</v>
      </c>
      <c r="V601" s="3">
        <f>Retail_data[[#This Row],[Profit]]/Retail_data[[#This Row],[Sales]]</f>
        <v>8.7974966472954857E-2</v>
      </c>
      <c r="W601">
        <v>78.72</v>
      </c>
      <c r="X601" t="s">
        <v>29</v>
      </c>
    </row>
    <row r="602" spans="1:24" ht="13.8" x14ac:dyDescent="0.25">
      <c r="A602" t="s">
        <v>2024</v>
      </c>
      <c r="B602">
        <f>YEAR(Retail_data[[#This Row],[Order Date]])</f>
        <v>2027</v>
      </c>
      <c r="C602" t="str">
        <f>TEXT(Retail_data[[#This Row],[Order Date]],"mmmm")</f>
        <v>May</v>
      </c>
      <c r="D602">
        <f>MONTH(Retail_data[[#This Row],[Order Date]])</f>
        <v>5</v>
      </c>
      <c r="E602" t="str">
        <f>"Q"&amp;ROUNDUP(MONTH(Retail_data[[#This Row],[Order Date]])/3,0)</f>
        <v>Q2</v>
      </c>
      <c r="F602" s="1">
        <v>46522</v>
      </c>
      <c r="G602" s="1">
        <v>46526</v>
      </c>
      <c r="H602" t="s">
        <v>2025</v>
      </c>
      <c r="I602" t="s">
        <v>2026</v>
      </c>
      <c r="J602" t="s">
        <v>21</v>
      </c>
      <c r="K602" t="s">
        <v>22</v>
      </c>
      <c r="L602" t="s">
        <v>45</v>
      </c>
      <c r="M602" t="s">
        <v>45</v>
      </c>
      <c r="N602" t="s">
        <v>25</v>
      </c>
      <c r="O602" t="s">
        <v>37</v>
      </c>
      <c r="P602" t="s">
        <v>52</v>
      </c>
      <c r="Q602" t="s">
        <v>591</v>
      </c>
      <c r="R602">
        <v>34851.370000000003</v>
      </c>
      <c r="S602">
        <v>8</v>
      </c>
      <c r="T602">
        <v>0.2</v>
      </c>
      <c r="U602" t="str">
        <f>IF(Retail_data[[#This Row],[Sales]]&gt;30000,"High",IF(Retail_data[[#This Row],[Sales]]&gt;10000,"Medium","Low"))</f>
        <v>High</v>
      </c>
      <c r="V602" s="3">
        <f>Retail_data[[#This Row],[Profit]]/Retail_data[[#This Row],[Sales]]</f>
        <v>6.7178420819611964E-2</v>
      </c>
      <c r="W602">
        <v>2341.2600000000002</v>
      </c>
      <c r="X602" t="s">
        <v>81</v>
      </c>
    </row>
    <row r="603" spans="1:24" ht="13.8" x14ac:dyDescent="0.25">
      <c r="A603" t="s">
        <v>2027</v>
      </c>
      <c r="B603">
        <f>YEAR(Retail_data[[#This Row],[Order Date]])</f>
        <v>2027</v>
      </c>
      <c r="C603" t="str">
        <f>TEXT(Retail_data[[#This Row],[Order Date]],"mmmm")</f>
        <v>May</v>
      </c>
      <c r="D603">
        <f>MONTH(Retail_data[[#This Row],[Order Date]])</f>
        <v>5</v>
      </c>
      <c r="E603" t="str">
        <f>"Q"&amp;ROUNDUP(MONTH(Retail_data[[#This Row],[Order Date]])/3,0)</f>
        <v>Q2</v>
      </c>
      <c r="F603" s="1">
        <v>46523</v>
      </c>
      <c r="G603" s="1">
        <v>46527</v>
      </c>
      <c r="H603" t="s">
        <v>2028</v>
      </c>
      <c r="I603" t="s">
        <v>2029</v>
      </c>
      <c r="J603" t="s">
        <v>33</v>
      </c>
      <c r="K603" t="s">
        <v>22</v>
      </c>
      <c r="L603" t="s">
        <v>85</v>
      </c>
      <c r="M603" t="s">
        <v>86</v>
      </c>
      <c r="N603" t="s">
        <v>87</v>
      </c>
      <c r="O603" t="s">
        <v>37</v>
      </c>
      <c r="P603" t="s">
        <v>52</v>
      </c>
      <c r="Q603" t="s">
        <v>2030</v>
      </c>
      <c r="R603">
        <v>43639.88</v>
      </c>
      <c r="S603">
        <v>5</v>
      </c>
      <c r="T603">
        <v>0.2</v>
      </c>
      <c r="U603" t="str">
        <f>IF(Retail_data[[#This Row],[Sales]]&gt;30000,"High",IF(Retail_data[[#This Row],[Sales]]&gt;10000,"Medium","Low"))</f>
        <v>High</v>
      </c>
      <c r="V603" s="3">
        <f>Retail_data[[#This Row],[Profit]]/Retail_data[[#This Row],[Sales]]</f>
        <v>2.7368773699652703E-2</v>
      </c>
      <c r="W603">
        <v>1194.3699999999999</v>
      </c>
      <c r="X603" t="s">
        <v>29</v>
      </c>
    </row>
    <row r="604" spans="1:24" ht="13.8" x14ac:dyDescent="0.25">
      <c r="A604" t="s">
        <v>2031</v>
      </c>
      <c r="B604">
        <f>YEAR(Retail_data[[#This Row],[Order Date]])</f>
        <v>2027</v>
      </c>
      <c r="C604" t="str">
        <f>TEXT(Retail_data[[#This Row],[Order Date]],"mmmm")</f>
        <v>May</v>
      </c>
      <c r="D604">
        <f>MONTH(Retail_data[[#This Row],[Order Date]])</f>
        <v>5</v>
      </c>
      <c r="E604" t="str">
        <f>"Q"&amp;ROUNDUP(MONTH(Retail_data[[#This Row],[Order Date]])/3,0)</f>
        <v>Q2</v>
      </c>
      <c r="F604" s="1">
        <v>46524</v>
      </c>
      <c r="G604" s="1">
        <v>46528</v>
      </c>
      <c r="H604" t="s">
        <v>2032</v>
      </c>
      <c r="I604" t="s">
        <v>2033</v>
      </c>
      <c r="J604" t="s">
        <v>44</v>
      </c>
      <c r="K604" t="s">
        <v>22</v>
      </c>
      <c r="L604" t="s">
        <v>23</v>
      </c>
      <c r="M604" t="s">
        <v>24</v>
      </c>
      <c r="N604" t="s">
        <v>25</v>
      </c>
      <c r="O604" t="s">
        <v>37</v>
      </c>
      <c r="P604" t="s">
        <v>38</v>
      </c>
      <c r="Q604" t="s">
        <v>695</v>
      </c>
      <c r="R604">
        <v>25636.45</v>
      </c>
      <c r="S604">
        <v>4</v>
      </c>
      <c r="T604">
        <v>0.2</v>
      </c>
      <c r="U604" t="str">
        <f>IF(Retail_data[[#This Row],[Sales]]&gt;30000,"High",IF(Retail_data[[#This Row],[Sales]]&gt;10000,"Medium","Low"))</f>
        <v>Medium</v>
      </c>
      <c r="V604" s="3">
        <f>Retail_data[[#This Row],[Profit]]/Retail_data[[#This Row],[Sales]]</f>
        <v>9.647864661448835E-2</v>
      </c>
      <c r="W604">
        <v>2473.37</v>
      </c>
      <c r="X604" t="s">
        <v>29</v>
      </c>
    </row>
    <row r="605" spans="1:24" ht="13.8" x14ac:dyDescent="0.25">
      <c r="A605" t="s">
        <v>2034</v>
      </c>
      <c r="B605">
        <f>YEAR(Retail_data[[#This Row],[Order Date]])</f>
        <v>2027</v>
      </c>
      <c r="C605" t="str">
        <f>TEXT(Retail_data[[#This Row],[Order Date]],"mmmm")</f>
        <v>May</v>
      </c>
      <c r="D605">
        <f>MONTH(Retail_data[[#This Row],[Order Date]])</f>
        <v>5</v>
      </c>
      <c r="E605" t="str">
        <f>"Q"&amp;ROUNDUP(MONTH(Retail_data[[#This Row],[Order Date]])/3,0)</f>
        <v>Q2</v>
      </c>
      <c r="F605" s="1">
        <v>46525</v>
      </c>
      <c r="G605" s="1">
        <v>46529</v>
      </c>
      <c r="H605" t="s">
        <v>2035</v>
      </c>
      <c r="I605" t="s">
        <v>2036</v>
      </c>
      <c r="J605" t="s">
        <v>44</v>
      </c>
      <c r="K605" t="s">
        <v>22</v>
      </c>
      <c r="L605" t="s">
        <v>67</v>
      </c>
      <c r="M605" t="s">
        <v>68</v>
      </c>
      <c r="N605" t="s">
        <v>69</v>
      </c>
      <c r="O605" t="s">
        <v>57</v>
      </c>
      <c r="P605" t="s">
        <v>79</v>
      </c>
      <c r="Q605" t="s">
        <v>88</v>
      </c>
      <c r="R605">
        <v>19391.560000000001</v>
      </c>
      <c r="S605">
        <v>4</v>
      </c>
      <c r="T605">
        <v>0.3</v>
      </c>
      <c r="U605" t="str">
        <f>IF(Retail_data[[#This Row],[Sales]]&gt;30000,"High",IF(Retail_data[[#This Row],[Sales]]&gt;10000,"Medium","Low"))</f>
        <v>Medium</v>
      </c>
      <c r="V605" s="3">
        <f>Retail_data[[#This Row],[Profit]]/Retail_data[[#This Row],[Sales]]</f>
        <v>0.16222418412959039</v>
      </c>
      <c r="W605">
        <v>3145.78</v>
      </c>
      <c r="X605" t="s">
        <v>40</v>
      </c>
    </row>
    <row r="606" spans="1:24" ht="13.8" x14ac:dyDescent="0.25">
      <c r="A606" t="s">
        <v>2037</v>
      </c>
      <c r="B606">
        <f>YEAR(Retail_data[[#This Row],[Order Date]])</f>
        <v>2027</v>
      </c>
      <c r="C606" t="str">
        <f>TEXT(Retail_data[[#This Row],[Order Date]],"mmmm")</f>
        <v>May</v>
      </c>
      <c r="D606">
        <f>MONTH(Retail_data[[#This Row],[Order Date]])</f>
        <v>5</v>
      </c>
      <c r="E606" t="str">
        <f>"Q"&amp;ROUNDUP(MONTH(Retail_data[[#This Row],[Order Date]])/3,0)</f>
        <v>Q2</v>
      </c>
      <c r="F606" s="1">
        <v>46526</v>
      </c>
      <c r="G606" s="1">
        <v>46530</v>
      </c>
      <c r="H606" t="s">
        <v>2038</v>
      </c>
      <c r="I606" t="s">
        <v>2039</v>
      </c>
      <c r="J606" t="s">
        <v>21</v>
      </c>
      <c r="K606" t="s">
        <v>22</v>
      </c>
      <c r="L606" t="s">
        <v>85</v>
      </c>
      <c r="M606" t="s">
        <v>86</v>
      </c>
      <c r="N606" t="s">
        <v>87</v>
      </c>
      <c r="O606" t="s">
        <v>26</v>
      </c>
      <c r="P606" t="s">
        <v>70</v>
      </c>
      <c r="Q606" t="s">
        <v>1418</v>
      </c>
      <c r="R606">
        <v>41987.45</v>
      </c>
      <c r="S606">
        <v>7</v>
      </c>
      <c r="T606">
        <v>0.3</v>
      </c>
      <c r="U606" t="str">
        <f>IF(Retail_data[[#This Row],[Sales]]&gt;30000,"High",IF(Retail_data[[#This Row],[Sales]]&gt;10000,"Medium","Low"))</f>
        <v>High</v>
      </c>
      <c r="V606" s="3">
        <f>Retail_data[[#This Row],[Profit]]/Retail_data[[#This Row],[Sales]]</f>
        <v>-3.5948598926584023E-2</v>
      </c>
      <c r="W606">
        <v>-1509.39</v>
      </c>
      <c r="X606" t="s">
        <v>29</v>
      </c>
    </row>
    <row r="607" spans="1:24" ht="13.8" x14ac:dyDescent="0.25">
      <c r="A607" t="s">
        <v>2040</v>
      </c>
      <c r="B607">
        <f>YEAR(Retail_data[[#This Row],[Order Date]])</f>
        <v>2027</v>
      </c>
      <c r="C607" t="str">
        <f>TEXT(Retail_data[[#This Row],[Order Date]],"mmmm")</f>
        <v>May</v>
      </c>
      <c r="D607">
        <f>MONTH(Retail_data[[#This Row],[Order Date]])</f>
        <v>5</v>
      </c>
      <c r="E607" t="str">
        <f>"Q"&amp;ROUNDUP(MONTH(Retail_data[[#This Row],[Order Date]])/3,0)</f>
        <v>Q2</v>
      </c>
      <c r="F607" s="1">
        <v>46527</v>
      </c>
      <c r="G607" s="1">
        <v>46531</v>
      </c>
      <c r="H607" t="s">
        <v>2041</v>
      </c>
      <c r="I607" t="s">
        <v>2042</v>
      </c>
      <c r="J607" t="s">
        <v>21</v>
      </c>
      <c r="K607" t="s">
        <v>22</v>
      </c>
      <c r="L607" t="s">
        <v>67</v>
      </c>
      <c r="M607" t="s">
        <v>68</v>
      </c>
      <c r="N607" t="s">
        <v>69</v>
      </c>
      <c r="O607" t="s">
        <v>37</v>
      </c>
      <c r="P607" t="s">
        <v>46</v>
      </c>
      <c r="Q607" t="s">
        <v>849</v>
      </c>
      <c r="R607">
        <v>20248.29</v>
      </c>
      <c r="S607">
        <v>6</v>
      </c>
      <c r="T607">
        <v>0.1</v>
      </c>
      <c r="U607" t="str">
        <f>IF(Retail_data[[#This Row],[Sales]]&gt;30000,"High",IF(Retail_data[[#This Row],[Sales]]&gt;10000,"Medium","Low"))</f>
        <v>Medium</v>
      </c>
      <c r="V607" s="3">
        <f>Retail_data[[#This Row],[Profit]]/Retail_data[[#This Row],[Sales]]</f>
        <v>0.22162957958425131</v>
      </c>
      <c r="W607">
        <v>4487.62</v>
      </c>
      <c r="X607" t="s">
        <v>40</v>
      </c>
    </row>
    <row r="608" spans="1:24" ht="13.8" x14ac:dyDescent="0.25">
      <c r="A608" t="s">
        <v>2043</v>
      </c>
      <c r="B608">
        <f>YEAR(Retail_data[[#This Row],[Order Date]])</f>
        <v>2027</v>
      </c>
      <c r="C608" t="str">
        <f>TEXT(Retail_data[[#This Row],[Order Date]],"mmmm")</f>
        <v>May</v>
      </c>
      <c r="D608">
        <f>MONTH(Retail_data[[#This Row],[Order Date]])</f>
        <v>5</v>
      </c>
      <c r="E608" t="str">
        <f>"Q"&amp;ROUNDUP(MONTH(Retail_data[[#This Row],[Order Date]])/3,0)</f>
        <v>Q2</v>
      </c>
      <c r="F608" s="1">
        <v>46528</v>
      </c>
      <c r="G608" s="1">
        <v>46532</v>
      </c>
      <c r="H608" t="s">
        <v>2044</v>
      </c>
      <c r="I608" t="s">
        <v>2045</v>
      </c>
      <c r="J608" t="s">
        <v>33</v>
      </c>
      <c r="K608" t="s">
        <v>22</v>
      </c>
      <c r="L608" t="s">
        <v>67</v>
      </c>
      <c r="M608" t="s">
        <v>68</v>
      </c>
      <c r="N608" t="s">
        <v>69</v>
      </c>
      <c r="O608" t="s">
        <v>26</v>
      </c>
      <c r="P608" t="s">
        <v>92</v>
      </c>
      <c r="Q608" t="s">
        <v>121</v>
      </c>
      <c r="R608">
        <v>11800.57</v>
      </c>
      <c r="S608">
        <v>3</v>
      </c>
      <c r="T608">
        <v>0.1</v>
      </c>
      <c r="U608" t="str">
        <f>IF(Retail_data[[#This Row],[Sales]]&gt;30000,"High",IF(Retail_data[[#This Row],[Sales]]&gt;10000,"Medium","Low"))</f>
        <v>Medium</v>
      </c>
      <c r="V608" s="3">
        <f>Retail_data[[#This Row],[Profit]]/Retail_data[[#This Row],[Sales]]</f>
        <v>0.17903796172557768</v>
      </c>
      <c r="W608">
        <v>2112.75</v>
      </c>
      <c r="X608" t="s">
        <v>40</v>
      </c>
    </row>
    <row r="609" spans="1:24" ht="13.8" x14ac:dyDescent="0.25">
      <c r="A609" t="s">
        <v>2046</v>
      </c>
      <c r="B609">
        <f>YEAR(Retail_data[[#This Row],[Order Date]])</f>
        <v>2027</v>
      </c>
      <c r="C609" t="str">
        <f>TEXT(Retail_data[[#This Row],[Order Date]],"mmmm")</f>
        <v>May</v>
      </c>
      <c r="D609">
        <f>MONTH(Retail_data[[#This Row],[Order Date]])</f>
        <v>5</v>
      </c>
      <c r="E609" t="str">
        <f>"Q"&amp;ROUNDUP(MONTH(Retail_data[[#This Row],[Order Date]])/3,0)</f>
        <v>Q2</v>
      </c>
      <c r="F609" s="1">
        <v>46529</v>
      </c>
      <c r="G609" s="1">
        <v>46533</v>
      </c>
      <c r="H609" t="s">
        <v>2047</v>
      </c>
      <c r="I609" t="s">
        <v>2048</v>
      </c>
      <c r="J609" t="s">
        <v>33</v>
      </c>
      <c r="K609" t="s">
        <v>22</v>
      </c>
      <c r="L609" t="s">
        <v>34</v>
      </c>
      <c r="M609" t="s">
        <v>35</v>
      </c>
      <c r="N609" t="s">
        <v>36</v>
      </c>
      <c r="O609" t="s">
        <v>57</v>
      </c>
      <c r="P609" t="s">
        <v>149</v>
      </c>
      <c r="Q609" t="s">
        <v>835</v>
      </c>
      <c r="R609">
        <v>49632.38</v>
      </c>
      <c r="S609">
        <v>8</v>
      </c>
      <c r="T609">
        <v>0</v>
      </c>
      <c r="U609" t="str">
        <f>IF(Retail_data[[#This Row],[Sales]]&gt;30000,"High",IF(Retail_data[[#This Row],[Sales]]&gt;10000,"Medium","Low"))</f>
        <v>High</v>
      </c>
      <c r="V609" s="3">
        <f>Retail_data[[#This Row],[Profit]]/Retail_data[[#This Row],[Sales]]</f>
        <v>0.17773175495513213</v>
      </c>
      <c r="W609">
        <v>8821.25</v>
      </c>
      <c r="X609" t="s">
        <v>40</v>
      </c>
    </row>
    <row r="610" spans="1:24" ht="13.8" x14ac:dyDescent="0.25">
      <c r="A610" t="s">
        <v>2049</v>
      </c>
      <c r="B610">
        <f>YEAR(Retail_data[[#This Row],[Order Date]])</f>
        <v>2027</v>
      </c>
      <c r="C610" t="str">
        <f>TEXT(Retail_data[[#This Row],[Order Date]],"mmmm")</f>
        <v>May</v>
      </c>
      <c r="D610">
        <f>MONTH(Retail_data[[#This Row],[Order Date]])</f>
        <v>5</v>
      </c>
      <c r="E610" t="str">
        <f>"Q"&amp;ROUNDUP(MONTH(Retail_data[[#This Row],[Order Date]])/3,0)</f>
        <v>Q2</v>
      </c>
      <c r="F610" s="1">
        <v>46530</v>
      </c>
      <c r="G610" s="1">
        <v>46534</v>
      </c>
      <c r="H610" t="s">
        <v>2050</v>
      </c>
      <c r="I610" t="s">
        <v>2051</v>
      </c>
      <c r="J610" t="s">
        <v>33</v>
      </c>
      <c r="K610" t="s">
        <v>22</v>
      </c>
      <c r="L610" t="s">
        <v>34</v>
      </c>
      <c r="M610" t="s">
        <v>35</v>
      </c>
      <c r="N610" t="s">
        <v>36</v>
      </c>
      <c r="O610" t="s">
        <v>57</v>
      </c>
      <c r="P610" t="s">
        <v>149</v>
      </c>
      <c r="Q610" t="s">
        <v>407</v>
      </c>
      <c r="R610">
        <v>10919.64</v>
      </c>
      <c r="S610">
        <v>4</v>
      </c>
      <c r="T610">
        <v>0.3</v>
      </c>
      <c r="U610" t="str">
        <f>IF(Retail_data[[#This Row],[Sales]]&gt;30000,"High",IF(Retail_data[[#This Row],[Sales]]&gt;10000,"Medium","Low"))</f>
        <v>Medium</v>
      </c>
      <c r="V610" s="3">
        <f>Retail_data[[#This Row],[Profit]]/Retail_data[[#This Row],[Sales]]</f>
        <v>0.14206329146382116</v>
      </c>
      <c r="W610">
        <v>1551.28</v>
      </c>
      <c r="X610" t="s">
        <v>29</v>
      </c>
    </row>
    <row r="611" spans="1:24" ht="13.8" x14ac:dyDescent="0.25">
      <c r="A611" t="s">
        <v>2052</v>
      </c>
      <c r="B611">
        <f>YEAR(Retail_data[[#This Row],[Order Date]])</f>
        <v>2027</v>
      </c>
      <c r="C611" t="str">
        <f>TEXT(Retail_data[[#This Row],[Order Date]],"mmmm")</f>
        <v>May</v>
      </c>
      <c r="D611">
        <f>MONTH(Retail_data[[#This Row],[Order Date]])</f>
        <v>5</v>
      </c>
      <c r="E611" t="str">
        <f>"Q"&amp;ROUNDUP(MONTH(Retail_data[[#This Row],[Order Date]])/3,0)</f>
        <v>Q2</v>
      </c>
      <c r="F611" s="1">
        <v>46531</v>
      </c>
      <c r="G611" s="1">
        <v>46535</v>
      </c>
      <c r="H611" t="s">
        <v>2053</v>
      </c>
      <c r="I611" t="s">
        <v>2054</v>
      </c>
      <c r="J611" t="s">
        <v>21</v>
      </c>
      <c r="K611" t="s">
        <v>22</v>
      </c>
      <c r="L611" t="s">
        <v>34</v>
      </c>
      <c r="M611" t="s">
        <v>35</v>
      </c>
      <c r="N611" t="s">
        <v>36</v>
      </c>
      <c r="O611" t="s">
        <v>26</v>
      </c>
      <c r="P611" t="s">
        <v>27</v>
      </c>
      <c r="Q611" t="s">
        <v>511</v>
      </c>
      <c r="R611">
        <v>28135.54</v>
      </c>
      <c r="S611">
        <v>3</v>
      </c>
      <c r="T611">
        <v>0.3</v>
      </c>
      <c r="U611" t="str">
        <f>IF(Retail_data[[#This Row],[Sales]]&gt;30000,"High",IF(Retail_data[[#This Row],[Sales]]&gt;10000,"Medium","Low"))</f>
        <v>Medium</v>
      </c>
      <c r="V611" s="3">
        <f>Retail_data[[#This Row],[Profit]]/Retail_data[[#This Row],[Sales]]</f>
        <v>7.8265780575030724E-2</v>
      </c>
      <c r="W611">
        <v>2202.0500000000002</v>
      </c>
      <c r="X611" t="s">
        <v>40</v>
      </c>
    </row>
    <row r="612" spans="1:24" ht="13.8" x14ac:dyDescent="0.25">
      <c r="A612" t="s">
        <v>2055</v>
      </c>
      <c r="B612">
        <f>YEAR(Retail_data[[#This Row],[Order Date]])</f>
        <v>2027</v>
      </c>
      <c r="C612" t="str">
        <f>TEXT(Retail_data[[#This Row],[Order Date]],"mmmm")</f>
        <v>May</v>
      </c>
      <c r="D612">
        <f>MONTH(Retail_data[[#This Row],[Order Date]])</f>
        <v>5</v>
      </c>
      <c r="E612" t="str">
        <f>"Q"&amp;ROUNDUP(MONTH(Retail_data[[#This Row],[Order Date]])/3,0)</f>
        <v>Q2</v>
      </c>
      <c r="F612" s="1">
        <v>46532</v>
      </c>
      <c r="G612" s="1">
        <v>46536</v>
      </c>
      <c r="H612" t="s">
        <v>2056</v>
      </c>
      <c r="I612" t="s">
        <v>2057</v>
      </c>
      <c r="J612" t="s">
        <v>21</v>
      </c>
      <c r="K612" t="s">
        <v>22</v>
      </c>
      <c r="L612" t="s">
        <v>85</v>
      </c>
      <c r="M612" t="s">
        <v>86</v>
      </c>
      <c r="N612" t="s">
        <v>87</v>
      </c>
      <c r="O612" t="s">
        <v>37</v>
      </c>
      <c r="P612" t="s">
        <v>52</v>
      </c>
      <c r="Q612" t="s">
        <v>292</v>
      </c>
      <c r="R612">
        <v>37275.360000000001</v>
      </c>
      <c r="S612">
        <v>1</v>
      </c>
      <c r="T612">
        <v>0.3</v>
      </c>
      <c r="U612" t="str">
        <f>IF(Retail_data[[#This Row],[Sales]]&gt;30000,"High",IF(Retail_data[[#This Row],[Sales]]&gt;10000,"Medium","Low"))</f>
        <v>High</v>
      </c>
      <c r="V612" s="3">
        <f>Retail_data[[#This Row],[Profit]]/Retail_data[[#This Row],[Sales]]</f>
        <v>-5.9786947731691922E-2</v>
      </c>
      <c r="W612">
        <v>-2228.58</v>
      </c>
      <c r="X612" t="s">
        <v>81</v>
      </c>
    </row>
    <row r="613" spans="1:24" ht="13.8" x14ac:dyDescent="0.25">
      <c r="A613" t="s">
        <v>2058</v>
      </c>
      <c r="B613">
        <f>YEAR(Retail_data[[#This Row],[Order Date]])</f>
        <v>2027</v>
      </c>
      <c r="C613" t="str">
        <f>TEXT(Retail_data[[#This Row],[Order Date]],"mmmm")</f>
        <v>May</v>
      </c>
      <c r="D613">
        <f>MONTH(Retail_data[[#This Row],[Order Date]])</f>
        <v>5</v>
      </c>
      <c r="E613" t="str">
        <f>"Q"&amp;ROUNDUP(MONTH(Retail_data[[#This Row],[Order Date]])/3,0)</f>
        <v>Q2</v>
      </c>
      <c r="F613" s="1">
        <v>46533</v>
      </c>
      <c r="G613" s="1">
        <v>46537</v>
      </c>
      <c r="H613" t="s">
        <v>2059</v>
      </c>
      <c r="I613" t="s">
        <v>2060</v>
      </c>
      <c r="J613" t="s">
        <v>33</v>
      </c>
      <c r="K613" t="s">
        <v>22</v>
      </c>
      <c r="L613" t="s">
        <v>45</v>
      </c>
      <c r="M613" t="s">
        <v>45</v>
      </c>
      <c r="N613" t="s">
        <v>25</v>
      </c>
      <c r="O613" t="s">
        <v>26</v>
      </c>
      <c r="P613" t="s">
        <v>70</v>
      </c>
      <c r="Q613" t="s">
        <v>161</v>
      </c>
      <c r="R613">
        <v>7994.49</v>
      </c>
      <c r="S613">
        <v>8</v>
      </c>
      <c r="T613">
        <v>0.3</v>
      </c>
      <c r="U613" t="str">
        <f>IF(Retail_data[[#This Row],[Sales]]&gt;30000,"High",IF(Retail_data[[#This Row],[Sales]]&gt;10000,"Medium","Low"))</f>
        <v>Low</v>
      </c>
      <c r="V613" s="3">
        <f>Retail_data[[#This Row],[Profit]]/Retail_data[[#This Row],[Sales]]</f>
        <v>-6.7156253869852855E-2</v>
      </c>
      <c r="W613">
        <v>-536.88</v>
      </c>
      <c r="X613" t="s">
        <v>40</v>
      </c>
    </row>
    <row r="614" spans="1:24" ht="13.8" x14ac:dyDescent="0.25">
      <c r="A614" t="s">
        <v>2061</v>
      </c>
      <c r="B614">
        <f>YEAR(Retail_data[[#This Row],[Order Date]])</f>
        <v>2027</v>
      </c>
      <c r="C614" t="str">
        <f>TEXT(Retail_data[[#This Row],[Order Date]],"mmmm")</f>
        <v>May</v>
      </c>
      <c r="D614">
        <f>MONTH(Retail_data[[#This Row],[Order Date]])</f>
        <v>5</v>
      </c>
      <c r="E614" t="str">
        <f>"Q"&amp;ROUNDUP(MONTH(Retail_data[[#This Row],[Order Date]])/3,0)</f>
        <v>Q2</v>
      </c>
      <c r="F614" s="1">
        <v>46534</v>
      </c>
      <c r="G614" s="1">
        <v>46538</v>
      </c>
      <c r="H614" t="s">
        <v>2062</v>
      </c>
      <c r="I614" t="s">
        <v>2063</v>
      </c>
      <c r="J614" t="s">
        <v>21</v>
      </c>
      <c r="K614" t="s">
        <v>22</v>
      </c>
      <c r="L614" t="s">
        <v>85</v>
      </c>
      <c r="M614" t="s">
        <v>86</v>
      </c>
      <c r="N614" t="s">
        <v>87</v>
      </c>
      <c r="O614" t="s">
        <v>37</v>
      </c>
      <c r="P614" t="s">
        <v>38</v>
      </c>
      <c r="Q614" t="s">
        <v>649</v>
      </c>
      <c r="R614">
        <v>13018.32</v>
      </c>
      <c r="S614">
        <v>7</v>
      </c>
      <c r="T614">
        <v>0.3</v>
      </c>
      <c r="U614" t="str">
        <f>IF(Retail_data[[#This Row],[Sales]]&gt;30000,"High",IF(Retail_data[[#This Row],[Sales]]&gt;10000,"Medium","Low"))</f>
        <v>Medium</v>
      </c>
      <c r="V614" s="3">
        <f>Retail_data[[#This Row],[Profit]]/Retail_data[[#This Row],[Sales]]</f>
        <v>0.10125346434870246</v>
      </c>
      <c r="W614">
        <v>1318.15</v>
      </c>
      <c r="X614" t="s">
        <v>29</v>
      </c>
    </row>
    <row r="615" spans="1:24" ht="13.8" x14ac:dyDescent="0.25">
      <c r="A615" t="s">
        <v>2064</v>
      </c>
      <c r="B615">
        <f>YEAR(Retail_data[[#This Row],[Order Date]])</f>
        <v>2027</v>
      </c>
      <c r="C615" t="str">
        <f>TEXT(Retail_data[[#This Row],[Order Date]],"mmmm")</f>
        <v>May</v>
      </c>
      <c r="D615">
        <f>MONTH(Retail_data[[#This Row],[Order Date]])</f>
        <v>5</v>
      </c>
      <c r="E615" t="str">
        <f>"Q"&amp;ROUNDUP(MONTH(Retail_data[[#This Row],[Order Date]])/3,0)</f>
        <v>Q2</v>
      </c>
      <c r="F615" s="1">
        <v>46535</v>
      </c>
      <c r="G615" s="1">
        <v>46539</v>
      </c>
      <c r="H615" t="s">
        <v>2065</v>
      </c>
      <c r="I615" t="s">
        <v>2066</v>
      </c>
      <c r="J615" t="s">
        <v>44</v>
      </c>
      <c r="K615" t="s">
        <v>22</v>
      </c>
      <c r="L615" t="s">
        <v>23</v>
      </c>
      <c r="M615" t="s">
        <v>24</v>
      </c>
      <c r="N615" t="s">
        <v>25</v>
      </c>
      <c r="O615" t="s">
        <v>57</v>
      </c>
      <c r="P615" t="s">
        <v>149</v>
      </c>
      <c r="Q615" t="s">
        <v>399</v>
      </c>
      <c r="R615">
        <v>48695.7</v>
      </c>
      <c r="S615">
        <v>5</v>
      </c>
      <c r="T615">
        <v>0.3</v>
      </c>
      <c r="U615" t="str">
        <f>IF(Retail_data[[#This Row],[Sales]]&gt;30000,"High",IF(Retail_data[[#This Row],[Sales]]&gt;10000,"Medium","Low"))</f>
        <v>High</v>
      </c>
      <c r="V615" s="3">
        <f>Retail_data[[#This Row],[Profit]]/Retail_data[[#This Row],[Sales]]</f>
        <v>1.7698687974502882E-2</v>
      </c>
      <c r="W615">
        <v>861.85</v>
      </c>
      <c r="X615" t="s">
        <v>29</v>
      </c>
    </row>
    <row r="616" spans="1:24" ht="13.8" x14ac:dyDescent="0.25">
      <c r="A616" t="s">
        <v>2067</v>
      </c>
      <c r="B616">
        <f>YEAR(Retail_data[[#This Row],[Order Date]])</f>
        <v>2027</v>
      </c>
      <c r="C616" t="str">
        <f>TEXT(Retail_data[[#This Row],[Order Date]],"mmmm")</f>
        <v>May</v>
      </c>
      <c r="D616">
        <f>MONTH(Retail_data[[#This Row],[Order Date]])</f>
        <v>5</v>
      </c>
      <c r="E616" t="str">
        <f>"Q"&amp;ROUNDUP(MONTH(Retail_data[[#This Row],[Order Date]])/3,0)</f>
        <v>Q2</v>
      </c>
      <c r="F616" s="1">
        <v>46536</v>
      </c>
      <c r="G616" s="1">
        <v>46540</v>
      </c>
      <c r="H616" t="s">
        <v>2068</v>
      </c>
      <c r="I616" t="s">
        <v>2069</v>
      </c>
      <c r="J616" t="s">
        <v>33</v>
      </c>
      <c r="K616" t="s">
        <v>22</v>
      </c>
      <c r="L616" t="s">
        <v>85</v>
      </c>
      <c r="M616" t="s">
        <v>86</v>
      </c>
      <c r="N616" t="s">
        <v>87</v>
      </c>
      <c r="O616" t="s">
        <v>26</v>
      </c>
      <c r="P616" t="s">
        <v>92</v>
      </c>
      <c r="Q616" t="s">
        <v>235</v>
      </c>
      <c r="R616">
        <v>49606.91</v>
      </c>
      <c r="S616">
        <v>7</v>
      </c>
      <c r="T616">
        <v>0.3</v>
      </c>
      <c r="U616" t="str">
        <f>IF(Retail_data[[#This Row],[Sales]]&gt;30000,"High",IF(Retail_data[[#This Row],[Sales]]&gt;10000,"Medium","Low"))</f>
        <v>High</v>
      </c>
      <c r="V616" s="3">
        <f>Retail_data[[#This Row],[Profit]]/Retail_data[[#This Row],[Sales]]</f>
        <v>5.2747288633781059E-2</v>
      </c>
      <c r="W616">
        <v>2616.63</v>
      </c>
      <c r="X616" t="s">
        <v>48</v>
      </c>
    </row>
    <row r="617" spans="1:24" ht="13.8" x14ac:dyDescent="0.25">
      <c r="A617" t="s">
        <v>2070</v>
      </c>
      <c r="B617">
        <f>YEAR(Retail_data[[#This Row],[Order Date]])</f>
        <v>2027</v>
      </c>
      <c r="C617" t="str">
        <f>TEXT(Retail_data[[#This Row],[Order Date]],"mmmm")</f>
        <v>May</v>
      </c>
      <c r="D617">
        <f>MONTH(Retail_data[[#This Row],[Order Date]])</f>
        <v>5</v>
      </c>
      <c r="E617" t="str">
        <f>"Q"&amp;ROUNDUP(MONTH(Retail_data[[#This Row],[Order Date]])/3,0)</f>
        <v>Q2</v>
      </c>
      <c r="F617" s="1">
        <v>46537</v>
      </c>
      <c r="G617" s="1">
        <v>46541</v>
      </c>
      <c r="H617" t="s">
        <v>2071</v>
      </c>
      <c r="I617" t="s">
        <v>2072</v>
      </c>
      <c r="J617" t="s">
        <v>21</v>
      </c>
      <c r="K617" t="s">
        <v>22</v>
      </c>
      <c r="L617" t="s">
        <v>23</v>
      </c>
      <c r="M617" t="s">
        <v>24</v>
      </c>
      <c r="N617" t="s">
        <v>25</v>
      </c>
      <c r="O617" t="s">
        <v>26</v>
      </c>
      <c r="P617" t="s">
        <v>27</v>
      </c>
      <c r="Q617" t="s">
        <v>285</v>
      </c>
      <c r="R617">
        <v>41661.03</v>
      </c>
      <c r="S617">
        <v>1</v>
      </c>
      <c r="T617">
        <v>0</v>
      </c>
      <c r="U617" t="str">
        <f>IF(Retail_data[[#This Row],[Sales]]&gt;30000,"High",IF(Retail_data[[#This Row],[Sales]]&gt;10000,"Medium","Low"))</f>
        <v>High</v>
      </c>
      <c r="V617" s="3">
        <f>Retail_data[[#This Row],[Profit]]/Retail_data[[#This Row],[Sales]]</f>
        <v>0.24849793680089044</v>
      </c>
      <c r="W617">
        <v>10352.68</v>
      </c>
      <c r="X617" t="s">
        <v>48</v>
      </c>
    </row>
    <row r="618" spans="1:24" ht="13.8" x14ac:dyDescent="0.25">
      <c r="A618" t="s">
        <v>2073</v>
      </c>
      <c r="B618">
        <f>YEAR(Retail_data[[#This Row],[Order Date]])</f>
        <v>2027</v>
      </c>
      <c r="C618" t="str">
        <f>TEXT(Retail_data[[#This Row],[Order Date]],"mmmm")</f>
        <v>May</v>
      </c>
      <c r="D618">
        <f>MONTH(Retail_data[[#This Row],[Order Date]])</f>
        <v>5</v>
      </c>
      <c r="E618" t="str">
        <f>"Q"&amp;ROUNDUP(MONTH(Retail_data[[#This Row],[Order Date]])/3,0)</f>
        <v>Q2</v>
      </c>
      <c r="F618" s="1">
        <v>46538</v>
      </c>
      <c r="G618" s="1">
        <v>46542</v>
      </c>
      <c r="H618" t="s">
        <v>2074</v>
      </c>
      <c r="I618" t="s">
        <v>2075</v>
      </c>
      <c r="J618" t="s">
        <v>33</v>
      </c>
      <c r="K618" t="s">
        <v>22</v>
      </c>
      <c r="L618" t="s">
        <v>45</v>
      </c>
      <c r="M618" t="s">
        <v>45</v>
      </c>
      <c r="N618" t="s">
        <v>25</v>
      </c>
      <c r="O618" t="s">
        <v>57</v>
      </c>
      <c r="P618" t="s">
        <v>79</v>
      </c>
      <c r="Q618" t="s">
        <v>489</v>
      </c>
      <c r="R618">
        <v>32727.63</v>
      </c>
      <c r="S618">
        <v>6</v>
      </c>
      <c r="T618">
        <v>0.1</v>
      </c>
      <c r="U618" t="str">
        <f>IF(Retail_data[[#This Row],[Sales]]&gt;30000,"High",IF(Retail_data[[#This Row],[Sales]]&gt;10000,"Medium","Low"))</f>
        <v>High</v>
      </c>
      <c r="V618" s="3">
        <f>Retail_data[[#This Row],[Profit]]/Retail_data[[#This Row],[Sales]]</f>
        <v>5.5921250637458321E-2</v>
      </c>
      <c r="W618">
        <v>1830.17</v>
      </c>
      <c r="X618" t="s">
        <v>48</v>
      </c>
    </row>
    <row r="619" spans="1:24" ht="13.8" x14ac:dyDescent="0.25">
      <c r="A619" t="s">
        <v>2076</v>
      </c>
      <c r="B619">
        <f>YEAR(Retail_data[[#This Row],[Order Date]])</f>
        <v>2027</v>
      </c>
      <c r="C619" t="str">
        <f>TEXT(Retail_data[[#This Row],[Order Date]],"mmmm")</f>
        <v>June</v>
      </c>
      <c r="D619">
        <f>MONTH(Retail_data[[#This Row],[Order Date]])</f>
        <v>6</v>
      </c>
      <c r="E619" t="str">
        <f>"Q"&amp;ROUNDUP(MONTH(Retail_data[[#This Row],[Order Date]])/3,0)</f>
        <v>Q2</v>
      </c>
      <c r="F619" s="1">
        <v>46539</v>
      </c>
      <c r="G619" s="1">
        <v>46543</v>
      </c>
      <c r="H619" t="s">
        <v>2077</v>
      </c>
      <c r="I619" t="s">
        <v>2078</v>
      </c>
      <c r="J619" t="s">
        <v>44</v>
      </c>
      <c r="K619" t="s">
        <v>22</v>
      </c>
      <c r="L619" t="s">
        <v>34</v>
      </c>
      <c r="M619" t="s">
        <v>35</v>
      </c>
      <c r="N619" t="s">
        <v>36</v>
      </c>
      <c r="O619" t="s">
        <v>37</v>
      </c>
      <c r="P619" t="s">
        <v>46</v>
      </c>
      <c r="Q619" t="s">
        <v>563</v>
      </c>
      <c r="R619">
        <v>12519.09</v>
      </c>
      <c r="S619">
        <v>4</v>
      </c>
      <c r="T619">
        <v>0.3</v>
      </c>
      <c r="U619" t="str">
        <f>IF(Retail_data[[#This Row],[Sales]]&gt;30000,"High",IF(Retail_data[[#This Row],[Sales]]&gt;10000,"Medium","Low"))</f>
        <v>Medium</v>
      </c>
      <c r="V619" s="3">
        <f>Retail_data[[#This Row],[Profit]]/Retail_data[[#This Row],[Sales]]</f>
        <v>9.4927027443687997E-3</v>
      </c>
      <c r="W619">
        <v>118.84</v>
      </c>
      <c r="X619" t="s">
        <v>48</v>
      </c>
    </row>
    <row r="620" spans="1:24" ht="13.8" x14ac:dyDescent="0.25">
      <c r="A620" t="s">
        <v>2079</v>
      </c>
      <c r="B620">
        <f>YEAR(Retail_data[[#This Row],[Order Date]])</f>
        <v>2027</v>
      </c>
      <c r="C620" t="str">
        <f>TEXT(Retail_data[[#This Row],[Order Date]],"mmmm")</f>
        <v>June</v>
      </c>
      <c r="D620">
        <f>MONTH(Retail_data[[#This Row],[Order Date]])</f>
        <v>6</v>
      </c>
      <c r="E620" t="str">
        <f>"Q"&amp;ROUNDUP(MONTH(Retail_data[[#This Row],[Order Date]])/3,0)</f>
        <v>Q2</v>
      </c>
      <c r="F620" s="1">
        <v>46540</v>
      </c>
      <c r="G620" s="1">
        <v>46544</v>
      </c>
      <c r="H620" t="s">
        <v>2080</v>
      </c>
      <c r="I620" t="s">
        <v>2081</v>
      </c>
      <c r="J620" t="s">
        <v>33</v>
      </c>
      <c r="K620" t="s">
        <v>22</v>
      </c>
      <c r="L620" t="s">
        <v>23</v>
      </c>
      <c r="M620" t="s">
        <v>24</v>
      </c>
      <c r="N620" t="s">
        <v>25</v>
      </c>
      <c r="O620" t="s">
        <v>26</v>
      </c>
      <c r="P620" t="s">
        <v>27</v>
      </c>
      <c r="Q620" t="s">
        <v>347</v>
      </c>
      <c r="R620">
        <v>6473.78</v>
      </c>
      <c r="S620">
        <v>5</v>
      </c>
      <c r="T620">
        <v>0.3</v>
      </c>
      <c r="U620" t="str">
        <f>IF(Retail_data[[#This Row],[Sales]]&gt;30000,"High",IF(Retail_data[[#This Row],[Sales]]&gt;10000,"Medium","Low"))</f>
        <v>Low</v>
      </c>
      <c r="V620" s="3">
        <f>Retail_data[[#This Row],[Profit]]/Retail_data[[#This Row],[Sales]]</f>
        <v>9.4130477093753578E-2</v>
      </c>
      <c r="W620">
        <v>609.38</v>
      </c>
      <c r="X620" t="s">
        <v>81</v>
      </c>
    </row>
    <row r="621" spans="1:24" ht="13.8" x14ac:dyDescent="0.25">
      <c r="A621" t="s">
        <v>2082</v>
      </c>
      <c r="B621">
        <f>YEAR(Retail_data[[#This Row],[Order Date]])</f>
        <v>2027</v>
      </c>
      <c r="C621" t="str">
        <f>TEXT(Retail_data[[#This Row],[Order Date]],"mmmm")</f>
        <v>June</v>
      </c>
      <c r="D621">
        <f>MONTH(Retail_data[[#This Row],[Order Date]])</f>
        <v>6</v>
      </c>
      <c r="E621" t="str">
        <f>"Q"&amp;ROUNDUP(MONTH(Retail_data[[#This Row],[Order Date]])/3,0)</f>
        <v>Q2</v>
      </c>
      <c r="F621" s="1">
        <v>46541</v>
      </c>
      <c r="G621" s="1">
        <v>46545</v>
      </c>
      <c r="H621" t="s">
        <v>2083</v>
      </c>
      <c r="I621" t="s">
        <v>2084</v>
      </c>
      <c r="J621" t="s">
        <v>21</v>
      </c>
      <c r="K621" t="s">
        <v>22</v>
      </c>
      <c r="L621" t="s">
        <v>23</v>
      </c>
      <c r="M621" t="s">
        <v>24</v>
      </c>
      <c r="N621" t="s">
        <v>25</v>
      </c>
      <c r="O621" t="s">
        <v>57</v>
      </c>
      <c r="P621" t="s">
        <v>58</v>
      </c>
      <c r="Q621" t="s">
        <v>731</v>
      </c>
      <c r="R621">
        <v>29572</v>
      </c>
      <c r="S621">
        <v>7</v>
      </c>
      <c r="T621">
        <v>0.1</v>
      </c>
      <c r="U621" t="str">
        <f>IF(Retail_data[[#This Row],[Sales]]&gt;30000,"High",IF(Retail_data[[#This Row],[Sales]]&gt;10000,"Medium","Low"))</f>
        <v>Medium</v>
      </c>
      <c r="V621" s="3">
        <f>Retail_data[[#This Row],[Profit]]/Retail_data[[#This Row],[Sales]]</f>
        <v>9.0376031381036115E-2</v>
      </c>
      <c r="W621">
        <v>2672.6</v>
      </c>
      <c r="X621" t="s">
        <v>40</v>
      </c>
    </row>
    <row r="622" spans="1:24" ht="13.8" x14ac:dyDescent="0.25">
      <c r="A622" t="s">
        <v>2085</v>
      </c>
      <c r="B622">
        <f>YEAR(Retail_data[[#This Row],[Order Date]])</f>
        <v>2027</v>
      </c>
      <c r="C622" t="str">
        <f>TEXT(Retail_data[[#This Row],[Order Date]],"mmmm")</f>
        <v>June</v>
      </c>
      <c r="D622">
        <f>MONTH(Retail_data[[#This Row],[Order Date]])</f>
        <v>6</v>
      </c>
      <c r="E622" t="str">
        <f>"Q"&amp;ROUNDUP(MONTH(Retail_data[[#This Row],[Order Date]])/3,0)</f>
        <v>Q2</v>
      </c>
      <c r="F622" s="1">
        <v>46542</v>
      </c>
      <c r="G622" s="1">
        <v>46546</v>
      </c>
      <c r="H622" t="s">
        <v>2086</v>
      </c>
      <c r="I622" t="s">
        <v>2087</v>
      </c>
      <c r="J622" t="s">
        <v>33</v>
      </c>
      <c r="K622" t="s">
        <v>22</v>
      </c>
      <c r="L622" t="s">
        <v>34</v>
      </c>
      <c r="M622" t="s">
        <v>35</v>
      </c>
      <c r="N622" t="s">
        <v>36</v>
      </c>
      <c r="O622" t="s">
        <v>37</v>
      </c>
      <c r="P622" t="s">
        <v>46</v>
      </c>
      <c r="Q622" t="s">
        <v>968</v>
      </c>
      <c r="R622">
        <v>36437.19</v>
      </c>
      <c r="S622">
        <v>5</v>
      </c>
      <c r="T622">
        <v>0.2</v>
      </c>
      <c r="U622" t="str">
        <f>IF(Retail_data[[#This Row],[Sales]]&gt;30000,"High",IF(Retail_data[[#This Row],[Sales]]&gt;10000,"Medium","Low"))</f>
        <v>High</v>
      </c>
      <c r="V622" s="3">
        <f>Retail_data[[#This Row],[Profit]]/Retail_data[[#This Row],[Sales]]</f>
        <v>0.21018662525842413</v>
      </c>
      <c r="W622">
        <v>7658.61</v>
      </c>
      <c r="X622" t="s">
        <v>48</v>
      </c>
    </row>
    <row r="623" spans="1:24" ht="13.8" x14ac:dyDescent="0.25">
      <c r="A623" t="s">
        <v>2088</v>
      </c>
      <c r="B623">
        <f>YEAR(Retail_data[[#This Row],[Order Date]])</f>
        <v>2027</v>
      </c>
      <c r="C623" t="str">
        <f>TEXT(Retail_data[[#This Row],[Order Date]],"mmmm")</f>
        <v>June</v>
      </c>
      <c r="D623">
        <f>MONTH(Retail_data[[#This Row],[Order Date]])</f>
        <v>6</v>
      </c>
      <c r="E623" t="str">
        <f>"Q"&amp;ROUNDUP(MONTH(Retail_data[[#This Row],[Order Date]])/3,0)</f>
        <v>Q2</v>
      </c>
      <c r="F623" s="1">
        <v>46543</v>
      </c>
      <c r="G623" s="1">
        <v>46547</v>
      </c>
      <c r="H623" t="s">
        <v>2089</v>
      </c>
      <c r="I623" t="s">
        <v>2090</v>
      </c>
      <c r="J623" t="s">
        <v>44</v>
      </c>
      <c r="K623" t="s">
        <v>22</v>
      </c>
      <c r="L623" t="s">
        <v>67</v>
      </c>
      <c r="M623" t="s">
        <v>68</v>
      </c>
      <c r="N623" t="s">
        <v>69</v>
      </c>
      <c r="O623" t="s">
        <v>57</v>
      </c>
      <c r="P623" t="s">
        <v>58</v>
      </c>
      <c r="Q623" t="s">
        <v>309</v>
      </c>
      <c r="R623">
        <v>48966.21</v>
      </c>
      <c r="S623">
        <v>2</v>
      </c>
      <c r="T623">
        <v>0</v>
      </c>
      <c r="U623" t="str">
        <f>IF(Retail_data[[#This Row],[Sales]]&gt;30000,"High",IF(Retail_data[[#This Row],[Sales]]&gt;10000,"Medium","Low"))</f>
        <v>High</v>
      </c>
      <c r="V623" s="3">
        <f>Retail_data[[#This Row],[Profit]]/Retail_data[[#This Row],[Sales]]</f>
        <v>0.25773160716338878</v>
      </c>
      <c r="W623">
        <v>12620.14</v>
      </c>
      <c r="X623" t="s">
        <v>40</v>
      </c>
    </row>
    <row r="624" spans="1:24" ht="13.8" x14ac:dyDescent="0.25">
      <c r="A624" t="s">
        <v>2091</v>
      </c>
      <c r="B624">
        <f>YEAR(Retail_data[[#This Row],[Order Date]])</f>
        <v>2027</v>
      </c>
      <c r="C624" t="str">
        <f>TEXT(Retail_data[[#This Row],[Order Date]],"mmmm")</f>
        <v>June</v>
      </c>
      <c r="D624">
        <f>MONTH(Retail_data[[#This Row],[Order Date]])</f>
        <v>6</v>
      </c>
      <c r="E624" t="str">
        <f>"Q"&amp;ROUNDUP(MONTH(Retail_data[[#This Row],[Order Date]])/3,0)</f>
        <v>Q2</v>
      </c>
      <c r="F624" s="1">
        <v>46544</v>
      </c>
      <c r="G624" s="1">
        <v>46548</v>
      </c>
      <c r="H624" t="s">
        <v>2092</v>
      </c>
      <c r="I624" t="s">
        <v>2093</v>
      </c>
      <c r="J624" t="s">
        <v>21</v>
      </c>
      <c r="K624" t="s">
        <v>22</v>
      </c>
      <c r="L624" t="s">
        <v>34</v>
      </c>
      <c r="M624" t="s">
        <v>35</v>
      </c>
      <c r="N624" t="s">
        <v>36</v>
      </c>
      <c r="O624" t="s">
        <v>57</v>
      </c>
      <c r="P624" t="s">
        <v>58</v>
      </c>
      <c r="Q624" t="s">
        <v>542</v>
      </c>
      <c r="R624">
        <v>26186.18</v>
      </c>
      <c r="S624">
        <v>2</v>
      </c>
      <c r="T624">
        <v>0</v>
      </c>
      <c r="U624" t="str">
        <f>IF(Retail_data[[#This Row],[Sales]]&gt;30000,"High",IF(Retail_data[[#This Row],[Sales]]&gt;10000,"Medium","Low"))</f>
        <v>Medium</v>
      </c>
      <c r="V624" s="3">
        <f>Retail_data[[#This Row],[Profit]]/Retail_data[[#This Row],[Sales]]</f>
        <v>0.21412821572295004</v>
      </c>
      <c r="W624">
        <v>5607.2</v>
      </c>
      <c r="X624" t="s">
        <v>81</v>
      </c>
    </row>
    <row r="625" spans="1:24" ht="13.8" x14ac:dyDescent="0.25">
      <c r="A625" t="s">
        <v>2094</v>
      </c>
      <c r="B625">
        <f>YEAR(Retail_data[[#This Row],[Order Date]])</f>
        <v>2027</v>
      </c>
      <c r="C625" t="str">
        <f>TEXT(Retail_data[[#This Row],[Order Date]],"mmmm")</f>
        <v>June</v>
      </c>
      <c r="D625">
        <f>MONTH(Retail_data[[#This Row],[Order Date]])</f>
        <v>6</v>
      </c>
      <c r="E625" t="str">
        <f>"Q"&amp;ROUNDUP(MONTH(Retail_data[[#This Row],[Order Date]])/3,0)</f>
        <v>Q2</v>
      </c>
      <c r="F625" s="1">
        <v>46545</v>
      </c>
      <c r="G625" s="1">
        <v>46549</v>
      </c>
      <c r="H625" t="s">
        <v>2095</v>
      </c>
      <c r="I625" t="s">
        <v>2096</v>
      </c>
      <c r="J625" t="s">
        <v>44</v>
      </c>
      <c r="K625" t="s">
        <v>22</v>
      </c>
      <c r="L625" t="s">
        <v>67</v>
      </c>
      <c r="M625" t="s">
        <v>68</v>
      </c>
      <c r="N625" t="s">
        <v>69</v>
      </c>
      <c r="O625" t="s">
        <v>57</v>
      </c>
      <c r="P625" t="s">
        <v>58</v>
      </c>
      <c r="Q625" t="s">
        <v>59</v>
      </c>
      <c r="R625">
        <v>38690.29</v>
      </c>
      <c r="S625">
        <v>3</v>
      </c>
      <c r="T625">
        <v>0</v>
      </c>
      <c r="U625" t="str">
        <f>IF(Retail_data[[#This Row],[Sales]]&gt;30000,"High",IF(Retail_data[[#This Row],[Sales]]&gt;10000,"Medium","Low"))</f>
        <v>High</v>
      </c>
      <c r="V625" s="3">
        <f>Retail_data[[#This Row],[Profit]]/Retail_data[[#This Row],[Sales]]</f>
        <v>0.16806645801827796</v>
      </c>
      <c r="W625">
        <v>6502.54</v>
      </c>
      <c r="X625" t="s">
        <v>29</v>
      </c>
    </row>
    <row r="626" spans="1:24" ht="13.8" x14ac:dyDescent="0.25">
      <c r="A626" t="s">
        <v>2097</v>
      </c>
      <c r="B626">
        <f>YEAR(Retail_data[[#This Row],[Order Date]])</f>
        <v>2027</v>
      </c>
      <c r="C626" t="str">
        <f>TEXT(Retail_data[[#This Row],[Order Date]],"mmmm")</f>
        <v>June</v>
      </c>
      <c r="D626">
        <f>MONTH(Retail_data[[#This Row],[Order Date]])</f>
        <v>6</v>
      </c>
      <c r="E626" t="str">
        <f>"Q"&amp;ROUNDUP(MONTH(Retail_data[[#This Row],[Order Date]])/3,0)</f>
        <v>Q2</v>
      </c>
      <c r="F626" s="1">
        <v>46546</v>
      </c>
      <c r="G626" s="1">
        <v>46550</v>
      </c>
      <c r="H626" t="s">
        <v>2098</v>
      </c>
      <c r="I626" t="s">
        <v>2099</v>
      </c>
      <c r="J626" t="s">
        <v>33</v>
      </c>
      <c r="K626" t="s">
        <v>22</v>
      </c>
      <c r="L626" t="s">
        <v>23</v>
      </c>
      <c r="M626" t="s">
        <v>24</v>
      </c>
      <c r="N626" t="s">
        <v>25</v>
      </c>
      <c r="O626" t="s">
        <v>57</v>
      </c>
      <c r="P626" t="s">
        <v>79</v>
      </c>
      <c r="Q626" t="s">
        <v>824</v>
      </c>
      <c r="R626">
        <v>2666.34</v>
      </c>
      <c r="S626">
        <v>6</v>
      </c>
      <c r="T626">
        <v>0</v>
      </c>
      <c r="U626" t="str">
        <f>IF(Retail_data[[#This Row],[Sales]]&gt;30000,"High",IF(Retail_data[[#This Row],[Sales]]&gt;10000,"Medium","Low"))</f>
        <v>Low</v>
      </c>
      <c r="V626" s="3">
        <f>Retail_data[[#This Row],[Profit]]/Retail_data[[#This Row],[Sales]]</f>
        <v>0.14274248595452943</v>
      </c>
      <c r="W626">
        <v>380.6</v>
      </c>
      <c r="X626" t="s">
        <v>81</v>
      </c>
    </row>
    <row r="627" spans="1:24" ht="13.8" x14ac:dyDescent="0.25">
      <c r="A627" t="s">
        <v>2100</v>
      </c>
      <c r="B627">
        <f>YEAR(Retail_data[[#This Row],[Order Date]])</f>
        <v>2027</v>
      </c>
      <c r="C627" t="str">
        <f>TEXT(Retail_data[[#This Row],[Order Date]],"mmmm")</f>
        <v>June</v>
      </c>
      <c r="D627">
        <f>MONTH(Retail_data[[#This Row],[Order Date]])</f>
        <v>6</v>
      </c>
      <c r="E627" t="str">
        <f>"Q"&amp;ROUNDUP(MONTH(Retail_data[[#This Row],[Order Date]])/3,0)</f>
        <v>Q2</v>
      </c>
      <c r="F627" s="1">
        <v>46547</v>
      </c>
      <c r="G627" s="1">
        <v>46551</v>
      </c>
      <c r="H627" t="s">
        <v>2101</v>
      </c>
      <c r="I627" t="s">
        <v>2102</v>
      </c>
      <c r="J627" t="s">
        <v>33</v>
      </c>
      <c r="K627" t="s">
        <v>22</v>
      </c>
      <c r="L627" t="s">
        <v>45</v>
      </c>
      <c r="M627" t="s">
        <v>45</v>
      </c>
      <c r="N627" t="s">
        <v>25</v>
      </c>
      <c r="O627" t="s">
        <v>37</v>
      </c>
      <c r="P627" t="s">
        <v>38</v>
      </c>
      <c r="Q627" t="s">
        <v>145</v>
      </c>
      <c r="R627">
        <v>29879.31</v>
      </c>
      <c r="S627">
        <v>1</v>
      </c>
      <c r="T627">
        <v>0</v>
      </c>
      <c r="U627" t="str">
        <f>IF(Retail_data[[#This Row],[Sales]]&gt;30000,"High",IF(Retail_data[[#This Row],[Sales]]&gt;10000,"Medium","Low"))</f>
        <v>Medium</v>
      </c>
      <c r="V627" s="3">
        <f>Retail_data[[#This Row],[Profit]]/Retail_data[[#This Row],[Sales]]</f>
        <v>0.21411438215942738</v>
      </c>
      <c r="W627">
        <v>6397.59</v>
      </c>
      <c r="X627" t="s">
        <v>29</v>
      </c>
    </row>
    <row r="628" spans="1:24" ht="13.8" x14ac:dyDescent="0.25">
      <c r="A628" t="s">
        <v>2103</v>
      </c>
      <c r="B628">
        <f>YEAR(Retail_data[[#This Row],[Order Date]])</f>
        <v>2027</v>
      </c>
      <c r="C628" t="str">
        <f>TEXT(Retail_data[[#This Row],[Order Date]],"mmmm")</f>
        <v>June</v>
      </c>
      <c r="D628">
        <f>MONTH(Retail_data[[#This Row],[Order Date]])</f>
        <v>6</v>
      </c>
      <c r="E628" t="str">
        <f>"Q"&amp;ROUNDUP(MONTH(Retail_data[[#This Row],[Order Date]])/3,0)</f>
        <v>Q2</v>
      </c>
      <c r="F628" s="1">
        <v>46548</v>
      </c>
      <c r="G628" s="1">
        <v>46552</v>
      </c>
      <c r="H628" t="s">
        <v>2104</v>
      </c>
      <c r="I628" t="s">
        <v>2105</v>
      </c>
      <c r="J628" t="s">
        <v>21</v>
      </c>
      <c r="K628" t="s">
        <v>22</v>
      </c>
      <c r="L628" t="s">
        <v>45</v>
      </c>
      <c r="M628" t="s">
        <v>45</v>
      </c>
      <c r="N628" t="s">
        <v>25</v>
      </c>
      <c r="O628" t="s">
        <v>57</v>
      </c>
      <c r="P628" t="s">
        <v>58</v>
      </c>
      <c r="Q628" t="s">
        <v>549</v>
      </c>
      <c r="R628">
        <v>9297.82</v>
      </c>
      <c r="S628">
        <v>4</v>
      </c>
      <c r="T628">
        <v>0.2</v>
      </c>
      <c r="U628" t="str">
        <f>IF(Retail_data[[#This Row],[Sales]]&gt;30000,"High",IF(Retail_data[[#This Row],[Sales]]&gt;10000,"Medium","Low"))</f>
        <v>Low</v>
      </c>
      <c r="V628" s="3">
        <f>Retail_data[[#This Row],[Profit]]/Retail_data[[#This Row],[Sales]]</f>
        <v>3.9549055585072636E-2</v>
      </c>
      <c r="W628">
        <v>367.72</v>
      </c>
      <c r="X628" t="s">
        <v>29</v>
      </c>
    </row>
    <row r="629" spans="1:24" ht="13.8" x14ac:dyDescent="0.25">
      <c r="A629" t="s">
        <v>2106</v>
      </c>
      <c r="B629">
        <f>YEAR(Retail_data[[#This Row],[Order Date]])</f>
        <v>2027</v>
      </c>
      <c r="C629" t="str">
        <f>TEXT(Retail_data[[#This Row],[Order Date]],"mmmm")</f>
        <v>June</v>
      </c>
      <c r="D629">
        <f>MONTH(Retail_data[[#This Row],[Order Date]])</f>
        <v>6</v>
      </c>
      <c r="E629" t="str">
        <f>"Q"&amp;ROUNDUP(MONTH(Retail_data[[#This Row],[Order Date]])/3,0)</f>
        <v>Q2</v>
      </c>
      <c r="F629" s="1">
        <v>46549</v>
      </c>
      <c r="G629" s="1">
        <v>46553</v>
      </c>
      <c r="H629" t="s">
        <v>2107</v>
      </c>
      <c r="I629" t="s">
        <v>2108</v>
      </c>
      <c r="J629" t="s">
        <v>44</v>
      </c>
      <c r="K629" t="s">
        <v>22</v>
      </c>
      <c r="L629" t="s">
        <v>67</v>
      </c>
      <c r="M629" t="s">
        <v>68</v>
      </c>
      <c r="N629" t="s">
        <v>69</v>
      </c>
      <c r="O629" t="s">
        <v>57</v>
      </c>
      <c r="P629" t="s">
        <v>149</v>
      </c>
      <c r="Q629" t="s">
        <v>157</v>
      </c>
      <c r="R629">
        <v>42266.080000000002</v>
      </c>
      <c r="S629">
        <v>4</v>
      </c>
      <c r="T629">
        <v>0.2</v>
      </c>
      <c r="U629" t="str">
        <f>IF(Retail_data[[#This Row],[Sales]]&gt;30000,"High",IF(Retail_data[[#This Row],[Sales]]&gt;10000,"Medium","Low"))</f>
        <v>High</v>
      </c>
      <c r="V629" s="3">
        <f>Retail_data[[#This Row],[Profit]]/Retail_data[[#This Row],[Sales]]</f>
        <v>5.0249041311614416E-2</v>
      </c>
      <c r="W629">
        <v>2123.83</v>
      </c>
      <c r="X629" t="s">
        <v>40</v>
      </c>
    </row>
    <row r="630" spans="1:24" ht="13.8" x14ac:dyDescent="0.25">
      <c r="A630" t="s">
        <v>2109</v>
      </c>
      <c r="B630">
        <f>YEAR(Retail_data[[#This Row],[Order Date]])</f>
        <v>2027</v>
      </c>
      <c r="C630" t="str">
        <f>TEXT(Retail_data[[#This Row],[Order Date]],"mmmm")</f>
        <v>June</v>
      </c>
      <c r="D630">
        <f>MONTH(Retail_data[[#This Row],[Order Date]])</f>
        <v>6</v>
      </c>
      <c r="E630" t="str">
        <f>"Q"&amp;ROUNDUP(MONTH(Retail_data[[#This Row],[Order Date]])/3,0)</f>
        <v>Q2</v>
      </c>
      <c r="F630" s="1">
        <v>46550</v>
      </c>
      <c r="G630" s="1">
        <v>46554</v>
      </c>
      <c r="H630" t="s">
        <v>2110</v>
      </c>
      <c r="I630" t="s">
        <v>2111</v>
      </c>
      <c r="J630" t="s">
        <v>44</v>
      </c>
      <c r="K630" t="s">
        <v>22</v>
      </c>
      <c r="L630" t="s">
        <v>45</v>
      </c>
      <c r="M630" t="s">
        <v>45</v>
      </c>
      <c r="N630" t="s">
        <v>25</v>
      </c>
      <c r="O630" t="s">
        <v>37</v>
      </c>
      <c r="P630" t="s">
        <v>52</v>
      </c>
      <c r="Q630" t="s">
        <v>53</v>
      </c>
      <c r="R630">
        <v>29566.95</v>
      </c>
      <c r="S630">
        <v>3</v>
      </c>
      <c r="T630">
        <v>0.2</v>
      </c>
      <c r="U630" t="str">
        <f>IF(Retail_data[[#This Row],[Sales]]&gt;30000,"High",IF(Retail_data[[#This Row],[Sales]]&gt;10000,"Medium","Low"))</f>
        <v>Medium</v>
      </c>
      <c r="V630" s="3">
        <f>Retail_data[[#This Row],[Profit]]/Retail_data[[#This Row],[Sales]]</f>
        <v>0.11458334390256689</v>
      </c>
      <c r="W630">
        <v>3387.88</v>
      </c>
      <c r="X630" t="s">
        <v>81</v>
      </c>
    </row>
    <row r="631" spans="1:24" ht="13.8" x14ac:dyDescent="0.25">
      <c r="A631" t="s">
        <v>2112</v>
      </c>
      <c r="B631">
        <f>YEAR(Retail_data[[#This Row],[Order Date]])</f>
        <v>2027</v>
      </c>
      <c r="C631" t="str">
        <f>TEXT(Retail_data[[#This Row],[Order Date]],"mmmm")</f>
        <v>June</v>
      </c>
      <c r="D631">
        <f>MONTH(Retail_data[[#This Row],[Order Date]])</f>
        <v>6</v>
      </c>
      <c r="E631" t="str">
        <f>"Q"&amp;ROUNDUP(MONTH(Retail_data[[#This Row],[Order Date]])/3,0)</f>
        <v>Q2</v>
      </c>
      <c r="F631" s="1">
        <v>46551</v>
      </c>
      <c r="G631" s="1">
        <v>46555</v>
      </c>
      <c r="H631" t="s">
        <v>2113</v>
      </c>
      <c r="I631" t="s">
        <v>2114</v>
      </c>
      <c r="J631" t="s">
        <v>21</v>
      </c>
      <c r="K631" t="s">
        <v>22</v>
      </c>
      <c r="L631" t="s">
        <v>67</v>
      </c>
      <c r="M631" t="s">
        <v>68</v>
      </c>
      <c r="N631" t="s">
        <v>69</v>
      </c>
      <c r="O631" t="s">
        <v>37</v>
      </c>
      <c r="P631" t="s">
        <v>38</v>
      </c>
      <c r="Q631" t="s">
        <v>885</v>
      </c>
      <c r="R631">
        <v>17991.7</v>
      </c>
      <c r="S631">
        <v>3</v>
      </c>
      <c r="T631">
        <v>0.1</v>
      </c>
      <c r="U631" t="str">
        <f>IF(Retail_data[[#This Row],[Sales]]&gt;30000,"High",IF(Retail_data[[#This Row],[Sales]]&gt;10000,"Medium","Low"))</f>
        <v>Medium</v>
      </c>
      <c r="V631" s="3">
        <f>Retail_data[[#This Row],[Profit]]/Retail_data[[#This Row],[Sales]]</f>
        <v>0.18641873752897167</v>
      </c>
      <c r="W631">
        <v>3353.99</v>
      </c>
      <c r="X631" t="s">
        <v>48</v>
      </c>
    </row>
    <row r="632" spans="1:24" ht="13.8" x14ac:dyDescent="0.25">
      <c r="A632" t="s">
        <v>2115</v>
      </c>
      <c r="B632">
        <f>YEAR(Retail_data[[#This Row],[Order Date]])</f>
        <v>2027</v>
      </c>
      <c r="C632" t="str">
        <f>TEXT(Retail_data[[#This Row],[Order Date]],"mmmm")</f>
        <v>June</v>
      </c>
      <c r="D632">
        <f>MONTH(Retail_data[[#This Row],[Order Date]])</f>
        <v>6</v>
      </c>
      <c r="E632" t="str">
        <f>"Q"&amp;ROUNDUP(MONTH(Retail_data[[#This Row],[Order Date]])/3,0)</f>
        <v>Q2</v>
      </c>
      <c r="F632" s="1">
        <v>46552</v>
      </c>
      <c r="G632" s="1">
        <v>46556</v>
      </c>
      <c r="H632" t="s">
        <v>2116</v>
      </c>
      <c r="I632" t="s">
        <v>2117</v>
      </c>
      <c r="J632" t="s">
        <v>21</v>
      </c>
      <c r="K632" t="s">
        <v>22</v>
      </c>
      <c r="L632" t="s">
        <v>85</v>
      </c>
      <c r="M632" t="s">
        <v>86</v>
      </c>
      <c r="N632" t="s">
        <v>87</v>
      </c>
      <c r="O632" t="s">
        <v>57</v>
      </c>
      <c r="P632" t="s">
        <v>58</v>
      </c>
      <c r="Q632" t="s">
        <v>814</v>
      </c>
      <c r="R632">
        <v>46048.29</v>
      </c>
      <c r="S632">
        <v>4</v>
      </c>
      <c r="T632">
        <v>0.3</v>
      </c>
      <c r="U632" t="str">
        <f>IF(Retail_data[[#This Row],[Sales]]&gt;30000,"High",IF(Retail_data[[#This Row],[Sales]]&gt;10000,"Medium","Low"))</f>
        <v>High</v>
      </c>
      <c r="V632" s="3">
        <f>Retail_data[[#This Row],[Profit]]/Retail_data[[#This Row],[Sales]]</f>
        <v>-5.6309582831414587E-2</v>
      </c>
      <c r="W632">
        <v>-2592.96</v>
      </c>
      <c r="X632" t="s">
        <v>40</v>
      </c>
    </row>
    <row r="633" spans="1:24" ht="13.8" x14ac:dyDescent="0.25">
      <c r="A633" t="s">
        <v>2118</v>
      </c>
      <c r="B633">
        <f>YEAR(Retail_data[[#This Row],[Order Date]])</f>
        <v>2027</v>
      </c>
      <c r="C633" t="str">
        <f>TEXT(Retail_data[[#This Row],[Order Date]],"mmmm")</f>
        <v>June</v>
      </c>
      <c r="D633">
        <f>MONTH(Retail_data[[#This Row],[Order Date]])</f>
        <v>6</v>
      </c>
      <c r="E633" t="str">
        <f>"Q"&amp;ROUNDUP(MONTH(Retail_data[[#This Row],[Order Date]])/3,0)</f>
        <v>Q2</v>
      </c>
      <c r="F633" s="1">
        <v>46553</v>
      </c>
      <c r="G633" s="1">
        <v>46557</v>
      </c>
      <c r="H633" t="s">
        <v>2119</v>
      </c>
      <c r="I633" t="s">
        <v>2120</v>
      </c>
      <c r="J633" t="s">
        <v>44</v>
      </c>
      <c r="K633" t="s">
        <v>22</v>
      </c>
      <c r="L633" t="s">
        <v>67</v>
      </c>
      <c r="M633" t="s">
        <v>68</v>
      </c>
      <c r="N633" t="s">
        <v>69</v>
      </c>
      <c r="O633" t="s">
        <v>37</v>
      </c>
      <c r="P633" t="s">
        <v>46</v>
      </c>
      <c r="Q633" t="s">
        <v>685</v>
      </c>
      <c r="R633">
        <v>27285.39</v>
      </c>
      <c r="S633">
        <v>6</v>
      </c>
      <c r="T633">
        <v>0</v>
      </c>
      <c r="U633" t="str">
        <f>IF(Retail_data[[#This Row],[Sales]]&gt;30000,"High",IF(Retail_data[[#This Row],[Sales]]&gt;10000,"Medium","Low"))</f>
        <v>Medium</v>
      </c>
      <c r="V633" s="3">
        <f>Retail_data[[#This Row],[Profit]]/Retail_data[[#This Row],[Sales]]</f>
        <v>0.15238118275018242</v>
      </c>
      <c r="W633">
        <v>4157.78</v>
      </c>
      <c r="X633" t="s">
        <v>81</v>
      </c>
    </row>
    <row r="634" spans="1:24" ht="13.8" x14ac:dyDescent="0.25">
      <c r="A634" t="s">
        <v>2121</v>
      </c>
      <c r="B634">
        <f>YEAR(Retail_data[[#This Row],[Order Date]])</f>
        <v>2027</v>
      </c>
      <c r="C634" t="str">
        <f>TEXT(Retail_data[[#This Row],[Order Date]],"mmmm")</f>
        <v>June</v>
      </c>
      <c r="D634">
        <f>MONTH(Retail_data[[#This Row],[Order Date]])</f>
        <v>6</v>
      </c>
      <c r="E634" t="str">
        <f>"Q"&amp;ROUNDUP(MONTH(Retail_data[[#This Row],[Order Date]])/3,0)</f>
        <v>Q2</v>
      </c>
      <c r="F634" s="1">
        <v>46554</v>
      </c>
      <c r="G634" s="1">
        <v>46558</v>
      </c>
      <c r="H634" t="s">
        <v>2122</v>
      </c>
      <c r="I634" t="s">
        <v>2123</v>
      </c>
      <c r="J634" t="s">
        <v>33</v>
      </c>
      <c r="K634" t="s">
        <v>22</v>
      </c>
      <c r="L634" t="s">
        <v>23</v>
      </c>
      <c r="M634" t="s">
        <v>24</v>
      </c>
      <c r="N634" t="s">
        <v>25</v>
      </c>
      <c r="O634" t="s">
        <v>26</v>
      </c>
      <c r="P634" t="s">
        <v>92</v>
      </c>
      <c r="Q634" t="s">
        <v>1014</v>
      </c>
      <c r="R634">
        <v>2738.07</v>
      </c>
      <c r="S634">
        <v>3</v>
      </c>
      <c r="T634">
        <v>0.3</v>
      </c>
      <c r="U634" t="str">
        <f>IF(Retail_data[[#This Row],[Sales]]&gt;30000,"High",IF(Retail_data[[#This Row],[Sales]]&gt;10000,"Medium","Low"))</f>
        <v>Low</v>
      </c>
      <c r="V634" s="3">
        <f>Retail_data[[#This Row],[Profit]]/Retail_data[[#This Row],[Sales]]</f>
        <v>0.12100494143685149</v>
      </c>
      <c r="W634">
        <v>331.32</v>
      </c>
      <c r="X634" t="s">
        <v>40</v>
      </c>
    </row>
    <row r="635" spans="1:24" ht="13.8" x14ac:dyDescent="0.25">
      <c r="A635" t="s">
        <v>2124</v>
      </c>
      <c r="B635">
        <f>YEAR(Retail_data[[#This Row],[Order Date]])</f>
        <v>2027</v>
      </c>
      <c r="C635" t="str">
        <f>TEXT(Retail_data[[#This Row],[Order Date]],"mmmm")</f>
        <v>June</v>
      </c>
      <c r="D635">
        <f>MONTH(Retail_data[[#This Row],[Order Date]])</f>
        <v>6</v>
      </c>
      <c r="E635" t="str">
        <f>"Q"&amp;ROUNDUP(MONTH(Retail_data[[#This Row],[Order Date]])/3,0)</f>
        <v>Q2</v>
      </c>
      <c r="F635" s="1">
        <v>46555</v>
      </c>
      <c r="G635" s="1">
        <v>46559</v>
      </c>
      <c r="H635" t="s">
        <v>2125</v>
      </c>
      <c r="I635" t="s">
        <v>2126</v>
      </c>
      <c r="J635" t="s">
        <v>21</v>
      </c>
      <c r="K635" t="s">
        <v>22</v>
      </c>
      <c r="L635" t="s">
        <v>45</v>
      </c>
      <c r="M635" t="s">
        <v>45</v>
      </c>
      <c r="N635" t="s">
        <v>25</v>
      </c>
      <c r="O635" t="s">
        <v>37</v>
      </c>
      <c r="P635" t="s">
        <v>46</v>
      </c>
      <c r="Q635" t="s">
        <v>1793</v>
      </c>
      <c r="R635">
        <v>26015.11</v>
      </c>
      <c r="S635">
        <v>8</v>
      </c>
      <c r="T635">
        <v>0.1</v>
      </c>
      <c r="U635" t="str">
        <f>IF(Retail_data[[#This Row],[Sales]]&gt;30000,"High",IF(Retail_data[[#This Row],[Sales]]&gt;10000,"Medium","Low"))</f>
        <v>Medium</v>
      </c>
      <c r="V635" s="3">
        <f>Retail_data[[#This Row],[Profit]]/Retail_data[[#This Row],[Sales]]</f>
        <v>0.13440227621563006</v>
      </c>
      <c r="W635">
        <v>3496.49</v>
      </c>
      <c r="X635" t="s">
        <v>48</v>
      </c>
    </row>
    <row r="636" spans="1:24" ht="13.8" x14ac:dyDescent="0.25">
      <c r="A636" t="s">
        <v>2127</v>
      </c>
      <c r="B636">
        <f>YEAR(Retail_data[[#This Row],[Order Date]])</f>
        <v>2027</v>
      </c>
      <c r="C636" t="str">
        <f>TEXT(Retail_data[[#This Row],[Order Date]],"mmmm")</f>
        <v>June</v>
      </c>
      <c r="D636">
        <f>MONTH(Retail_data[[#This Row],[Order Date]])</f>
        <v>6</v>
      </c>
      <c r="E636" t="str">
        <f>"Q"&amp;ROUNDUP(MONTH(Retail_data[[#This Row],[Order Date]])/3,0)</f>
        <v>Q2</v>
      </c>
      <c r="F636" s="1">
        <v>46556</v>
      </c>
      <c r="G636" s="1">
        <v>46560</v>
      </c>
      <c r="H636" t="s">
        <v>2128</v>
      </c>
      <c r="I636" t="s">
        <v>2129</v>
      </c>
      <c r="J636" t="s">
        <v>21</v>
      </c>
      <c r="K636" t="s">
        <v>22</v>
      </c>
      <c r="L636" t="s">
        <v>45</v>
      </c>
      <c r="M636" t="s">
        <v>45</v>
      </c>
      <c r="N636" t="s">
        <v>25</v>
      </c>
      <c r="O636" t="s">
        <v>57</v>
      </c>
      <c r="P636" t="s">
        <v>79</v>
      </c>
      <c r="Q636" t="s">
        <v>866</v>
      </c>
      <c r="R636">
        <v>2947.4</v>
      </c>
      <c r="S636">
        <v>6</v>
      </c>
      <c r="T636">
        <v>0.2</v>
      </c>
      <c r="U636" t="str">
        <f>IF(Retail_data[[#This Row],[Sales]]&gt;30000,"High",IF(Retail_data[[#This Row],[Sales]]&gt;10000,"Medium","Low"))</f>
        <v>Low</v>
      </c>
      <c r="V636" s="3">
        <f>Retail_data[[#This Row],[Profit]]/Retail_data[[#This Row],[Sales]]</f>
        <v>1.2896111827373278E-2</v>
      </c>
      <c r="W636">
        <v>38.01</v>
      </c>
      <c r="X636" t="s">
        <v>48</v>
      </c>
    </row>
    <row r="637" spans="1:24" ht="13.8" x14ac:dyDescent="0.25">
      <c r="A637" t="s">
        <v>2130</v>
      </c>
      <c r="B637">
        <f>YEAR(Retail_data[[#This Row],[Order Date]])</f>
        <v>2027</v>
      </c>
      <c r="C637" t="str">
        <f>TEXT(Retail_data[[#This Row],[Order Date]],"mmmm")</f>
        <v>June</v>
      </c>
      <c r="D637">
        <f>MONTH(Retail_data[[#This Row],[Order Date]])</f>
        <v>6</v>
      </c>
      <c r="E637" t="str">
        <f>"Q"&amp;ROUNDUP(MONTH(Retail_data[[#This Row],[Order Date]])/3,0)</f>
        <v>Q2</v>
      </c>
      <c r="F637" s="1">
        <v>46557</v>
      </c>
      <c r="G637" s="1">
        <v>46561</v>
      </c>
      <c r="H637" t="s">
        <v>2131</v>
      </c>
      <c r="I637" t="s">
        <v>2132</v>
      </c>
      <c r="J637" t="s">
        <v>33</v>
      </c>
      <c r="K637" t="s">
        <v>22</v>
      </c>
      <c r="L637" t="s">
        <v>45</v>
      </c>
      <c r="M637" t="s">
        <v>45</v>
      </c>
      <c r="N637" t="s">
        <v>25</v>
      </c>
      <c r="O637" t="s">
        <v>37</v>
      </c>
      <c r="P637" t="s">
        <v>46</v>
      </c>
      <c r="Q637" t="s">
        <v>581</v>
      </c>
      <c r="R637">
        <v>20528.03</v>
      </c>
      <c r="S637">
        <v>7</v>
      </c>
      <c r="T637">
        <v>0.3</v>
      </c>
      <c r="U637" t="str">
        <f>IF(Retail_data[[#This Row],[Sales]]&gt;30000,"High",IF(Retail_data[[#This Row],[Sales]]&gt;10000,"Medium","Low"))</f>
        <v>Medium</v>
      </c>
      <c r="V637" s="3">
        <f>Retail_data[[#This Row],[Profit]]/Retail_data[[#This Row],[Sales]]</f>
        <v>3.2434188765312601E-2</v>
      </c>
      <c r="W637">
        <v>665.81</v>
      </c>
      <c r="X637" t="s">
        <v>81</v>
      </c>
    </row>
    <row r="638" spans="1:24" ht="13.8" x14ac:dyDescent="0.25">
      <c r="A638" t="s">
        <v>2133</v>
      </c>
      <c r="B638">
        <f>YEAR(Retail_data[[#This Row],[Order Date]])</f>
        <v>2027</v>
      </c>
      <c r="C638" t="str">
        <f>TEXT(Retail_data[[#This Row],[Order Date]],"mmmm")</f>
        <v>June</v>
      </c>
      <c r="D638">
        <f>MONTH(Retail_data[[#This Row],[Order Date]])</f>
        <v>6</v>
      </c>
      <c r="E638" t="str">
        <f>"Q"&amp;ROUNDUP(MONTH(Retail_data[[#This Row],[Order Date]])/3,0)</f>
        <v>Q2</v>
      </c>
      <c r="F638" s="1">
        <v>46558</v>
      </c>
      <c r="G638" s="1">
        <v>46562</v>
      </c>
      <c r="H638" t="s">
        <v>2134</v>
      </c>
      <c r="I638" t="s">
        <v>2135</v>
      </c>
      <c r="J638" t="s">
        <v>33</v>
      </c>
      <c r="K638" t="s">
        <v>22</v>
      </c>
      <c r="L638" t="s">
        <v>45</v>
      </c>
      <c r="M638" t="s">
        <v>45</v>
      </c>
      <c r="N638" t="s">
        <v>25</v>
      </c>
      <c r="O638" t="s">
        <v>57</v>
      </c>
      <c r="P638" t="s">
        <v>58</v>
      </c>
      <c r="Q638" t="s">
        <v>309</v>
      </c>
      <c r="R638">
        <v>35935.089999999997</v>
      </c>
      <c r="S638">
        <v>5</v>
      </c>
      <c r="T638">
        <v>0</v>
      </c>
      <c r="U638" t="str">
        <f>IF(Retail_data[[#This Row],[Sales]]&gt;30000,"High",IF(Retail_data[[#This Row],[Sales]]&gt;10000,"Medium","Low"))</f>
        <v>High</v>
      </c>
      <c r="V638" s="3">
        <f>Retail_data[[#This Row],[Profit]]/Retail_data[[#This Row],[Sales]]</f>
        <v>0.19544295005244181</v>
      </c>
      <c r="W638">
        <v>7023.26</v>
      </c>
      <c r="X638" t="s">
        <v>81</v>
      </c>
    </row>
    <row r="639" spans="1:24" ht="13.8" x14ac:dyDescent="0.25">
      <c r="A639" t="s">
        <v>2136</v>
      </c>
      <c r="B639">
        <f>YEAR(Retail_data[[#This Row],[Order Date]])</f>
        <v>2027</v>
      </c>
      <c r="C639" t="str">
        <f>TEXT(Retail_data[[#This Row],[Order Date]],"mmmm")</f>
        <v>June</v>
      </c>
      <c r="D639">
        <f>MONTH(Retail_data[[#This Row],[Order Date]])</f>
        <v>6</v>
      </c>
      <c r="E639" t="str">
        <f>"Q"&amp;ROUNDUP(MONTH(Retail_data[[#This Row],[Order Date]])/3,0)</f>
        <v>Q2</v>
      </c>
      <c r="F639" s="1">
        <v>46559</v>
      </c>
      <c r="G639" s="1">
        <v>46563</v>
      </c>
      <c r="H639" t="s">
        <v>2137</v>
      </c>
      <c r="I639" t="s">
        <v>2138</v>
      </c>
      <c r="J639" t="s">
        <v>21</v>
      </c>
      <c r="K639" t="s">
        <v>22</v>
      </c>
      <c r="L639" t="s">
        <v>67</v>
      </c>
      <c r="M639" t="s">
        <v>68</v>
      </c>
      <c r="N639" t="s">
        <v>69</v>
      </c>
      <c r="O639" t="s">
        <v>26</v>
      </c>
      <c r="P639" t="s">
        <v>92</v>
      </c>
      <c r="Q639" t="s">
        <v>503</v>
      </c>
      <c r="R639">
        <v>3095.01</v>
      </c>
      <c r="S639">
        <v>3</v>
      </c>
      <c r="T639">
        <v>0.2</v>
      </c>
      <c r="U639" t="str">
        <f>IF(Retail_data[[#This Row],[Sales]]&gt;30000,"High",IF(Retail_data[[#This Row],[Sales]]&gt;10000,"Medium","Low"))</f>
        <v>Low</v>
      </c>
      <c r="V639" s="3">
        <f>Retail_data[[#This Row],[Profit]]/Retail_data[[#This Row],[Sales]]</f>
        <v>0.13230975021082322</v>
      </c>
      <c r="W639">
        <v>409.5</v>
      </c>
      <c r="X639" t="s">
        <v>40</v>
      </c>
    </row>
    <row r="640" spans="1:24" ht="13.8" x14ac:dyDescent="0.25">
      <c r="A640" t="s">
        <v>2139</v>
      </c>
      <c r="B640">
        <f>YEAR(Retail_data[[#This Row],[Order Date]])</f>
        <v>2027</v>
      </c>
      <c r="C640" t="str">
        <f>TEXT(Retail_data[[#This Row],[Order Date]],"mmmm")</f>
        <v>June</v>
      </c>
      <c r="D640">
        <f>MONTH(Retail_data[[#This Row],[Order Date]])</f>
        <v>6</v>
      </c>
      <c r="E640" t="str">
        <f>"Q"&amp;ROUNDUP(MONTH(Retail_data[[#This Row],[Order Date]])/3,0)</f>
        <v>Q2</v>
      </c>
      <c r="F640" s="1">
        <v>46560</v>
      </c>
      <c r="G640" s="1">
        <v>46564</v>
      </c>
      <c r="H640" t="s">
        <v>2140</v>
      </c>
      <c r="I640" t="s">
        <v>2141</v>
      </c>
      <c r="J640" t="s">
        <v>44</v>
      </c>
      <c r="K640" t="s">
        <v>22</v>
      </c>
      <c r="L640" t="s">
        <v>45</v>
      </c>
      <c r="M640" t="s">
        <v>45</v>
      </c>
      <c r="N640" t="s">
        <v>25</v>
      </c>
      <c r="O640" t="s">
        <v>57</v>
      </c>
      <c r="P640" t="s">
        <v>149</v>
      </c>
      <c r="Q640" t="s">
        <v>538</v>
      </c>
      <c r="R640">
        <v>1073.04</v>
      </c>
      <c r="S640">
        <v>5</v>
      </c>
      <c r="T640">
        <v>0.2</v>
      </c>
      <c r="U640" t="str">
        <f>IF(Retail_data[[#This Row],[Sales]]&gt;30000,"High",IF(Retail_data[[#This Row],[Sales]]&gt;10000,"Medium","Low"))</f>
        <v>Low</v>
      </c>
      <c r="V640" s="3">
        <f>Retail_data[[#This Row],[Profit]]/Retail_data[[#This Row],[Sales]]</f>
        <v>0.21725191977931857</v>
      </c>
      <c r="W640">
        <v>233.12</v>
      </c>
      <c r="X640" t="s">
        <v>81</v>
      </c>
    </row>
    <row r="641" spans="1:24" ht="13.8" x14ac:dyDescent="0.25">
      <c r="A641" t="s">
        <v>2142</v>
      </c>
      <c r="B641">
        <f>YEAR(Retail_data[[#This Row],[Order Date]])</f>
        <v>2027</v>
      </c>
      <c r="C641" t="str">
        <f>TEXT(Retail_data[[#This Row],[Order Date]],"mmmm")</f>
        <v>June</v>
      </c>
      <c r="D641">
        <f>MONTH(Retail_data[[#This Row],[Order Date]])</f>
        <v>6</v>
      </c>
      <c r="E641" t="str">
        <f>"Q"&amp;ROUNDUP(MONTH(Retail_data[[#This Row],[Order Date]])/3,0)</f>
        <v>Q2</v>
      </c>
      <c r="F641" s="1">
        <v>46561</v>
      </c>
      <c r="G641" s="1">
        <v>46565</v>
      </c>
      <c r="H641" t="s">
        <v>2143</v>
      </c>
      <c r="I641" t="s">
        <v>2144</v>
      </c>
      <c r="J641" t="s">
        <v>44</v>
      </c>
      <c r="K641" t="s">
        <v>22</v>
      </c>
      <c r="L641" t="s">
        <v>34</v>
      </c>
      <c r="M641" t="s">
        <v>35</v>
      </c>
      <c r="N641" t="s">
        <v>36</v>
      </c>
      <c r="O641" t="s">
        <v>37</v>
      </c>
      <c r="P641" t="s">
        <v>52</v>
      </c>
      <c r="Q641" t="s">
        <v>206</v>
      </c>
      <c r="R641">
        <v>22856.6</v>
      </c>
      <c r="S641">
        <v>5</v>
      </c>
      <c r="T641">
        <v>0.3</v>
      </c>
      <c r="U641" t="str">
        <f>IF(Retail_data[[#This Row],[Sales]]&gt;30000,"High",IF(Retail_data[[#This Row],[Sales]]&gt;10000,"Medium","Low"))</f>
        <v>Medium</v>
      </c>
      <c r="V641" s="3">
        <f>Retail_data[[#This Row],[Profit]]/Retail_data[[#This Row],[Sales]]</f>
        <v>-6.4879728393549357E-2</v>
      </c>
      <c r="W641">
        <v>-1482.93</v>
      </c>
      <c r="X641" t="s">
        <v>29</v>
      </c>
    </row>
    <row r="642" spans="1:24" ht="13.8" x14ac:dyDescent="0.25">
      <c r="A642" t="s">
        <v>2145</v>
      </c>
      <c r="B642">
        <f>YEAR(Retail_data[[#This Row],[Order Date]])</f>
        <v>2027</v>
      </c>
      <c r="C642" t="str">
        <f>TEXT(Retail_data[[#This Row],[Order Date]],"mmmm")</f>
        <v>June</v>
      </c>
      <c r="D642">
        <f>MONTH(Retail_data[[#This Row],[Order Date]])</f>
        <v>6</v>
      </c>
      <c r="E642" t="str">
        <f>"Q"&amp;ROUNDUP(MONTH(Retail_data[[#This Row],[Order Date]])/3,0)</f>
        <v>Q2</v>
      </c>
      <c r="F642" s="1">
        <v>46562</v>
      </c>
      <c r="G642" s="1">
        <v>46566</v>
      </c>
      <c r="H642" t="s">
        <v>2146</v>
      </c>
      <c r="I642" t="s">
        <v>2147</v>
      </c>
      <c r="J642" t="s">
        <v>44</v>
      </c>
      <c r="K642" t="s">
        <v>22</v>
      </c>
      <c r="L642" t="s">
        <v>23</v>
      </c>
      <c r="M642" t="s">
        <v>24</v>
      </c>
      <c r="N642" t="s">
        <v>25</v>
      </c>
      <c r="O642" t="s">
        <v>37</v>
      </c>
      <c r="P642" t="s">
        <v>38</v>
      </c>
      <c r="Q642" t="s">
        <v>664</v>
      </c>
      <c r="R642">
        <v>7979.4</v>
      </c>
      <c r="S642">
        <v>1</v>
      </c>
      <c r="T642">
        <v>0.3</v>
      </c>
      <c r="U642" t="str">
        <f>IF(Retail_data[[#This Row],[Sales]]&gt;30000,"High",IF(Retail_data[[#This Row],[Sales]]&gt;10000,"Medium","Low"))</f>
        <v>Low</v>
      </c>
      <c r="V642" s="3">
        <f>Retail_data[[#This Row],[Profit]]/Retail_data[[#This Row],[Sales]]</f>
        <v>0.16178158758803921</v>
      </c>
      <c r="W642">
        <v>1290.92</v>
      </c>
      <c r="X642" t="s">
        <v>40</v>
      </c>
    </row>
    <row r="643" spans="1:24" ht="13.8" x14ac:dyDescent="0.25">
      <c r="A643" t="s">
        <v>2148</v>
      </c>
      <c r="B643">
        <f>YEAR(Retail_data[[#This Row],[Order Date]])</f>
        <v>2027</v>
      </c>
      <c r="C643" t="str">
        <f>TEXT(Retail_data[[#This Row],[Order Date]],"mmmm")</f>
        <v>June</v>
      </c>
      <c r="D643">
        <f>MONTH(Retail_data[[#This Row],[Order Date]])</f>
        <v>6</v>
      </c>
      <c r="E643" t="str">
        <f>"Q"&amp;ROUNDUP(MONTH(Retail_data[[#This Row],[Order Date]])/3,0)</f>
        <v>Q2</v>
      </c>
      <c r="F643" s="1">
        <v>46563</v>
      </c>
      <c r="G643" s="1">
        <v>46567</v>
      </c>
      <c r="H643" t="s">
        <v>2149</v>
      </c>
      <c r="I643" t="s">
        <v>2150</v>
      </c>
      <c r="J643" t="s">
        <v>33</v>
      </c>
      <c r="K643" t="s">
        <v>22</v>
      </c>
      <c r="L643" t="s">
        <v>85</v>
      </c>
      <c r="M643" t="s">
        <v>86</v>
      </c>
      <c r="N643" t="s">
        <v>87</v>
      </c>
      <c r="O643" t="s">
        <v>26</v>
      </c>
      <c r="P643" t="s">
        <v>27</v>
      </c>
      <c r="Q643" t="s">
        <v>1744</v>
      </c>
      <c r="R643">
        <v>21011.86</v>
      </c>
      <c r="S643">
        <v>5</v>
      </c>
      <c r="T643">
        <v>0.3</v>
      </c>
      <c r="U643" t="str">
        <f>IF(Retail_data[[#This Row],[Sales]]&gt;30000,"High",IF(Retail_data[[#This Row],[Sales]]&gt;10000,"Medium","Low"))</f>
        <v>Medium</v>
      </c>
      <c r="V643" s="3">
        <f>Retail_data[[#This Row],[Profit]]/Retail_data[[#This Row],[Sales]]</f>
        <v>0.15764620552392791</v>
      </c>
      <c r="W643">
        <v>3312.44</v>
      </c>
      <c r="X643" t="s">
        <v>40</v>
      </c>
    </row>
    <row r="644" spans="1:24" ht="13.8" x14ac:dyDescent="0.25">
      <c r="A644" t="s">
        <v>2151</v>
      </c>
      <c r="B644">
        <f>YEAR(Retail_data[[#This Row],[Order Date]])</f>
        <v>2027</v>
      </c>
      <c r="C644" t="str">
        <f>TEXT(Retail_data[[#This Row],[Order Date]],"mmmm")</f>
        <v>June</v>
      </c>
      <c r="D644">
        <f>MONTH(Retail_data[[#This Row],[Order Date]])</f>
        <v>6</v>
      </c>
      <c r="E644" t="str">
        <f>"Q"&amp;ROUNDUP(MONTH(Retail_data[[#This Row],[Order Date]])/3,0)</f>
        <v>Q2</v>
      </c>
      <c r="F644" s="1">
        <v>46564</v>
      </c>
      <c r="G644" s="1">
        <v>46568</v>
      </c>
      <c r="H644" t="s">
        <v>2152</v>
      </c>
      <c r="I644" t="s">
        <v>2153</v>
      </c>
      <c r="J644" t="s">
        <v>21</v>
      </c>
      <c r="K644" t="s">
        <v>22</v>
      </c>
      <c r="L644" t="s">
        <v>34</v>
      </c>
      <c r="M644" t="s">
        <v>35</v>
      </c>
      <c r="N644" t="s">
        <v>36</v>
      </c>
      <c r="O644" t="s">
        <v>26</v>
      </c>
      <c r="P644" t="s">
        <v>70</v>
      </c>
      <c r="Q644" t="s">
        <v>117</v>
      </c>
      <c r="R644">
        <v>2600.35</v>
      </c>
      <c r="S644">
        <v>8</v>
      </c>
      <c r="T644">
        <v>0.3</v>
      </c>
      <c r="U644" t="str">
        <f>IF(Retail_data[[#This Row],[Sales]]&gt;30000,"High",IF(Retail_data[[#This Row],[Sales]]&gt;10000,"Medium","Low"))</f>
        <v>Low</v>
      </c>
      <c r="V644" s="3">
        <f>Retail_data[[#This Row],[Profit]]/Retail_data[[#This Row],[Sales]]</f>
        <v>0.13577403041898206</v>
      </c>
      <c r="W644">
        <v>353.06</v>
      </c>
      <c r="X644" t="s">
        <v>48</v>
      </c>
    </row>
    <row r="645" spans="1:24" ht="13.8" x14ac:dyDescent="0.25">
      <c r="A645" t="s">
        <v>2154</v>
      </c>
      <c r="B645">
        <f>YEAR(Retail_data[[#This Row],[Order Date]])</f>
        <v>2027</v>
      </c>
      <c r="C645" t="str">
        <f>TEXT(Retail_data[[#This Row],[Order Date]],"mmmm")</f>
        <v>June</v>
      </c>
      <c r="D645">
        <f>MONTH(Retail_data[[#This Row],[Order Date]])</f>
        <v>6</v>
      </c>
      <c r="E645" t="str">
        <f>"Q"&amp;ROUNDUP(MONTH(Retail_data[[#This Row],[Order Date]])/3,0)</f>
        <v>Q2</v>
      </c>
      <c r="F645" s="1">
        <v>46565</v>
      </c>
      <c r="G645" s="1">
        <v>46569</v>
      </c>
      <c r="H645" t="s">
        <v>2155</v>
      </c>
      <c r="I645" t="s">
        <v>2156</v>
      </c>
      <c r="J645" t="s">
        <v>33</v>
      </c>
      <c r="K645" t="s">
        <v>22</v>
      </c>
      <c r="L645" t="s">
        <v>67</v>
      </c>
      <c r="M645" t="s">
        <v>68</v>
      </c>
      <c r="N645" t="s">
        <v>69</v>
      </c>
      <c r="O645" t="s">
        <v>26</v>
      </c>
      <c r="P645" t="s">
        <v>27</v>
      </c>
      <c r="Q645" t="s">
        <v>449</v>
      </c>
      <c r="R645">
        <v>22215.77</v>
      </c>
      <c r="S645">
        <v>5</v>
      </c>
      <c r="T645">
        <v>0.3</v>
      </c>
      <c r="U645" t="str">
        <f>IF(Retail_data[[#This Row],[Sales]]&gt;30000,"High",IF(Retail_data[[#This Row],[Sales]]&gt;10000,"Medium","Low"))</f>
        <v>Medium</v>
      </c>
      <c r="V645" s="3">
        <f>Retail_data[[#This Row],[Profit]]/Retail_data[[#This Row],[Sales]]</f>
        <v>0.15415265822431543</v>
      </c>
      <c r="W645">
        <v>3424.62</v>
      </c>
      <c r="X645" t="s">
        <v>40</v>
      </c>
    </row>
    <row r="646" spans="1:24" ht="13.8" x14ac:dyDescent="0.25">
      <c r="A646" t="s">
        <v>2157</v>
      </c>
      <c r="B646">
        <f>YEAR(Retail_data[[#This Row],[Order Date]])</f>
        <v>2027</v>
      </c>
      <c r="C646" t="str">
        <f>TEXT(Retail_data[[#This Row],[Order Date]],"mmmm")</f>
        <v>June</v>
      </c>
      <c r="D646">
        <f>MONTH(Retail_data[[#This Row],[Order Date]])</f>
        <v>6</v>
      </c>
      <c r="E646" t="str">
        <f>"Q"&amp;ROUNDUP(MONTH(Retail_data[[#This Row],[Order Date]])/3,0)</f>
        <v>Q2</v>
      </c>
      <c r="F646" s="1">
        <v>46566</v>
      </c>
      <c r="G646" s="1">
        <v>46570</v>
      </c>
      <c r="H646" t="s">
        <v>2158</v>
      </c>
      <c r="I646" t="s">
        <v>2159</v>
      </c>
      <c r="J646" t="s">
        <v>44</v>
      </c>
      <c r="K646" t="s">
        <v>22</v>
      </c>
      <c r="L646" t="s">
        <v>45</v>
      </c>
      <c r="M646" t="s">
        <v>45</v>
      </c>
      <c r="N646" t="s">
        <v>25</v>
      </c>
      <c r="O646" t="s">
        <v>37</v>
      </c>
      <c r="P646" t="s">
        <v>52</v>
      </c>
      <c r="Q646" t="s">
        <v>2160</v>
      </c>
      <c r="R646">
        <v>14608.32</v>
      </c>
      <c r="S646">
        <v>5</v>
      </c>
      <c r="T646">
        <v>0.1</v>
      </c>
      <c r="U646" t="str">
        <f>IF(Retail_data[[#This Row],[Sales]]&gt;30000,"High",IF(Retail_data[[#This Row],[Sales]]&gt;10000,"Medium","Low"))</f>
        <v>Medium</v>
      </c>
      <c r="V646" s="3">
        <f>Retail_data[[#This Row],[Profit]]/Retail_data[[#This Row],[Sales]]</f>
        <v>0.21300943571882325</v>
      </c>
      <c r="W646">
        <v>3111.71</v>
      </c>
      <c r="X646" t="s">
        <v>48</v>
      </c>
    </row>
    <row r="647" spans="1:24" ht="13.8" x14ac:dyDescent="0.25">
      <c r="A647" t="s">
        <v>2161</v>
      </c>
      <c r="B647">
        <f>YEAR(Retail_data[[#This Row],[Order Date]])</f>
        <v>2027</v>
      </c>
      <c r="C647" t="str">
        <f>TEXT(Retail_data[[#This Row],[Order Date]],"mmmm")</f>
        <v>June</v>
      </c>
      <c r="D647">
        <f>MONTH(Retail_data[[#This Row],[Order Date]])</f>
        <v>6</v>
      </c>
      <c r="E647" t="str">
        <f>"Q"&amp;ROUNDUP(MONTH(Retail_data[[#This Row],[Order Date]])/3,0)</f>
        <v>Q2</v>
      </c>
      <c r="F647" s="1">
        <v>46567</v>
      </c>
      <c r="G647" s="1">
        <v>46571</v>
      </c>
      <c r="H647" t="s">
        <v>2162</v>
      </c>
      <c r="I647" t="s">
        <v>2163</v>
      </c>
      <c r="J647" t="s">
        <v>33</v>
      </c>
      <c r="K647" t="s">
        <v>22</v>
      </c>
      <c r="L647" t="s">
        <v>34</v>
      </c>
      <c r="M647" t="s">
        <v>35</v>
      </c>
      <c r="N647" t="s">
        <v>36</v>
      </c>
      <c r="O647" t="s">
        <v>26</v>
      </c>
      <c r="P647" t="s">
        <v>92</v>
      </c>
      <c r="Q647" t="s">
        <v>503</v>
      </c>
      <c r="R647">
        <v>8270.18</v>
      </c>
      <c r="S647">
        <v>4</v>
      </c>
      <c r="T647">
        <v>0.3</v>
      </c>
      <c r="U647" t="str">
        <f>IF(Retail_data[[#This Row],[Sales]]&gt;30000,"High",IF(Retail_data[[#This Row],[Sales]]&gt;10000,"Medium","Low"))</f>
        <v>Low</v>
      </c>
      <c r="V647" s="3">
        <f>Retail_data[[#This Row],[Profit]]/Retail_data[[#This Row],[Sales]]</f>
        <v>7.9306617268306123E-2</v>
      </c>
      <c r="W647">
        <v>655.88</v>
      </c>
      <c r="X647" t="s">
        <v>29</v>
      </c>
    </row>
    <row r="648" spans="1:24" ht="13.8" x14ac:dyDescent="0.25">
      <c r="A648" t="s">
        <v>2164</v>
      </c>
      <c r="B648">
        <f>YEAR(Retail_data[[#This Row],[Order Date]])</f>
        <v>2027</v>
      </c>
      <c r="C648" t="str">
        <f>TEXT(Retail_data[[#This Row],[Order Date]],"mmmm")</f>
        <v>June</v>
      </c>
      <c r="D648">
        <f>MONTH(Retail_data[[#This Row],[Order Date]])</f>
        <v>6</v>
      </c>
      <c r="E648" t="str">
        <f>"Q"&amp;ROUNDUP(MONTH(Retail_data[[#This Row],[Order Date]])/3,0)</f>
        <v>Q2</v>
      </c>
      <c r="F648" s="1">
        <v>46568</v>
      </c>
      <c r="G648" s="1">
        <v>46572</v>
      </c>
      <c r="H648" t="s">
        <v>2165</v>
      </c>
      <c r="I648" t="s">
        <v>2166</v>
      </c>
      <c r="J648" t="s">
        <v>44</v>
      </c>
      <c r="K648" t="s">
        <v>22</v>
      </c>
      <c r="L648" t="s">
        <v>85</v>
      </c>
      <c r="M648" t="s">
        <v>86</v>
      </c>
      <c r="N648" t="s">
        <v>87</v>
      </c>
      <c r="O648" t="s">
        <v>57</v>
      </c>
      <c r="P648" t="s">
        <v>58</v>
      </c>
      <c r="Q648" t="s">
        <v>387</v>
      </c>
      <c r="R648">
        <v>10279.19</v>
      </c>
      <c r="S648">
        <v>6</v>
      </c>
      <c r="T648">
        <v>0</v>
      </c>
      <c r="U648" t="str">
        <f>IF(Retail_data[[#This Row],[Sales]]&gt;30000,"High",IF(Retail_data[[#This Row],[Sales]]&gt;10000,"Medium","Low"))</f>
        <v>Medium</v>
      </c>
      <c r="V648" s="3">
        <f>Retail_data[[#This Row],[Profit]]/Retail_data[[#This Row],[Sales]]</f>
        <v>0.28606826024229537</v>
      </c>
      <c r="W648">
        <v>2940.55</v>
      </c>
      <c r="X648" t="s">
        <v>48</v>
      </c>
    </row>
    <row r="649" spans="1:24" ht="13.8" x14ac:dyDescent="0.25">
      <c r="A649" t="s">
        <v>2167</v>
      </c>
      <c r="B649">
        <f>YEAR(Retail_data[[#This Row],[Order Date]])</f>
        <v>2027</v>
      </c>
      <c r="C649" t="str">
        <f>TEXT(Retail_data[[#This Row],[Order Date]],"mmmm")</f>
        <v>July</v>
      </c>
      <c r="D649">
        <f>MONTH(Retail_data[[#This Row],[Order Date]])</f>
        <v>7</v>
      </c>
      <c r="E649" t="str">
        <f>"Q"&amp;ROUNDUP(MONTH(Retail_data[[#This Row],[Order Date]])/3,0)</f>
        <v>Q3</v>
      </c>
      <c r="F649" s="1">
        <v>46569</v>
      </c>
      <c r="G649" s="1">
        <v>46573</v>
      </c>
      <c r="H649" t="s">
        <v>2168</v>
      </c>
      <c r="I649" t="s">
        <v>2169</v>
      </c>
      <c r="J649" t="s">
        <v>21</v>
      </c>
      <c r="K649" t="s">
        <v>22</v>
      </c>
      <c r="L649" t="s">
        <v>34</v>
      </c>
      <c r="M649" t="s">
        <v>35</v>
      </c>
      <c r="N649" t="s">
        <v>36</v>
      </c>
      <c r="O649" t="s">
        <v>37</v>
      </c>
      <c r="P649" t="s">
        <v>46</v>
      </c>
      <c r="Q649" t="s">
        <v>129</v>
      </c>
      <c r="R649">
        <v>24329.77</v>
      </c>
      <c r="S649">
        <v>7</v>
      </c>
      <c r="T649">
        <v>0</v>
      </c>
      <c r="U649" t="str">
        <f>IF(Retail_data[[#This Row],[Sales]]&gt;30000,"High",IF(Retail_data[[#This Row],[Sales]]&gt;10000,"Medium","Low"))</f>
        <v>Medium</v>
      </c>
      <c r="V649" s="3">
        <f>Retail_data[[#This Row],[Profit]]/Retail_data[[#This Row],[Sales]]</f>
        <v>0.10698004954424148</v>
      </c>
      <c r="W649">
        <v>2602.8000000000002</v>
      </c>
      <c r="X649" t="s">
        <v>81</v>
      </c>
    </row>
    <row r="650" spans="1:24" ht="13.8" x14ac:dyDescent="0.25">
      <c r="A650" t="s">
        <v>2170</v>
      </c>
      <c r="B650">
        <f>YEAR(Retail_data[[#This Row],[Order Date]])</f>
        <v>2027</v>
      </c>
      <c r="C650" t="str">
        <f>TEXT(Retail_data[[#This Row],[Order Date]],"mmmm")</f>
        <v>July</v>
      </c>
      <c r="D650">
        <f>MONTH(Retail_data[[#This Row],[Order Date]])</f>
        <v>7</v>
      </c>
      <c r="E650" t="str">
        <f>"Q"&amp;ROUNDUP(MONTH(Retail_data[[#This Row],[Order Date]])/3,0)</f>
        <v>Q3</v>
      </c>
      <c r="F650" s="1">
        <v>46570</v>
      </c>
      <c r="G650" s="1">
        <v>46574</v>
      </c>
      <c r="H650" t="s">
        <v>2171</v>
      </c>
      <c r="I650" t="s">
        <v>2172</v>
      </c>
      <c r="J650" t="s">
        <v>21</v>
      </c>
      <c r="K650" t="s">
        <v>22</v>
      </c>
      <c r="L650" t="s">
        <v>45</v>
      </c>
      <c r="M650" t="s">
        <v>45</v>
      </c>
      <c r="N650" t="s">
        <v>25</v>
      </c>
      <c r="O650" t="s">
        <v>37</v>
      </c>
      <c r="P650" t="s">
        <v>38</v>
      </c>
      <c r="Q650" t="s">
        <v>943</v>
      </c>
      <c r="R650">
        <v>29244.27</v>
      </c>
      <c r="S650">
        <v>8</v>
      </c>
      <c r="T650">
        <v>0.2</v>
      </c>
      <c r="U650" t="str">
        <f>IF(Retail_data[[#This Row],[Sales]]&gt;30000,"High",IF(Retail_data[[#This Row],[Sales]]&gt;10000,"Medium","Low"))</f>
        <v>Medium</v>
      </c>
      <c r="V650" s="3">
        <f>Retail_data[[#This Row],[Profit]]/Retail_data[[#This Row],[Sales]]</f>
        <v>4.3871842244651689E-4</v>
      </c>
      <c r="W650">
        <v>12.83</v>
      </c>
      <c r="X650" t="s">
        <v>48</v>
      </c>
    </row>
    <row r="651" spans="1:24" ht="13.8" x14ac:dyDescent="0.25">
      <c r="A651" t="s">
        <v>2173</v>
      </c>
      <c r="B651">
        <f>YEAR(Retail_data[[#This Row],[Order Date]])</f>
        <v>2027</v>
      </c>
      <c r="C651" t="str">
        <f>TEXT(Retail_data[[#This Row],[Order Date]],"mmmm")</f>
        <v>July</v>
      </c>
      <c r="D651">
        <f>MONTH(Retail_data[[#This Row],[Order Date]])</f>
        <v>7</v>
      </c>
      <c r="E651" t="str">
        <f>"Q"&amp;ROUNDUP(MONTH(Retail_data[[#This Row],[Order Date]])/3,0)</f>
        <v>Q3</v>
      </c>
      <c r="F651" s="1">
        <v>46571</v>
      </c>
      <c r="G651" s="1">
        <v>46575</v>
      </c>
      <c r="H651" t="s">
        <v>2174</v>
      </c>
      <c r="I651" t="s">
        <v>2175</v>
      </c>
      <c r="J651" t="s">
        <v>33</v>
      </c>
      <c r="K651" t="s">
        <v>22</v>
      </c>
      <c r="L651" t="s">
        <v>45</v>
      </c>
      <c r="M651" t="s">
        <v>45</v>
      </c>
      <c r="N651" t="s">
        <v>25</v>
      </c>
      <c r="O651" t="s">
        <v>26</v>
      </c>
      <c r="P651" t="s">
        <v>92</v>
      </c>
      <c r="Q651" t="s">
        <v>433</v>
      </c>
      <c r="R651">
        <v>15364.34</v>
      </c>
      <c r="S651">
        <v>2</v>
      </c>
      <c r="T651">
        <v>0.3</v>
      </c>
      <c r="U651" t="str">
        <f>IF(Retail_data[[#This Row],[Sales]]&gt;30000,"High",IF(Retail_data[[#This Row],[Sales]]&gt;10000,"Medium","Low"))</f>
        <v>Medium</v>
      </c>
      <c r="V651" s="3">
        <f>Retail_data[[#This Row],[Profit]]/Retail_data[[#This Row],[Sales]]</f>
        <v>4.623628479973757E-2</v>
      </c>
      <c r="W651">
        <v>710.39</v>
      </c>
      <c r="X651" t="s">
        <v>48</v>
      </c>
    </row>
    <row r="652" spans="1:24" ht="13.8" x14ac:dyDescent="0.25">
      <c r="A652" t="s">
        <v>2176</v>
      </c>
      <c r="B652">
        <f>YEAR(Retail_data[[#This Row],[Order Date]])</f>
        <v>2027</v>
      </c>
      <c r="C652" t="str">
        <f>TEXT(Retail_data[[#This Row],[Order Date]],"mmmm")</f>
        <v>July</v>
      </c>
      <c r="D652">
        <f>MONTH(Retail_data[[#This Row],[Order Date]])</f>
        <v>7</v>
      </c>
      <c r="E652" t="str">
        <f>"Q"&amp;ROUNDUP(MONTH(Retail_data[[#This Row],[Order Date]])/3,0)</f>
        <v>Q3</v>
      </c>
      <c r="F652" s="1">
        <v>46572</v>
      </c>
      <c r="G652" s="1">
        <v>46576</v>
      </c>
      <c r="H652" t="s">
        <v>2177</v>
      </c>
      <c r="I652" t="s">
        <v>2178</v>
      </c>
      <c r="J652" t="s">
        <v>33</v>
      </c>
      <c r="K652" t="s">
        <v>22</v>
      </c>
      <c r="L652" t="s">
        <v>85</v>
      </c>
      <c r="M652" t="s">
        <v>86</v>
      </c>
      <c r="N652" t="s">
        <v>87</v>
      </c>
      <c r="O652" t="s">
        <v>37</v>
      </c>
      <c r="P652" t="s">
        <v>52</v>
      </c>
      <c r="Q652" t="s">
        <v>591</v>
      </c>
      <c r="R652">
        <v>6168.35</v>
      </c>
      <c r="S652">
        <v>3</v>
      </c>
      <c r="T652">
        <v>0</v>
      </c>
      <c r="U652" t="str">
        <f>IF(Retail_data[[#This Row],[Sales]]&gt;30000,"High",IF(Retail_data[[#This Row],[Sales]]&gt;10000,"Medium","Low"))</f>
        <v>Low</v>
      </c>
      <c r="V652" s="3">
        <f>Retail_data[[#This Row],[Profit]]/Retail_data[[#This Row],[Sales]]</f>
        <v>0.12626553292209425</v>
      </c>
      <c r="W652">
        <v>778.85</v>
      </c>
      <c r="X652" t="s">
        <v>81</v>
      </c>
    </row>
    <row r="653" spans="1:24" ht="13.8" x14ac:dyDescent="0.25">
      <c r="A653" t="s">
        <v>2179</v>
      </c>
      <c r="B653">
        <f>YEAR(Retail_data[[#This Row],[Order Date]])</f>
        <v>2027</v>
      </c>
      <c r="C653" t="str">
        <f>TEXT(Retail_data[[#This Row],[Order Date]],"mmmm")</f>
        <v>July</v>
      </c>
      <c r="D653">
        <f>MONTH(Retail_data[[#This Row],[Order Date]])</f>
        <v>7</v>
      </c>
      <c r="E653" t="str">
        <f>"Q"&amp;ROUNDUP(MONTH(Retail_data[[#This Row],[Order Date]])/3,0)</f>
        <v>Q3</v>
      </c>
      <c r="F653" s="1">
        <v>46573</v>
      </c>
      <c r="G653" s="1">
        <v>46577</v>
      </c>
      <c r="H653" t="s">
        <v>2180</v>
      </c>
      <c r="I653" t="s">
        <v>2181</v>
      </c>
      <c r="J653" t="s">
        <v>33</v>
      </c>
      <c r="K653" t="s">
        <v>22</v>
      </c>
      <c r="L653" t="s">
        <v>45</v>
      </c>
      <c r="M653" t="s">
        <v>45</v>
      </c>
      <c r="N653" t="s">
        <v>25</v>
      </c>
      <c r="O653" t="s">
        <v>26</v>
      </c>
      <c r="P653" t="s">
        <v>92</v>
      </c>
      <c r="Q653" t="s">
        <v>831</v>
      </c>
      <c r="R653">
        <v>14552.7</v>
      </c>
      <c r="S653">
        <v>7</v>
      </c>
      <c r="T653">
        <v>0.2</v>
      </c>
      <c r="U653" t="str">
        <f>IF(Retail_data[[#This Row],[Sales]]&gt;30000,"High",IF(Retail_data[[#This Row],[Sales]]&gt;10000,"Medium","Low"))</f>
        <v>Medium</v>
      </c>
      <c r="V653" s="3">
        <f>Retail_data[[#This Row],[Profit]]/Retail_data[[#This Row],[Sales]]</f>
        <v>-6.7891181705113143E-4</v>
      </c>
      <c r="W653">
        <v>-9.8800000000000008</v>
      </c>
      <c r="X653" t="s">
        <v>29</v>
      </c>
    </row>
    <row r="654" spans="1:24" ht="13.8" x14ac:dyDescent="0.25">
      <c r="A654" t="s">
        <v>2182</v>
      </c>
      <c r="B654">
        <f>YEAR(Retail_data[[#This Row],[Order Date]])</f>
        <v>2027</v>
      </c>
      <c r="C654" t="str">
        <f>TEXT(Retail_data[[#This Row],[Order Date]],"mmmm")</f>
        <v>July</v>
      </c>
      <c r="D654">
        <f>MONTH(Retail_data[[#This Row],[Order Date]])</f>
        <v>7</v>
      </c>
      <c r="E654" t="str">
        <f>"Q"&amp;ROUNDUP(MONTH(Retail_data[[#This Row],[Order Date]])/3,0)</f>
        <v>Q3</v>
      </c>
      <c r="F654" s="1">
        <v>46574</v>
      </c>
      <c r="G654" s="1">
        <v>46578</v>
      </c>
      <c r="H654" t="s">
        <v>2183</v>
      </c>
      <c r="I654" t="s">
        <v>2184</v>
      </c>
      <c r="J654" t="s">
        <v>44</v>
      </c>
      <c r="K654" t="s">
        <v>22</v>
      </c>
      <c r="L654" t="s">
        <v>23</v>
      </c>
      <c r="M654" t="s">
        <v>24</v>
      </c>
      <c r="N654" t="s">
        <v>25</v>
      </c>
      <c r="O654" t="s">
        <v>37</v>
      </c>
      <c r="P654" t="s">
        <v>46</v>
      </c>
      <c r="Q654" t="s">
        <v>978</v>
      </c>
      <c r="R654">
        <v>849.78</v>
      </c>
      <c r="S654">
        <v>4</v>
      </c>
      <c r="T654">
        <v>0.1</v>
      </c>
      <c r="U654" t="str">
        <f>IF(Retail_data[[#This Row],[Sales]]&gt;30000,"High",IF(Retail_data[[#This Row],[Sales]]&gt;10000,"Medium","Low"))</f>
        <v>Low</v>
      </c>
      <c r="V654" s="3">
        <f>Retail_data[[#This Row],[Profit]]/Retail_data[[#This Row],[Sales]]</f>
        <v>0.20340558732848502</v>
      </c>
      <c r="W654">
        <v>172.85</v>
      </c>
      <c r="X654" t="s">
        <v>40</v>
      </c>
    </row>
    <row r="655" spans="1:24" ht="13.8" x14ac:dyDescent="0.25">
      <c r="A655" t="s">
        <v>2185</v>
      </c>
      <c r="B655">
        <f>YEAR(Retail_data[[#This Row],[Order Date]])</f>
        <v>2027</v>
      </c>
      <c r="C655" t="str">
        <f>TEXT(Retail_data[[#This Row],[Order Date]],"mmmm")</f>
        <v>July</v>
      </c>
      <c r="D655">
        <f>MONTH(Retail_data[[#This Row],[Order Date]])</f>
        <v>7</v>
      </c>
      <c r="E655" t="str">
        <f>"Q"&amp;ROUNDUP(MONTH(Retail_data[[#This Row],[Order Date]])/3,0)</f>
        <v>Q3</v>
      </c>
      <c r="F655" s="1">
        <v>46575</v>
      </c>
      <c r="G655" s="1">
        <v>46579</v>
      </c>
      <c r="H655" t="s">
        <v>2186</v>
      </c>
      <c r="I655" t="s">
        <v>2187</v>
      </c>
      <c r="J655" t="s">
        <v>44</v>
      </c>
      <c r="K655" t="s">
        <v>22</v>
      </c>
      <c r="L655" t="s">
        <v>85</v>
      </c>
      <c r="M655" t="s">
        <v>86</v>
      </c>
      <c r="N655" t="s">
        <v>87</v>
      </c>
      <c r="O655" t="s">
        <v>57</v>
      </c>
      <c r="P655" t="s">
        <v>79</v>
      </c>
      <c r="Q655" t="s">
        <v>351</v>
      </c>
      <c r="R655">
        <v>31637.34</v>
      </c>
      <c r="S655">
        <v>4</v>
      </c>
      <c r="T655">
        <v>0.2</v>
      </c>
      <c r="U655" t="str">
        <f>IF(Retail_data[[#This Row],[Sales]]&gt;30000,"High",IF(Retail_data[[#This Row],[Sales]]&gt;10000,"Medium","Low"))</f>
        <v>High</v>
      </c>
      <c r="V655" s="3">
        <f>Retail_data[[#This Row],[Profit]]/Retail_data[[#This Row],[Sales]]</f>
        <v>9.4183645021989837E-2</v>
      </c>
      <c r="W655">
        <v>2979.72</v>
      </c>
      <c r="X655" t="s">
        <v>81</v>
      </c>
    </row>
    <row r="656" spans="1:24" ht="13.8" x14ac:dyDescent="0.25">
      <c r="A656" t="s">
        <v>2188</v>
      </c>
      <c r="B656">
        <f>YEAR(Retail_data[[#This Row],[Order Date]])</f>
        <v>2027</v>
      </c>
      <c r="C656" t="str">
        <f>TEXT(Retail_data[[#This Row],[Order Date]],"mmmm")</f>
        <v>July</v>
      </c>
      <c r="D656">
        <f>MONTH(Retail_data[[#This Row],[Order Date]])</f>
        <v>7</v>
      </c>
      <c r="E656" t="str">
        <f>"Q"&amp;ROUNDUP(MONTH(Retail_data[[#This Row],[Order Date]])/3,0)</f>
        <v>Q3</v>
      </c>
      <c r="F656" s="1">
        <v>46576</v>
      </c>
      <c r="G656" s="1">
        <v>46580</v>
      </c>
      <c r="H656" t="s">
        <v>2189</v>
      </c>
      <c r="I656" t="s">
        <v>2190</v>
      </c>
      <c r="J656" t="s">
        <v>21</v>
      </c>
      <c r="K656" t="s">
        <v>22</v>
      </c>
      <c r="L656" t="s">
        <v>34</v>
      </c>
      <c r="M656" t="s">
        <v>35</v>
      </c>
      <c r="N656" t="s">
        <v>36</v>
      </c>
      <c r="O656" t="s">
        <v>57</v>
      </c>
      <c r="P656" t="s">
        <v>58</v>
      </c>
      <c r="Q656" t="s">
        <v>188</v>
      </c>
      <c r="R656">
        <v>35744.910000000003</v>
      </c>
      <c r="S656">
        <v>1</v>
      </c>
      <c r="T656">
        <v>0.2</v>
      </c>
      <c r="U656" t="str">
        <f>IF(Retail_data[[#This Row],[Sales]]&gt;30000,"High",IF(Retail_data[[#This Row],[Sales]]&gt;10000,"Medium","Low"))</f>
        <v>High</v>
      </c>
      <c r="V656" s="3">
        <f>Retail_data[[#This Row],[Profit]]/Retail_data[[#This Row],[Sales]]</f>
        <v>0.16975843553669598</v>
      </c>
      <c r="W656">
        <v>6068</v>
      </c>
      <c r="X656" t="s">
        <v>48</v>
      </c>
    </row>
    <row r="657" spans="1:24" ht="13.8" x14ac:dyDescent="0.25">
      <c r="A657" t="s">
        <v>2191</v>
      </c>
      <c r="B657">
        <f>YEAR(Retail_data[[#This Row],[Order Date]])</f>
        <v>2027</v>
      </c>
      <c r="C657" t="str">
        <f>TEXT(Retail_data[[#This Row],[Order Date]],"mmmm")</f>
        <v>July</v>
      </c>
      <c r="D657">
        <f>MONTH(Retail_data[[#This Row],[Order Date]])</f>
        <v>7</v>
      </c>
      <c r="E657" t="str">
        <f>"Q"&amp;ROUNDUP(MONTH(Retail_data[[#This Row],[Order Date]])/3,0)</f>
        <v>Q3</v>
      </c>
      <c r="F657" s="1">
        <v>46577</v>
      </c>
      <c r="G657" s="1">
        <v>46581</v>
      </c>
      <c r="H657" t="s">
        <v>2192</v>
      </c>
      <c r="I657" t="s">
        <v>2193</v>
      </c>
      <c r="J657" t="s">
        <v>44</v>
      </c>
      <c r="K657" t="s">
        <v>22</v>
      </c>
      <c r="L657" t="s">
        <v>23</v>
      </c>
      <c r="M657" t="s">
        <v>24</v>
      </c>
      <c r="N657" t="s">
        <v>25</v>
      </c>
      <c r="O657" t="s">
        <v>37</v>
      </c>
      <c r="P657" t="s">
        <v>46</v>
      </c>
      <c r="Q657" t="s">
        <v>968</v>
      </c>
      <c r="R657">
        <v>25823.14</v>
      </c>
      <c r="S657">
        <v>7</v>
      </c>
      <c r="T657">
        <v>0</v>
      </c>
      <c r="U657" t="str">
        <f>IF(Retail_data[[#This Row],[Sales]]&gt;30000,"High",IF(Retail_data[[#This Row],[Sales]]&gt;10000,"Medium","Low"))</f>
        <v>Medium</v>
      </c>
      <c r="V657" s="3">
        <f>Retail_data[[#This Row],[Profit]]/Retail_data[[#This Row],[Sales]]</f>
        <v>0.24429949262560635</v>
      </c>
      <c r="W657">
        <v>6308.58</v>
      </c>
      <c r="X657" t="s">
        <v>48</v>
      </c>
    </row>
    <row r="658" spans="1:24" ht="13.8" x14ac:dyDescent="0.25">
      <c r="A658" t="s">
        <v>2194</v>
      </c>
      <c r="B658">
        <f>YEAR(Retail_data[[#This Row],[Order Date]])</f>
        <v>2027</v>
      </c>
      <c r="C658" t="str">
        <f>TEXT(Retail_data[[#This Row],[Order Date]],"mmmm")</f>
        <v>July</v>
      </c>
      <c r="D658">
        <f>MONTH(Retail_data[[#This Row],[Order Date]])</f>
        <v>7</v>
      </c>
      <c r="E658" t="str">
        <f>"Q"&amp;ROUNDUP(MONTH(Retail_data[[#This Row],[Order Date]])/3,0)</f>
        <v>Q3</v>
      </c>
      <c r="F658" s="1">
        <v>46578</v>
      </c>
      <c r="G658" s="1">
        <v>46582</v>
      </c>
      <c r="H658" t="s">
        <v>2195</v>
      </c>
      <c r="I658" t="s">
        <v>2196</v>
      </c>
      <c r="J658" t="s">
        <v>33</v>
      </c>
      <c r="K658" t="s">
        <v>22</v>
      </c>
      <c r="L658" t="s">
        <v>23</v>
      </c>
      <c r="M658" t="s">
        <v>24</v>
      </c>
      <c r="N658" t="s">
        <v>25</v>
      </c>
      <c r="O658" t="s">
        <v>26</v>
      </c>
      <c r="P658" t="s">
        <v>70</v>
      </c>
      <c r="Q658" t="s">
        <v>677</v>
      </c>
      <c r="R658">
        <v>39650.47</v>
      </c>
      <c r="S658">
        <v>1</v>
      </c>
      <c r="T658">
        <v>0.3</v>
      </c>
      <c r="U658" t="str">
        <f>IF(Retail_data[[#This Row],[Sales]]&gt;30000,"High",IF(Retail_data[[#This Row],[Sales]]&gt;10000,"Medium","Low"))</f>
        <v>High</v>
      </c>
      <c r="V658" s="3">
        <f>Retail_data[[#This Row],[Profit]]/Retail_data[[#This Row],[Sales]]</f>
        <v>0.10721007846817453</v>
      </c>
      <c r="W658">
        <v>4250.93</v>
      </c>
      <c r="X658" t="s">
        <v>40</v>
      </c>
    </row>
    <row r="659" spans="1:24" ht="13.8" x14ac:dyDescent="0.25">
      <c r="A659" t="s">
        <v>2197</v>
      </c>
      <c r="B659">
        <f>YEAR(Retail_data[[#This Row],[Order Date]])</f>
        <v>2027</v>
      </c>
      <c r="C659" t="str">
        <f>TEXT(Retail_data[[#This Row],[Order Date]],"mmmm")</f>
        <v>July</v>
      </c>
      <c r="D659">
        <f>MONTH(Retail_data[[#This Row],[Order Date]])</f>
        <v>7</v>
      </c>
      <c r="E659" t="str">
        <f>"Q"&amp;ROUNDUP(MONTH(Retail_data[[#This Row],[Order Date]])/3,0)</f>
        <v>Q3</v>
      </c>
      <c r="F659" s="1">
        <v>46579</v>
      </c>
      <c r="G659" s="1">
        <v>46583</v>
      </c>
      <c r="H659" t="s">
        <v>2198</v>
      </c>
      <c r="I659" t="s">
        <v>2199</v>
      </c>
      <c r="J659" t="s">
        <v>21</v>
      </c>
      <c r="K659" t="s">
        <v>22</v>
      </c>
      <c r="L659" t="s">
        <v>23</v>
      </c>
      <c r="M659" t="s">
        <v>24</v>
      </c>
      <c r="N659" t="s">
        <v>25</v>
      </c>
      <c r="O659" t="s">
        <v>26</v>
      </c>
      <c r="P659" t="s">
        <v>27</v>
      </c>
      <c r="Q659" t="s">
        <v>612</v>
      </c>
      <c r="R659">
        <v>16032.08</v>
      </c>
      <c r="S659">
        <v>2</v>
      </c>
      <c r="T659">
        <v>0.1</v>
      </c>
      <c r="U659" t="str">
        <f>IF(Retail_data[[#This Row],[Sales]]&gt;30000,"High",IF(Retail_data[[#This Row],[Sales]]&gt;10000,"Medium","Low"))</f>
        <v>Medium</v>
      </c>
      <c r="V659" s="3">
        <f>Retail_data[[#This Row],[Profit]]/Retail_data[[#This Row],[Sales]]</f>
        <v>4.4904965544084109E-2</v>
      </c>
      <c r="W659">
        <v>719.92</v>
      </c>
      <c r="X659" t="s">
        <v>40</v>
      </c>
    </row>
    <row r="660" spans="1:24" ht="13.8" x14ac:dyDescent="0.25">
      <c r="A660" t="s">
        <v>2200</v>
      </c>
      <c r="B660">
        <f>YEAR(Retail_data[[#This Row],[Order Date]])</f>
        <v>2027</v>
      </c>
      <c r="C660" t="str">
        <f>TEXT(Retail_data[[#This Row],[Order Date]],"mmmm")</f>
        <v>July</v>
      </c>
      <c r="D660">
        <f>MONTH(Retail_data[[#This Row],[Order Date]])</f>
        <v>7</v>
      </c>
      <c r="E660" t="str">
        <f>"Q"&amp;ROUNDUP(MONTH(Retail_data[[#This Row],[Order Date]])/3,0)</f>
        <v>Q3</v>
      </c>
      <c r="F660" s="1">
        <v>46580</v>
      </c>
      <c r="G660" s="1">
        <v>46584</v>
      </c>
      <c r="H660" t="s">
        <v>2201</v>
      </c>
      <c r="I660" t="s">
        <v>2202</v>
      </c>
      <c r="J660" t="s">
        <v>21</v>
      </c>
      <c r="K660" t="s">
        <v>22</v>
      </c>
      <c r="L660" t="s">
        <v>67</v>
      </c>
      <c r="M660" t="s">
        <v>68</v>
      </c>
      <c r="N660" t="s">
        <v>69</v>
      </c>
      <c r="O660" t="s">
        <v>57</v>
      </c>
      <c r="P660" t="s">
        <v>58</v>
      </c>
      <c r="Q660" t="s">
        <v>1282</v>
      </c>
      <c r="R660">
        <v>40352.639999999999</v>
      </c>
      <c r="S660">
        <v>3</v>
      </c>
      <c r="T660">
        <v>0.3</v>
      </c>
      <c r="U660" t="str">
        <f>IF(Retail_data[[#This Row],[Sales]]&gt;30000,"High",IF(Retail_data[[#This Row],[Sales]]&gt;10000,"Medium","Low"))</f>
        <v>High</v>
      </c>
      <c r="V660" s="3">
        <f>Retail_data[[#This Row],[Profit]]/Retail_data[[#This Row],[Sales]]</f>
        <v>2.5946257791311794E-3</v>
      </c>
      <c r="W660">
        <v>104.7</v>
      </c>
      <c r="X660" t="s">
        <v>29</v>
      </c>
    </row>
    <row r="661" spans="1:24" ht="13.8" x14ac:dyDescent="0.25">
      <c r="A661" t="s">
        <v>2203</v>
      </c>
      <c r="B661">
        <f>YEAR(Retail_data[[#This Row],[Order Date]])</f>
        <v>2027</v>
      </c>
      <c r="C661" t="str">
        <f>TEXT(Retail_data[[#This Row],[Order Date]],"mmmm")</f>
        <v>July</v>
      </c>
      <c r="D661">
        <f>MONTH(Retail_data[[#This Row],[Order Date]])</f>
        <v>7</v>
      </c>
      <c r="E661" t="str">
        <f>"Q"&amp;ROUNDUP(MONTH(Retail_data[[#This Row],[Order Date]])/3,0)</f>
        <v>Q3</v>
      </c>
      <c r="F661" s="1">
        <v>46581</v>
      </c>
      <c r="G661" s="1">
        <v>46585</v>
      </c>
      <c r="H661" t="s">
        <v>2204</v>
      </c>
      <c r="I661" t="s">
        <v>2205</v>
      </c>
      <c r="J661" t="s">
        <v>33</v>
      </c>
      <c r="K661" t="s">
        <v>22</v>
      </c>
      <c r="L661" t="s">
        <v>23</v>
      </c>
      <c r="M661" t="s">
        <v>24</v>
      </c>
      <c r="N661" t="s">
        <v>25</v>
      </c>
      <c r="O661" t="s">
        <v>57</v>
      </c>
      <c r="P661" t="s">
        <v>149</v>
      </c>
      <c r="Q661" t="s">
        <v>2206</v>
      </c>
      <c r="R661">
        <v>43349.32</v>
      </c>
      <c r="S661">
        <v>4</v>
      </c>
      <c r="T661">
        <v>0</v>
      </c>
      <c r="U661" t="str">
        <f>IF(Retail_data[[#This Row],[Sales]]&gt;30000,"High",IF(Retail_data[[#This Row],[Sales]]&gt;10000,"Medium","Low"))</f>
        <v>High</v>
      </c>
      <c r="V661" s="3">
        <f>Retail_data[[#This Row],[Profit]]/Retail_data[[#This Row],[Sales]]</f>
        <v>0.13620951839613632</v>
      </c>
      <c r="W661">
        <v>5904.59</v>
      </c>
      <c r="X661" t="s">
        <v>40</v>
      </c>
    </row>
    <row r="662" spans="1:24" ht="13.8" x14ac:dyDescent="0.25">
      <c r="A662" t="s">
        <v>2207</v>
      </c>
      <c r="B662">
        <f>YEAR(Retail_data[[#This Row],[Order Date]])</f>
        <v>2027</v>
      </c>
      <c r="C662" t="str">
        <f>TEXT(Retail_data[[#This Row],[Order Date]],"mmmm")</f>
        <v>July</v>
      </c>
      <c r="D662">
        <f>MONTH(Retail_data[[#This Row],[Order Date]])</f>
        <v>7</v>
      </c>
      <c r="E662" t="str">
        <f>"Q"&amp;ROUNDUP(MONTH(Retail_data[[#This Row],[Order Date]])/3,0)</f>
        <v>Q3</v>
      </c>
      <c r="F662" s="1">
        <v>46582</v>
      </c>
      <c r="G662" s="1">
        <v>46586</v>
      </c>
      <c r="H662" t="s">
        <v>2208</v>
      </c>
      <c r="I662" t="s">
        <v>2209</v>
      </c>
      <c r="J662" t="s">
        <v>21</v>
      </c>
      <c r="K662" t="s">
        <v>22</v>
      </c>
      <c r="L662" t="s">
        <v>67</v>
      </c>
      <c r="M662" t="s">
        <v>68</v>
      </c>
      <c r="N662" t="s">
        <v>69</v>
      </c>
      <c r="O662" t="s">
        <v>26</v>
      </c>
      <c r="P662" t="s">
        <v>27</v>
      </c>
      <c r="Q662" t="s">
        <v>168</v>
      </c>
      <c r="R662">
        <v>19781.82</v>
      </c>
      <c r="S662">
        <v>6</v>
      </c>
      <c r="T662">
        <v>0</v>
      </c>
      <c r="U662" t="str">
        <f>IF(Retail_data[[#This Row],[Sales]]&gt;30000,"High",IF(Retail_data[[#This Row],[Sales]]&gt;10000,"Medium","Low"))</f>
        <v>Medium</v>
      </c>
      <c r="V662" s="3">
        <f>Retail_data[[#This Row],[Profit]]/Retail_data[[#This Row],[Sales]]</f>
        <v>0.2613788822262057</v>
      </c>
      <c r="W662">
        <v>5170.55</v>
      </c>
      <c r="X662" t="s">
        <v>81</v>
      </c>
    </row>
    <row r="663" spans="1:24" ht="13.8" x14ac:dyDescent="0.25">
      <c r="A663" t="s">
        <v>2210</v>
      </c>
      <c r="B663">
        <f>YEAR(Retail_data[[#This Row],[Order Date]])</f>
        <v>2027</v>
      </c>
      <c r="C663" t="str">
        <f>TEXT(Retail_data[[#This Row],[Order Date]],"mmmm")</f>
        <v>July</v>
      </c>
      <c r="D663">
        <f>MONTH(Retail_data[[#This Row],[Order Date]])</f>
        <v>7</v>
      </c>
      <c r="E663" t="str">
        <f>"Q"&amp;ROUNDUP(MONTH(Retail_data[[#This Row],[Order Date]])/3,0)</f>
        <v>Q3</v>
      </c>
      <c r="F663" s="1">
        <v>46583</v>
      </c>
      <c r="G663" s="1">
        <v>46587</v>
      </c>
      <c r="H663" t="s">
        <v>2211</v>
      </c>
      <c r="I663" t="s">
        <v>2212</v>
      </c>
      <c r="J663" t="s">
        <v>44</v>
      </c>
      <c r="K663" t="s">
        <v>22</v>
      </c>
      <c r="L663" t="s">
        <v>34</v>
      </c>
      <c r="M663" t="s">
        <v>35</v>
      </c>
      <c r="N663" t="s">
        <v>36</v>
      </c>
      <c r="O663" t="s">
        <v>37</v>
      </c>
      <c r="P663" t="s">
        <v>46</v>
      </c>
      <c r="Q663" t="s">
        <v>202</v>
      </c>
      <c r="R663">
        <v>43950.54</v>
      </c>
      <c r="S663">
        <v>5</v>
      </c>
      <c r="T663">
        <v>0.2</v>
      </c>
      <c r="U663" t="str">
        <f>IF(Retail_data[[#This Row],[Sales]]&gt;30000,"High",IF(Retail_data[[#This Row],[Sales]]&gt;10000,"Medium","Low"))</f>
        <v>High</v>
      </c>
      <c r="V663" s="3">
        <f>Retail_data[[#This Row],[Profit]]/Retail_data[[#This Row],[Sales]]</f>
        <v>9.9437458561373759E-2</v>
      </c>
      <c r="W663">
        <v>4370.33</v>
      </c>
      <c r="X663" t="s">
        <v>48</v>
      </c>
    </row>
    <row r="664" spans="1:24" ht="13.8" x14ac:dyDescent="0.25">
      <c r="A664" t="s">
        <v>2213</v>
      </c>
      <c r="B664">
        <f>YEAR(Retail_data[[#This Row],[Order Date]])</f>
        <v>2027</v>
      </c>
      <c r="C664" t="str">
        <f>TEXT(Retail_data[[#This Row],[Order Date]],"mmmm")</f>
        <v>July</v>
      </c>
      <c r="D664">
        <f>MONTH(Retail_data[[#This Row],[Order Date]])</f>
        <v>7</v>
      </c>
      <c r="E664" t="str">
        <f>"Q"&amp;ROUNDUP(MONTH(Retail_data[[#This Row],[Order Date]])/3,0)</f>
        <v>Q3</v>
      </c>
      <c r="F664" s="1">
        <v>46584</v>
      </c>
      <c r="G664" s="1">
        <v>46588</v>
      </c>
      <c r="H664" t="s">
        <v>2214</v>
      </c>
      <c r="I664" t="s">
        <v>2215</v>
      </c>
      <c r="J664" t="s">
        <v>33</v>
      </c>
      <c r="K664" t="s">
        <v>22</v>
      </c>
      <c r="L664" t="s">
        <v>34</v>
      </c>
      <c r="M664" t="s">
        <v>35</v>
      </c>
      <c r="N664" t="s">
        <v>36</v>
      </c>
      <c r="O664" t="s">
        <v>37</v>
      </c>
      <c r="P664" t="s">
        <v>46</v>
      </c>
      <c r="Q664" t="s">
        <v>1651</v>
      </c>
      <c r="R664">
        <v>18252.07</v>
      </c>
      <c r="S664">
        <v>3</v>
      </c>
      <c r="T664">
        <v>0.3</v>
      </c>
      <c r="U664" t="str">
        <f>IF(Retail_data[[#This Row],[Sales]]&gt;30000,"High",IF(Retail_data[[#This Row],[Sales]]&gt;10000,"Medium","Low"))</f>
        <v>Medium</v>
      </c>
      <c r="V664" s="3">
        <f>Retail_data[[#This Row],[Profit]]/Retail_data[[#This Row],[Sales]]</f>
        <v>4.4192247783402102E-3</v>
      </c>
      <c r="W664">
        <v>80.66</v>
      </c>
      <c r="X664" t="s">
        <v>48</v>
      </c>
    </row>
    <row r="665" spans="1:24" ht="13.8" x14ac:dyDescent="0.25">
      <c r="A665" t="s">
        <v>2216</v>
      </c>
      <c r="B665">
        <f>YEAR(Retail_data[[#This Row],[Order Date]])</f>
        <v>2027</v>
      </c>
      <c r="C665" t="str">
        <f>TEXT(Retail_data[[#This Row],[Order Date]],"mmmm")</f>
        <v>July</v>
      </c>
      <c r="D665">
        <f>MONTH(Retail_data[[#This Row],[Order Date]])</f>
        <v>7</v>
      </c>
      <c r="E665" t="str">
        <f>"Q"&amp;ROUNDUP(MONTH(Retail_data[[#This Row],[Order Date]])/3,0)</f>
        <v>Q3</v>
      </c>
      <c r="F665" s="1">
        <v>46585</v>
      </c>
      <c r="G665" s="1">
        <v>46589</v>
      </c>
      <c r="H665" t="s">
        <v>2217</v>
      </c>
      <c r="I665" t="s">
        <v>2218</v>
      </c>
      <c r="J665" t="s">
        <v>21</v>
      </c>
      <c r="K665" t="s">
        <v>22</v>
      </c>
      <c r="L665" t="s">
        <v>67</v>
      </c>
      <c r="M665" t="s">
        <v>68</v>
      </c>
      <c r="N665" t="s">
        <v>69</v>
      </c>
      <c r="O665" t="s">
        <v>37</v>
      </c>
      <c r="P665" t="s">
        <v>52</v>
      </c>
      <c r="Q665" t="s">
        <v>198</v>
      </c>
      <c r="R665">
        <v>22826</v>
      </c>
      <c r="S665">
        <v>4</v>
      </c>
      <c r="T665">
        <v>0.1</v>
      </c>
      <c r="U665" t="str">
        <f>IF(Retail_data[[#This Row],[Sales]]&gt;30000,"High",IF(Retail_data[[#This Row],[Sales]]&gt;10000,"Medium","Low"))</f>
        <v>Medium</v>
      </c>
      <c r="V665" s="3">
        <f>Retail_data[[#This Row],[Profit]]/Retail_data[[#This Row],[Sales]]</f>
        <v>0.19866774730570402</v>
      </c>
      <c r="W665">
        <v>4534.79</v>
      </c>
      <c r="X665" t="s">
        <v>81</v>
      </c>
    </row>
    <row r="666" spans="1:24" ht="13.8" x14ac:dyDescent="0.25">
      <c r="A666" t="s">
        <v>2219</v>
      </c>
      <c r="B666">
        <f>YEAR(Retail_data[[#This Row],[Order Date]])</f>
        <v>2027</v>
      </c>
      <c r="C666" t="str">
        <f>TEXT(Retail_data[[#This Row],[Order Date]],"mmmm")</f>
        <v>July</v>
      </c>
      <c r="D666">
        <f>MONTH(Retail_data[[#This Row],[Order Date]])</f>
        <v>7</v>
      </c>
      <c r="E666" t="str">
        <f>"Q"&amp;ROUNDUP(MONTH(Retail_data[[#This Row],[Order Date]])/3,0)</f>
        <v>Q3</v>
      </c>
      <c r="F666" s="1">
        <v>46586</v>
      </c>
      <c r="G666" s="1">
        <v>46590</v>
      </c>
      <c r="H666" t="s">
        <v>2220</v>
      </c>
      <c r="I666" t="s">
        <v>2221</v>
      </c>
      <c r="J666" t="s">
        <v>21</v>
      </c>
      <c r="K666" t="s">
        <v>22</v>
      </c>
      <c r="L666" t="s">
        <v>23</v>
      </c>
      <c r="M666" t="s">
        <v>24</v>
      </c>
      <c r="N666" t="s">
        <v>25</v>
      </c>
      <c r="O666" t="s">
        <v>37</v>
      </c>
      <c r="P666" t="s">
        <v>38</v>
      </c>
      <c r="Q666" t="s">
        <v>998</v>
      </c>
      <c r="R666">
        <v>45241.56</v>
      </c>
      <c r="S666">
        <v>5</v>
      </c>
      <c r="T666">
        <v>0</v>
      </c>
      <c r="U666" t="str">
        <f>IF(Retail_data[[#This Row],[Sales]]&gt;30000,"High",IF(Retail_data[[#This Row],[Sales]]&gt;10000,"Medium","Low"))</f>
        <v>High</v>
      </c>
      <c r="V666" s="3">
        <f>Retail_data[[#This Row],[Profit]]/Retail_data[[#This Row],[Sales]]</f>
        <v>0.15085686700458606</v>
      </c>
      <c r="W666">
        <v>6825</v>
      </c>
      <c r="X666" t="s">
        <v>48</v>
      </c>
    </row>
    <row r="667" spans="1:24" ht="13.8" x14ac:dyDescent="0.25">
      <c r="A667" t="s">
        <v>2222</v>
      </c>
      <c r="B667">
        <f>YEAR(Retail_data[[#This Row],[Order Date]])</f>
        <v>2027</v>
      </c>
      <c r="C667" t="str">
        <f>TEXT(Retail_data[[#This Row],[Order Date]],"mmmm")</f>
        <v>July</v>
      </c>
      <c r="D667">
        <f>MONTH(Retail_data[[#This Row],[Order Date]])</f>
        <v>7</v>
      </c>
      <c r="E667" t="str">
        <f>"Q"&amp;ROUNDUP(MONTH(Retail_data[[#This Row],[Order Date]])/3,0)</f>
        <v>Q3</v>
      </c>
      <c r="F667" s="1">
        <v>46587</v>
      </c>
      <c r="G667" s="1">
        <v>46591</v>
      </c>
      <c r="H667" t="s">
        <v>2223</v>
      </c>
      <c r="I667" t="s">
        <v>2224</v>
      </c>
      <c r="J667" t="s">
        <v>33</v>
      </c>
      <c r="K667" t="s">
        <v>22</v>
      </c>
      <c r="L667" t="s">
        <v>45</v>
      </c>
      <c r="M667" t="s">
        <v>45</v>
      </c>
      <c r="N667" t="s">
        <v>25</v>
      </c>
      <c r="O667" t="s">
        <v>26</v>
      </c>
      <c r="P667" t="s">
        <v>27</v>
      </c>
      <c r="Q667" t="s">
        <v>511</v>
      </c>
      <c r="R667">
        <v>34613.57</v>
      </c>
      <c r="S667">
        <v>4</v>
      </c>
      <c r="T667">
        <v>0.2</v>
      </c>
      <c r="U667" t="str">
        <f>IF(Retail_data[[#This Row],[Sales]]&gt;30000,"High",IF(Retail_data[[#This Row],[Sales]]&gt;10000,"Medium","Low"))</f>
        <v>High</v>
      </c>
      <c r="V667" s="3">
        <f>Retail_data[[#This Row],[Profit]]/Retail_data[[#This Row],[Sales]]</f>
        <v>8.0292209096027942E-3</v>
      </c>
      <c r="W667">
        <v>277.92</v>
      </c>
      <c r="X667" t="s">
        <v>81</v>
      </c>
    </row>
    <row r="668" spans="1:24" ht="13.8" x14ac:dyDescent="0.25">
      <c r="A668" t="s">
        <v>2225</v>
      </c>
      <c r="B668">
        <f>YEAR(Retail_data[[#This Row],[Order Date]])</f>
        <v>2027</v>
      </c>
      <c r="C668" t="str">
        <f>TEXT(Retail_data[[#This Row],[Order Date]],"mmmm")</f>
        <v>July</v>
      </c>
      <c r="D668">
        <f>MONTH(Retail_data[[#This Row],[Order Date]])</f>
        <v>7</v>
      </c>
      <c r="E668" t="str">
        <f>"Q"&amp;ROUNDUP(MONTH(Retail_data[[#This Row],[Order Date]])/3,0)</f>
        <v>Q3</v>
      </c>
      <c r="F668" s="1">
        <v>46588</v>
      </c>
      <c r="G668" s="1">
        <v>46592</v>
      </c>
      <c r="H668" t="s">
        <v>2226</v>
      </c>
      <c r="I668" t="s">
        <v>2227</v>
      </c>
      <c r="J668" t="s">
        <v>21</v>
      </c>
      <c r="K668" t="s">
        <v>22</v>
      </c>
      <c r="L668" t="s">
        <v>67</v>
      </c>
      <c r="M668" t="s">
        <v>68</v>
      </c>
      <c r="N668" t="s">
        <v>69</v>
      </c>
      <c r="O668" t="s">
        <v>37</v>
      </c>
      <c r="P668" t="s">
        <v>52</v>
      </c>
      <c r="Q668" t="s">
        <v>763</v>
      </c>
      <c r="R668">
        <v>39437.26</v>
      </c>
      <c r="S668">
        <v>6</v>
      </c>
      <c r="T668">
        <v>0.2</v>
      </c>
      <c r="U668" t="str">
        <f>IF(Retail_data[[#This Row],[Sales]]&gt;30000,"High",IF(Retail_data[[#This Row],[Sales]]&gt;10000,"Medium","Low"))</f>
        <v>High</v>
      </c>
      <c r="V668" s="3">
        <f>Retail_data[[#This Row],[Profit]]/Retail_data[[#This Row],[Sales]]</f>
        <v>0.16289798023493518</v>
      </c>
      <c r="W668">
        <v>6424.25</v>
      </c>
      <c r="X668" t="s">
        <v>40</v>
      </c>
    </row>
    <row r="669" spans="1:24" ht="13.8" x14ac:dyDescent="0.25">
      <c r="A669" t="s">
        <v>2228</v>
      </c>
      <c r="B669">
        <f>YEAR(Retail_data[[#This Row],[Order Date]])</f>
        <v>2027</v>
      </c>
      <c r="C669" t="str">
        <f>TEXT(Retail_data[[#This Row],[Order Date]],"mmmm")</f>
        <v>July</v>
      </c>
      <c r="D669">
        <f>MONTH(Retail_data[[#This Row],[Order Date]])</f>
        <v>7</v>
      </c>
      <c r="E669" t="str">
        <f>"Q"&amp;ROUNDUP(MONTH(Retail_data[[#This Row],[Order Date]])/3,0)</f>
        <v>Q3</v>
      </c>
      <c r="F669" s="1">
        <v>46589</v>
      </c>
      <c r="G669" s="1">
        <v>46593</v>
      </c>
      <c r="H669" t="s">
        <v>2229</v>
      </c>
      <c r="I669" t="s">
        <v>2230</v>
      </c>
      <c r="J669" t="s">
        <v>44</v>
      </c>
      <c r="K669" t="s">
        <v>22</v>
      </c>
      <c r="L669" t="s">
        <v>23</v>
      </c>
      <c r="M669" t="s">
        <v>24</v>
      </c>
      <c r="N669" t="s">
        <v>25</v>
      </c>
      <c r="O669" t="s">
        <v>57</v>
      </c>
      <c r="P669" t="s">
        <v>149</v>
      </c>
      <c r="Q669" t="s">
        <v>2206</v>
      </c>
      <c r="R669">
        <v>32281.18</v>
      </c>
      <c r="S669">
        <v>6</v>
      </c>
      <c r="T669">
        <v>0.2</v>
      </c>
      <c r="U669" t="str">
        <f>IF(Retail_data[[#This Row],[Sales]]&gt;30000,"High",IF(Retail_data[[#This Row],[Sales]]&gt;10000,"Medium","Low"))</f>
        <v>High</v>
      </c>
      <c r="V669" s="3">
        <f>Retail_data[[#This Row],[Profit]]/Retail_data[[#This Row],[Sales]]</f>
        <v>0.2143069119530327</v>
      </c>
      <c r="W669">
        <v>6918.08</v>
      </c>
      <c r="X669" t="s">
        <v>29</v>
      </c>
    </row>
    <row r="670" spans="1:24" ht="13.8" x14ac:dyDescent="0.25">
      <c r="A670" t="s">
        <v>2231</v>
      </c>
      <c r="B670">
        <f>YEAR(Retail_data[[#This Row],[Order Date]])</f>
        <v>2027</v>
      </c>
      <c r="C670" t="str">
        <f>TEXT(Retail_data[[#This Row],[Order Date]],"mmmm")</f>
        <v>July</v>
      </c>
      <c r="D670">
        <f>MONTH(Retail_data[[#This Row],[Order Date]])</f>
        <v>7</v>
      </c>
      <c r="E670" t="str">
        <f>"Q"&amp;ROUNDUP(MONTH(Retail_data[[#This Row],[Order Date]])/3,0)</f>
        <v>Q3</v>
      </c>
      <c r="F670" s="1">
        <v>46590</v>
      </c>
      <c r="G670" s="1">
        <v>46594</v>
      </c>
      <c r="H670" t="s">
        <v>2232</v>
      </c>
      <c r="I670" t="s">
        <v>2233</v>
      </c>
      <c r="J670" t="s">
        <v>44</v>
      </c>
      <c r="K670" t="s">
        <v>22</v>
      </c>
      <c r="L670" t="s">
        <v>23</v>
      </c>
      <c r="M670" t="s">
        <v>24</v>
      </c>
      <c r="N670" t="s">
        <v>25</v>
      </c>
      <c r="O670" t="s">
        <v>26</v>
      </c>
      <c r="P670" t="s">
        <v>70</v>
      </c>
      <c r="Q670" t="s">
        <v>316</v>
      </c>
      <c r="R670">
        <v>23087.26</v>
      </c>
      <c r="S670">
        <v>1</v>
      </c>
      <c r="T670">
        <v>0</v>
      </c>
      <c r="U670" t="str">
        <f>IF(Retail_data[[#This Row],[Sales]]&gt;30000,"High",IF(Retail_data[[#This Row],[Sales]]&gt;10000,"Medium","Low"))</f>
        <v>Medium</v>
      </c>
      <c r="V670" s="3">
        <f>Retail_data[[#This Row],[Profit]]/Retail_data[[#This Row],[Sales]]</f>
        <v>0.25817182290146168</v>
      </c>
      <c r="W670">
        <v>5960.48</v>
      </c>
      <c r="X670" t="s">
        <v>29</v>
      </c>
    </row>
    <row r="671" spans="1:24" ht="13.8" x14ac:dyDescent="0.25">
      <c r="A671" t="s">
        <v>2234</v>
      </c>
      <c r="B671">
        <f>YEAR(Retail_data[[#This Row],[Order Date]])</f>
        <v>2027</v>
      </c>
      <c r="C671" t="str">
        <f>TEXT(Retail_data[[#This Row],[Order Date]],"mmmm")</f>
        <v>July</v>
      </c>
      <c r="D671">
        <f>MONTH(Retail_data[[#This Row],[Order Date]])</f>
        <v>7</v>
      </c>
      <c r="E671" t="str">
        <f>"Q"&amp;ROUNDUP(MONTH(Retail_data[[#This Row],[Order Date]])/3,0)</f>
        <v>Q3</v>
      </c>
      <c r="F671" s="1">
        <v>46591</v>
      </c>
      <c r="G671" s="1">
        <v>46595</v>
      </c>
      <c r="H671" t="s">
        <v>2235</v>
      </c>
      <c r="I671" t="s">
        <v>2236</v>
      </c>
      <c r="J671" t="s">
        <v>33</v>
      </c>
      <c r="K671" t="s">
        <v>22</v>
      </c>
      <c r="L671" t="s">
        <v>23</v>
      </c>
      <c r="M671" t="s">
        <v>24</v>
      </c>
      <c r="N671" t="s">
        <v>25</v>
      </c>
      <c r="O671" t="s">
        <v>37</v>
      </c>
      <c r="P671" t="s">
        <v>52</v>
      </c>
      <c r="Q671" t="s">
        <v>2030</v>
      </c>
      <c r="R671">
        <v>3843.7</v>
      </c>
      <c r="S671">
        <v>8</v>
      </c>
      <c r="T671">
        <v>0.2</v>
      </c>
      <c r="U671" t="str">
        <f>IF(Retail_data[[#This Row],[Sales]]&gt;30000,"High",IF(Retail_data[[#This Row],[Sales]]&gt;10000,"Medium","Low"))</f>
        <v>Low</v>
      </c>
      <c r="V671" s="3">
        <f>Retail_data[[#This Row],[Profit]]/Retail_data[[#This Row],[Sales]]</f>
        <v>0.13457085620625961</v>
      </c>
      <c r="W671">
        <v>517.25</v>
      </c>
      <c r="X671" t="s">
        <v>40</v>
      </c>
    </row>
    <row r="672" spans="1:24" ht="13.8" x14ac:dyDescent="0.25">
      <c r="A672" t="s">
        <v>2237</v>
      </c>
      <c r="B672">
        <f>YEAR(Retail_data[[#This Row],[Order Date]])</f>
        <v>2027</v>
      </c>
      <c r="C672" t="str">
        <f>TEXT(Retail_data[[#This Row],[Order Date]],"mmmm")</f>
        <v>July</v>
      </c>
      <c r="D672">
        <f>MONTH(Retail_data[[#This Row],[Order Date]])</f>
        <v>7</v>
      </c>
      <c r="E672" t="str">
        <f>"Q"&amp;ROUNDUP(MONTH(Retail_data[[#This Row],[Order Date]])/3,0)</f>
        <v>Q3</v>
      </c>
      <c r="F672" s="1">
        <v>46592</v>
      </c>
      <c r="G672" s="1">
        <v>46596</v>
      </c>
      <c r="H672" t="s">
        <v>2238</v>
      </c>
      <c r="I672" t="s">
        <v>2239</v>
      </c>
      <c r="J672" t="s">
        <v>21</v>
      </c>
      <c r="K672" t="s">
        <v>22</v>
      </c>
      <c r="L672" t="s">
        <v>67</v>
      </c>
      <c r="M672" t="s">
        <v>68</v>
      </c>
      <c r="N672" t="s">
        <v>69</v>
      </c>
      <c r="O672" t="s">
        <v>37</v>
      </c>
      <c r="P672" t="s">
        <v>38</v>
      </c>
      <c r="Q672" t="s">
        <v>270</v>
      </c>
      <c r="R672">
        <v>38082.32</v>
      </c>
      <c r="S672">
        <v>5</v>
      </c>
      <c r="T672">
        <v>0</v>
      </c>
      <c r="U672" t="str">
        <f>IF(Retail_data[[#This Row],[Sales]]&gt;30000,"High",IF(Retail_data[[#This Row],[Sales]]&gt;10000,"Medium","Low"))</f>
        <v>High</v>
      </c>
      <c r="V672" s="3">
        <f>Retail_data[[#This Row],[Profit]]/Retail_data[[#This Row],[Sales]]</f>
        <v>0.27412064180963763</v>
      </c>
      <c r="W672">
        <v>10439.15</v>
      </c>
      <c r="X672" t="s">
        <v>40</v>
      </c>
    </row>
    <row r="673" spans="1:24" ht="13.8" x14ac:dyDescent="0.25">
      <c r="A673" t="s">
        <v>2240</v>
      </c>
      <c r="B673">
        <f>YEAR(Retail_data[[#This Row],[Order Date]])</f>
        <v>2027</v>
      </c>
      <c r="C673" t="str">
        <f>TEXT(Retail_data[[#This Row],[Order Date]],"mmmm")</f>
        <v>July</v>
      </c>
      <c r="D673">
        <f>MONTH(Retail_data[[#This Row],[Order Date]])</f>
        <v>7</v>
      </c>
      <c r="E673" t="str">
        <f>"Q"&amp;ROUNDUP(MONTH(Retail_data[[#This Row],[Order Date]])/3,0)</f>
        <v>Q3</v>
      </c>
      <c r="F673" s="1">
        <v>46593</v>
      </c>
      <c r="G673" s="1">
        <v>46597</v>
      </c>
      <c r="H673" t="s">
        <v>2241</v>
      </c>
      <c r="I673" t="s">
        <v>2242</v>
      </c>
      <c r="J673" t="s">
        <v>21</v>
      </c>
      <c r="K673" t="s">
        <v>22</v>
      </c>
      <c r="L673" t="s">
        <v>67</v>
      </c>
      <c r="M673" t="s">
        <v>68</v>
      </c>
      <c r="N673" t="s">
        <v>69</v>
      </c>
      <c r="O673" t="s">
        <v>57</v>
      </c>
      <c r="P673" t="s">
        <v>149</v>
      </c>
      <c r="Q673" t="s">
        <v>835</v>
      </c>
      <c r="R673">
        <v>41037.79</v>
      </c>
      <c r="S673">
        <v>2</v>
      </c>
      <c r="T673">
        <v>0.2</v>
      </c>
      <c r="U673" t="str">
        <f>IF(Retail_data[[#This Row],[Sales]]&gt;30000,"High",IF(Retail_data[[#This Row],[Sales]]&gt;10000,"Medium","Low"))</f>
        <v>High</v>
      </c>
      <c r="V673" s="3">
        <f>Retail_data[[#This Row],[Profit]]/Retail_data[[#This Row],[Sales]]</f>
        <v>3.9012822084230167E-2</v>
      </c>
      <c r="W673">
        <v>1601</v>
      </c>
      <c r="X673" t="s">
        <v>48</v>
      </c>
    </row>
    <row r="674" spans="1:24" ht="13.8" x14ac:dyDescent="0.25">
      <c r="A674" t="s">
        <v>2243</v>
      </c>
      <c r="B674">
        <f>YEAR(Retail_data[[#This Row],[Order Date]])</f>
        <v>2027</v>
      </c>
      <c r="C674" t="str">
        <f>TEXT(Retail_data[[#This Row],[Order Date]],"mmmm")</f>
        <v>July</v>
      </c>
      <c r="D674">
        <f>MONTH(Retail_data[[#This Row],[Order Date]])</f>
        <v>7</v>
      </c>
      <c r="E674" t="str">
        <f>"Q"&amp;ROUNDUP(MONTH(Retail_data[[#This Row],[Order Date]])/3,0)</f>
        <v>Q3</v>
      </c>
      <c r="F674" s="1">
        <v>46594</v>
      </c>
      <c r="G674" s="1">
        <v>46598</v>
      </c>
      <c r="H674" t="s">
        <v>2244</v>
      </c>
      <c r="I674" t="s">
        <v>2245</v>
      </c>
      <c r="J674" t="s">
        <v>21</v>
      </c>
      <c r="K674" t="s">
        <v>22</v>
      </c>
      <c r="L674" t="s">
        <v>34</v>
      </c>
      <c r="M674" t="s">
        <v>35</v>
      </c>
      <c r="N674" t="s">
        <v>36</v>
      </c>
      <c r="O674" t="s">
        <v>57</v>
      </c>
      <c r="P674" t="s">
        <v>79</v>
      </c>
      <c r="Q674" t="s">
        <v>370</v>
      </c>
      <c r="R674">
        <v>32828.51</v>
      </c>
      <c r="S674">
        <v>6</v>
      </c>
      <c r="T674">
        <v>0.2</v>
      </c>
      <c r="U674" t="str">
        <f>IF(Retail_data[[#This Row],[Sales]]&gt;30000,"High",IF(Retail_data[[#This Row],[Sales]]&gt;10000,"Medium","Low"))</f>
        <v>High</v>
      </c>
      <c r="V674" s="3">
        <f>Retail_data[[#This Row],[Profit]]/Retail_data[[#This Row],[Sales]]</f>
        <v>5.4932739865440124E-2</v>
      </c>
      <c r="W674">
        <v>1803.36</v>
      </c>
      <c r="X674" t="s">
        <v>29</v>
      </c>
    </row>
    <row r="675" spans="1:24" ht="13.8" x14ac:dyDescent="0.25">
      <c r="A675" t="s">
        <v>2246</v>
      </c>
      <c r="B675">
        <f>YEAR(Retail_data[[#This Row],[Order Date]])</f>
        <v>2027</v>
      </c>
      <c r="C675" t="str">
        <f>TEXT(Retail_data[[#This Row],[Order Date]],"mmmm")</f>
        <v>July</v>
      </c>
      <c r="D675">
        <f>MONTH(Retail_data[[#This Row],[Order Date]])</f>
        <v>7</v>
      </c>
      <c r="E675" t="str">
        <f>"Q"&amp;ROUNDUP(MONTH(Retail_data[[#This Row],[Order Date]])/3,0)</f>
        <v>Q3</v>
      </c>
      <c r="F675" s="1">
        <v>46595</v>
      </c>
      <c r="G675" s="1">
        <v>46599</v>
      </c>
      <c r="H675" t="s">
        <v>2247</v>
      </c>
      <c r="I675" t="s">
        <v>2248</v>
      </c>
      <c r="J675" t="s">
        <v>33</v>
      </c>
      <c r="K675" t="s">
        <v>22</v>
      </c>
      <c r="L675" t="s">
        <v>85</v>
      </c>
      <c r="M675" t="s">
        <v>86</v>
      </c>
      <c r="N675" t="s">
        <v>87</v>
      </c>
      <c r="O675" t="s">
        <v>37</v>
      </c>
      <c r="P675" t="s">
        <v>38</v>
      </c>
      <c r="Q675" t="s">
        <v>460</v>
      </c>
      <c r="R675">
        <v>49311.64</v>
      </c>
      <c r="S675">
        <v>5</v>
      </c>
      <c r="T675">
        <v>0</v>
      </c>
      <c r="U675" t="str">
        <f>IF(Retail_data[[#This Row],[Sales]]&gt;30000,"High",IF(Retail_data[[#This Row],[Sales]]&gt;10000,"Medium","Low"))</f>
        <v>High</v>
      </c>
      <c r="V675" s="3">
        <f>Retail_data[[#This Row],[Profit]]/Retail_data[[#This Row],[Sales]]</f>
        <v>0.20954261509047356</v>
      </c>
      <c r="W675">
        <v>10332.89</v>
      </c>
      <c r="X675" t="s">
        <v>40</v>
      </c>
    </row>
    <row r="676" spans="1:24" ht="13.8" x14ac:dyDescent="0.25">
      <c r="A676" t="s">
        <v>2249</v>
      </c>
      <c r="B676">
        <f>YEAR(Retail_data[[#This Row],[Order Date]])</f>
        <v>2027</v>
      </c>
      <c r="C676" t="str">
        <f>TEXT(Retail_data[[#This Row],[Order Date]],"mmmm")</f>
        <v>July</v>
      </c>
      <c r="D676">
        <f>MONTH(Retail_data[[#This Row],[Order Date]])</f>
        <v>7</v>
      </c>
      <c r="E676" t="str">
        <f>"Q"&amp;ROUNDUP(MONTH(Retail_data[[#This Row],[Order Date]])/3,0)</f>
        <v>Q3</v>
      </c>
      <c r="F676" s="1">
        <v>46596</v>
      </c>
      <c r="G676" s="1">
        <v>46600</v>
      </c>
      <c r="H676" t="s">
        <v>2250</v>
      </c>
      <c r="I676" t="s">
        <v>2251</v>
      </c>
      <c r="J676" t="s">
        <v>33</v>
      </c>
      <c r="K676" t="s">
        <v>22</v>
      </c>
      <c r="L676" t="s">
        <v>23</v>
      </c>
      <c r="M676" t="s">
        <v>24</v>
      </c>
      <c r="N676" t="s">
        <v>25</v>
      </c>
      <c r="O676" t="s">
        <v>57</v>
      </c>
      <c r="P676" t="s">
        <v>79</v>
      </c>
      <c r="Q676" t="s">
        <v>1143</v>
      </c>
      <c r="R676">
        <v>8508.93</v>
      </c>
      <c r="S676">
        <v>6</v>
      </c>
      <c r="T676">
        <v>0</v>
      </c>
      <c r="U676" t="str">
        <f>IF(Retail_data[[#This Row],[Sales]]&gt;30000,"High",IF(Retail_data[[#This Row],[Sales]]&gt;10000,"Medium","Low"))</f>
        <v>Low</v>
      </c>
      <c r="V676" s="3">
        <f>Retail_data[[#This Row],[Profit]]/Retail_data[[#This Row],[Sales]]</f>
        <v>8.0600028440708765E-2</v>
      </c>
      <c r="W676">
        <v>685.82</v>
      </c>
      <c r="X676" t="s">
        <v>40</v>
      </c>
    </row>
    <row r="677" spans="1:24" ht="13.8" x14ac:dyDescent="0.25">
      <c r="A677" t="s">
        <v>2252</v>
      </c>
      <c r="B677">
        <f>YEAR(Retail_data[[#This Row],[Order Date]])</f>
        <v>2027</v>
      </c>
      <c r="C677" t="str">
        <f>TEXT(Retail_data[[#This Row],[Order Date]],"mmmm")</f>
        <v>July</v>
      </c>
      <c r="D677">
        <f>MONTH(Retail_data[[#This Row],[Order Date]])</f>
        <v>7</v>
      </c>
      <c r="E677" t="str">
        <f>"Q"&amp;ROUNDUP(MONTH(Retail_data[[#This Row],[Order Date]])/3,0)</f>
        <v>Q3</v>
      </c>
      <c r="F677" s="1">
        <v>46597</v>
      </c>
      <c r="G677" s="1">
        <v>46601</v>
      </c>
      <c r="H677" t="s">
        <v>2253</v>
      </c>
      <c r="I677" t="s">
        <v>2254</v>
      </c>
      <c r="J677" t="s">
        <v>21</v>
      </c>
      <c r="K677" t="s">
        <v>22</v>
      </c>
      <c r="L677" t="s">
        <v>45</v>
      </c>
      <c r="M677" t="s">
        <v>45</v>
      </c>
      <c r="N677" t="s">
        <v>25</v>
      </c>
      <c r="O677" t="s">
        <v>57</v>
      </c>
      <c r="P677" t="s">
        <v>149</v>
      </c>
      <c r="Q677" t="s">
        <v>407</v>
      </c>
      <c r="R677">
        <v>43252.59</v>
      </c>
      <c r="S677">
        <v>7</v>
      </c>
      <c r="T677">
        <v>0.3</v>
      </c>
      <c r="U677" t="str">
        <f>IF(Retail_data[[#This Row],[Sales]]&gt;30000,"High",IF(Retail_data[[#This Row],[Sales]]&gt;10000,"Medium","Low"))</f>
        <v>High</v>
      </c>
      <c r="V677" s="3">
        <f>Retail_data[[#This Row],[Profit]]/Retail_data[[#This Row],[Sales]]</f>
        <v>9.5130488139554201E-2</v>
      </c>
      <c r="W677">
        <v>4114.6400000000003</v>
      </c>
      <c r="X677" t="s">
        <v>48</v>
      </c>
    </row>
    <row r="678" spans="1:24" ht="13.8" x14ac:dyDescent="0.25">
      <c r="A678" t="s">
        <v>2255</v>
      </c>
      <c r="B678">
        <f>YEAR(Retail_data[[#This Row],[Order Date]])</f>
        <v>2027</v>
      </c>
      <c r="C678" t="str">
        <f>TEXT(Retail_data[[#This Row],[Order Date]],"mmmm")</f>
        <v>July</v>
      </c>
      <c r="D678">
        <f>MONTH(Retail_data[[#This Row],[Order Date]])</f>
        <v>7</v>
      </c>
      <c r="E678" t="str">
        <f>"Q"&amp;ROUNDUP(MONTH(Retail_data[[#This Row],[Order Date]])/3,0)</f>
        <v>Q3</v>
      </c>
      <c r="F678" s="1">
        <v>46598</v>
      </c>
      <c r="G678" s="1">
        <v>46602</v>
      </c>
      <c r="H678" t="s">
        <v>2256</v>
      </c>
      <c r="I678" t="s">
        <v>2257</v>
      </c>
      <c r="J678" t="s">
        <v>21</v>
      </c>
      <c r="K678" t="s">
        <v>22</v>
      </c>
      <c r="L678" t="s">
        <v>85</v>
      </c>
      <c r="M678" t="s">
        <v>86</v>
      </c>
      <c r="N678" t="s">
        <v>87</v>
      </c>
      <c r="O678" t="s">
        <v>57</v>
      </c>
      <c r="P678" t="s">
        <v>79</v>
      </c>
      <c r="Q678" t="s">
        <v>534</v>
      </c>
      <c r="R678">
        <v>47821.84</v>
      </c>
      <c r="S678">
        <v>8</v>
      </c>
      <c r="T678">
        <v>0.3</v>
      </c>
      <c r="U678" t="str">
        <f>IF(Retail_data[[#This Row],[Sales]]&gt;30000,"High",IF(Retail_data[[#This Row],[Sales]]&gt;10000,"Medium","Low"))</f>
        <v>High</v>
      </c>
      <c r="V678" s="3">
        <f>Retail_data[[#This Row],[Profit]]/Retail_data[[#This Row],[Sales]]</f>
        <v>-2.9198165524371291E-2</v>
      </c>
      <c r="W678">
        <v>-1396.31</v>
      </c>
      <c r="X678" t="s">
        <v>81</v>
      </c>
    </row>
    <row r="679" spans="1:24" ht="13.8" x14ac:dyDescent="0.25">
      <c r="A679" t="s">
        <v>2258</v>
      </c>
      <c r="B679">
        <f>YEAR(Retail_data[[#This Row],[Order Date]])</f>
        <v>2027</v>
      </c>
      <c r="C679" t="str">
        <f>TEXT(Retail_data[[#This Row],[Order Date]],"mmmm")</f>
        <v>July</v>
      </c>
      <c r="D679">
        <f>MONTH(Retail_data[[#This Row],[Order Date]])</f>
        <v>7</v>
      </c>
      <c r="E679" t="str">
        <f>"Q"&amp;ROUNDUP(MONTH(Retail_data[[#This Row],[Order Date]])/3,0)</f>
        <v>Q3</v>
      </c>
      <c r="F679" s="1">
        <v>46599</v>
      </c>
      <c r="G679" s="1">
        <v>46603</v>
      </c>
      <c r="H679" t="s">
        <v>2259</v>
      </c>
      <c r="I679" t="s">
        <v>2260</v>
      </c>
      <c r="J679" t="s">
        <v>21</v>
      </c>
      <c r="K679" t="s">
        <v>22</v>
      </c>
      <c r="L679" t="s">
        <v>45</v>
      </c>
      <c r="M679" t="s">
        <v>45</v>
      </c>
      <c r="N679" t="s">
        <v>25</v>
      </c>
      <c r="O679" t="s">
        <v>37</v>
      </c>
      <c r="P679" t="s">
        <v>38</v>
      </c>
      <c r="Q679" t="s">
        <v>943</v>
      </c>
      <c r="R679">
        <v>14420.41</v>
      </c>
      <c r="S679">
        <v>1</v>
      </c>
      <c r="T679">
        <v>0</v>
      </c>
      <c r="U679" t="str">
        <f>IF(Retail_data[[#This Row],[Sales]]&gt;30000,"High",IF(Retail_data[[#This Row],[Sales]]&gt;10000,"Medium","Low"))</f>
        <v>Medium</v>
      </c>
      <c r="V679" s="3">
        <f>Retail_data[[#This Row],[Profit]]/Retail_data[[#This Row],[Sales]]</f>
        <v>5.8317343265552095E-2</v>
      </c>
      <c r="W679">
        <v>840.96</v>
      </c>
      <c r="X679" t="s">
        <v>81</v>
      </c>
    </row>
    <row r="680" spans="1:24" ht="13.8" x14ac:dyDescent="0.25">
      <c r="A680" t="s">
        <v>2261</v>
      </c>
      <c r="B680">
        <f>YEAR(Retail_data[[#This Row],[Order Date]])</f>
        <v>2027</v>
      </c>
      <c r="C680" t="str">
        <f>TEXT(Retail_data[[#This Row],[Order Date]],"mmmm")</f>
        <v>August</v>
      </c>
      <c r="D680">
        <f>MONTH(Retail_data[[#This Row],[Order Date]])</f>
        <v>8</v>
      </c>
      <c r="E680" t="str">
        <f>"Q"&amp;ROUNDUP(MONTH(Retail_data[[#This Row],[Order Date]])/3,0)</f>
        <v>Q3</v>
      </c>
      <c r="F680" s="1">
        <v>46600</v>
      </c>
      <c r="G680" s="1">
        <v>46604</v>
      </c>
      <c r="H680" t="s">
        <v>2262</v>
      </c>
      <c r="I680" t="s">
        <v>2263</v>
      </c>
      <c r="J680" t="s">
        <v>44</v>
      </c>
      <c r="K680" t="s">
        <v>22</v>
      </c>
      <c r="L680" t="s">
        <v>85</v>
      </c>
      <c r="M680" t="s">
        <v>86</v>
      </c>
      <c r="N680" t="s">
        <v>87</v>
      </c>
      <c r="O680" t="s">
        <v>37</v>
      </c>
      <c r="P680" t="s">
        <v>38</v>
      </c>
      <c r="Q680" t="s">
        <v>1157</v>
      </c>
      <c r="R680">
        <v>7365.17</v>
      </c>
      <c r="S680">
        <v>8</v>
      </c>
      <c r="T680">
        <v>0.1</v>
      </c>
      <c r="U680" t="str">
        <f>IF(Retail_data[[#This Row],[Sales]]&gt;30000,"High",IF(Retail_data[[#This Row],[Sales]]&gt;10000,"Medium","Low"))</f>
        <v>Low</v>
      </c>
      <c r="V680" s="3">
        <f>Retail_data[[#This Row],[Profit]]/Retail_data[[#This Row],[Sales]]</f>
        <v>0.24033525363297792</v>
      </c>
      <c r="W680">
        <v>1770.11</v>
      </c>
      <c r="X680" t="s">
        <v>29</v>
      </c>
    </row>
    <row r="681" spans="1:24" ht="13.8" x14ac:dyDescent="0.25">
      <c r="A681" t="s">
        <v>2264</v>
      </c>
      <c r="B681">
        <f>YEAR(Retail_data[[#This Row],[Order Date]])</f>
        <v>2027</v>
      </c>
      <c r="C681" t="str">
        <f>TEXT(Retail_data[[#This Row],[Order Date]],"mmmm")</f>
        <v>August</v>
      </c>
      <c r="D681">
        <f>MONTH(Retail_data[[#This Row],[Order Date]])</f>
        <v>8</v>
      </c>
      <c r="E681" t="str">
        <f>"Q"&amp;ROUNDUP(MONTH(Retail_data[[#This Row],[Order Date]])/3,0)</f>
        <v>Q3</v>
      </c>
      <c r="F681" s="1">
        <v>46601</v>
      </c>
      <c r="G681" s="1">
        <v>46605</v>
      </c>
      <c r="H681" t="s">
        <v>2265</v>
      </c>
      <c r="I681" t="s">
        <v>2266</v>
      </c>
      <c r="J681" t="s">
        <v>33</v>
      </c>
      <c r="K681" t="s">
        <v>22</v>
      </c>
      <c r="L681" t="s">
        <v>23</v>
      </c>
      <c r="M681" t="s">
        <v>24</v>
      </c>
      <c r="N681" t="s">
        <v>25</v>
      </c>
      <c r="O681" t="s">
        <v>37</v>
      </c>
      <c r="P681" t="s">
        <v>46</v>
      </c>
      <c r="Q681" t="s">
        <v>391</v>
      </c>
      <c r="R681">
        <v>11605.92</v>
      </c>
      <c r="S681">
        <v>8</v>
      </c>
      <c r="T681">
        <v>0</v>
      </c>
      <c r="U681" t="str">
        <f>IF(Retail_data[[#This Row],[Sales]]&gt;30000,"High",IF(Retail_data[[#This Row],[Sales]]&gt;10000,"Medium","Low"))</f>
        <v>Medium</v>
      </c>
      <c r="V681" s="3">
        <f>Retail_data[[#This Row],[Profit]]/Retail_data[[#This Row],[Sales]]</f>
        <v>0.23796820932765347</v>
      </c>
      <c r="W681">
        <v>2761.84</v>
      </c>
      <c r="X681" t="s">
        <v>81</v>
      </c>
    </row>
    <row r="682" spans="1:24" ht="13.8" x14ac:dyDescent="0.25">
      <c r="A682" t="s">
        <v>2267</v>
      </c>
      <c r="B682">
        <f>YEAR(Retail_data[[#This Row],[Order Date]])</f>
        <v>2027</v>
      </c>
      <c r="C682" t="str">
        <f>TEXT(Retail_data[[#This Row],[Order Date]],"mmmm")</f>
        <v>August</v>
      </c>
      <c r="D682">
        <f>MONTH(Retail_data[[#This Row],[Order Date]])</f>
        <v>8</v>
      </c>
      <c r="E682" t="str">
        <f>"Q"&amp;ROUNDUP(MONTH(Retail_data[[#This Row],[Order Date]])/3,0)</f>
        <v>Q3</v>
      </c>
      <c r="F682" s="1">
        <v>46602</v>
      </c>
      <c r="G682" s="1">
        <v>46606</v>
      </c>
      <c r="H682" t="s">
        <v>2268</v>
      </c>
      <c r="I682" t="s">
        <v>2269</v>
      </c>
      <c r="J682" t="s">
        <v>33</v>
      </c>
      <c r="K682" t="s">
        <v>22</v>
      </c>
      <c r="L682" t="s">
        <v>85</v>
      </c>
      <c r="M682" t="s">
        <v>86</v>
      </c>
      <c r="N682" t="s">
        <v>87</v>
      </c>
      <c r="O682" t="s">
        <v>57</v>
      </c>
      <c r="P682" t="s">
        <v>58</v>
      </c>
      <c r="Q682" t="s">
        <v>814</v>
      </c>
      <c r="R682">
        <v>11264.68</v>
      </c>
      <c r="S682">
        <v>3</v>
      </c>
      <c r="T682">
        <v>0.3</v>
      </c>
      <c r="U682" t="str">
        <f>IF(Retail_data[[#This Row],[Sales]]&gt;30000,"High",IF(Retail_data[[#This Row],[Sales]]&gt;10000,"Medium","Low"))</f>
        <v>Medium</v>
      </c>
      <c r="V682" s="3">
        <f>Retail_data[[#This Row],[Profit]]/Retail_data[[#This Row],[Sales]]</f>
        <v>-1.8828763888543661E-3</v>
      </c>
      <c r="W682">
        <v>-21.21</v>
      </c>
      <c r="X682" t="s">
        <v>29</v>
      </c>
    </row>
    <row r="683" spans="1:24" ht="13.8" x14ac:dyDescent="0.25">
      <c r="A683" t="s">
        <v>2270</v>
      </c>
      <c r="B683">
        <f>YEAR(Retail_data[[#This Row],[Order Date]])</f>
        <v>2027</v>
      </c>
      <c r="C683" t="str">
        <f>TEXT(Retail_data[[#This Row],[Order Date]],"mmmm")</f>
        <v>August</v>
      </c>
      <c r="D683">
        <f>MONTH(Retail_data[[#This Row],[Order Date]])</f>
        <v>8</v>
      </c>
      <c r="E683" t="str">
        <f>"Q"&amp;ROUNDUP(MONTH(Retail_data[[#This Row],[Order Date]])/3,0)</f>
        <v>Q3</v>
      </c>
      <c r="F683" s="1">
        <v>46603</v>
      </c>
      <c r="G683" s="1">
        <v>46607</v>
      </c>
      <c r="H683" t="s">
        <v>2271</v>
      </c>
      <c r="I683" t="s">
        <v>2272</v>
      </c>
      <c r="J683" t="s">
        <v>44</v>
      </c>
      <c r="K683" t="s">
        <v>22</v>
      </c>
      <c r="L683" t="s">
        <v>23</v>
      </c>
      <c r="M683" t="s">
        <v>24</v>
      </c>
      <c r="N683" t="s">
        <v>25</v>
      </c>
      <c r="O683" t="s">
        <v>26</v>
      </c>
      <c r="P683" t="s">
        <v>70</v>
      </c>
      <c r="Q683" t="s">
        <v>71</v>
      </c>
      <c r="R683">
        <v>6310.05</v>
      </c>
      <c r="S683">
        <v>1</v>
      </c>
      <c r="T683">
        <v>0.1</v>
      </c>
      <c r="U683" t="str">
        <f>IF(Retail_data[[#This Row],[Sales]]&gt;30000,"High",IF(Retail_data[[#This Row],[Sales]]&gt;10000,"Medium","Low"))</f>
        <v>Low</v>
      </c>
      <c r="V683" s="3">
        <f>Retail_data[[#This Row],[Profit]]/Retail_data[[#This Row],[Sales]]</f>
        <v>0.18884794890690249</v>
      </c>
      <c r="W683">
        <v>1191.6400000000001</v>
      </c>
      <c r="X683" t="s">
        <v>81</v>
      </c>
    </row>
    <row r="684" spans="1:24" ht="13.8" x14ac:dyDescent="0.25">
      <c r="A684" t="s">
        <v>2273</v>
      </c>
      <c r="B684">
        <f>YEAR(Retail_data[[#This Row],[Order Date]])</f>
        <v>2027</v>
      </c>
      <c r="C684" t="str">
        <f>TEXT(Retail_data[[#This Row],[Order Date]],"mmmm")</f>
        <v>August</v>
      </c>
      <c r="D684">
        <f>MONTH(Retail_data[[#This Row],[Order Date]])</f>
        <v>8</v>
      </c>
      <c r="E684" t="str">
        <f>"Q"&amp;ROUNDUP(MONTH(Retail_data[[#This Row],[Order Date]])/3,0)</f>
        <v>Q3</v>
      </c>
      <c r="F684" s="1">
        <v>46604</v>
      </c>
      <c r="G684" s="1">
        <v>46608</v>
      </c>
      <c r="H684" t="s">
        <v>2274</v>
      </c>
      <c r="I684" t="s">
        <v>2275</v>
      </c>
      <c r="J684" t="s">
        <v>21</v>
      </c>
      <c r="K684" t="s">
        <v>22</v>
      </c>
      <c r="L684" t="s">
        <v>67</v>
      </c>
      <c r="M684" t="s">
        <v>68</v>
      </c>
      <c r="N684" t="s">
        <v>69</v>
      </c>
      <c r="O684" t="s">
        <v>37</v>
      </c>
      <c r="P684" t="s">
        <v>52</v>
      </c>
      <c r="Q684" t="s">
        <v>2030</v>
      </c>
      <c r="R684">
        <v>49499.39</v>
      </c>
      <c r="S684">
        <v>1</v>
      </c>
      <c r="T684">
        <v>0.1</v>
      </c>
      <c r="U684" t="str">
        <f>IF(Retail_data[[#This Row],[Sales]]&gt;30000,"High",IF(Retail_data[[#This Row],[Sales]]&gt;10000,"Medium","Low"))</f>
        <v>High</v>
      </c>
      <c r="V684" s="3">
        <f>Retail_data[[#This Row],[Profit]]/Retail_data[[#This Row],[Sales]]</f>
        <v>0.25489182795990012</v>
      </c>
      <c r="W684">
        <v>12616.99</v>
      </c>
      <c r="X684" t="s">
        <v>48</v>
      </c>
    </row>
    <row r="685" spans="1:24" ht="13.8" x14ac:dyDescent="0.25">
      <c r="A685" t="s">
        <v>2276</v>
      </c>
      <c r="B685">
        <f>YEAR(Retail_data[[#This Row],[Order Date]])</f>
        <v>2027</v>
      </c>
      <c r="C685" t="str">
        <f>TEXT(Retail_data[[#This Row],[Order Date]],"mmmm")</f>
        <v>August</v>
      </c>
      <c r="D685">
        <f>MONTH(Retail_data[[#This Row],[Order Date]])</f>
        <v>8</v>
      </c>
      <c r="E685" t="str">
        <f>"Q"&amp;ROUNDUP(MONTH(Retail_data[[#This Row],[Order Date]])/3,0)</f>
        <v>Q3</v>
      </c>
      <c r="F685" s="1">
        <v>46605</v>
      </c>
      <c r="G685" s="1">
        <v>46609</v>
      </c>
      <c r="H685" t="s">
        <v>2277</v>
      </c>
      <c r="I685" t="s">
        <v>2278</v>
      </c>
      <c r="J685" t="s">
        <v>44</v>
      </c>
      <c r="K685" t="s">
        <v>22</v>
      </c>
      <c r="L685" t="s">
        <v>67</v>
      </c>
      <c r="M685" t="s">
        <v>68</v>
      </c>
      <c r="N685" t="s">
        <v>69</v>
      </c>
      <c r="O685" t="s">
        <v>37</v>
      </c>
      <c r="P685" t="s">
        <v>46</v>
      </c>
      <c r="Q685" t="s">
        <v>105</v>
      </c>
      <c r="R685">
        <v>45220.7</v>
      </c>
      <c r="S685">
        <v>8</v>
      </c>
      <c r="T685">
        <v>0.2</v>
      </c>
      <c r="U685" t="str">
        <f>IF(Retail_data[[#This Row],[Sales]]&gt;30000,"High",IF(Retail_data[[#This Row],[Sales]]&gt;10000,"Medium","Low"))</f>
        <v>High</v>
      </c>
      <c r="V685" s="3">
        <f>Retail_data[[#This Row],[Profit]]/Retail_data[[#This Row],[Sales]]</f>
        <v>-7.5226610822035044E-3</v>
      </c>
      <c r="W685">
        <v>-340.18</v>
      </c>
      <c r="X685" t="s">
        <v>48</v>
      </c>
    </row>
    <row r="686" spans="1:24" ht="13.8" x14ac:dyDescent="0.25">
      <c r="A686" t="s">
        <v>2279</v>
      </c>
      <c r="B686">
        <f>YEAR(Retail_data[[#This Row],[Order Date]])</f>
        <v>2027</v>
      </c>
      <c r="C686" t="str">
        <f>TEXT(Retail_data[[#This Row],[Order Date]],"mmmm")</f>
        <v>August</v>
      </c>
      <c r="D686">
        <f>MONTH(Retail_data[[#This Row],[Order Date]])</f>
        <v>8</v>
      </c>
      <c r="E686" t="str">
        <f>"Q"&amp;ROUNDUP(MONTH(Retail_data[[#This Row],[Order Date]])/3,0)</f>
        <v>Q3</v>
      </c>
      <c r="F686" s="1">
        <v>46606</v>
      </c>
      <c r="G686" s="1">
        <v>46610</v>
      </c>
      <c r="H686" t="s">
        <v>2280</v>
      </c>
      <c r="I686" t="s">
        <v>2281</v>
      </c>
      <c r="J686" t="s">
        <v>44</v>
      </c>
      <c r="K686" t="s">
        <v>22</v>
      </c>
      <c r="L686" t="s">
        <v>45</v>
      </c>
      <c r="M686" t="s">
        <v>45</v>
      </c>
      <c r="N686" t="s">
        <v>25</v>
      </c>
      <c r="O686" t="s">
        <v>26</v>
      </c>
      <c r="P686" t="s">
        <v>92</v>
      </c>
      <c r="Q686" t="s">
        <v>93</v>
      </c>
      <c r="R686">
        <v>8430.3799999999992</v>
      </c>
      <c r="S686">
        <v>8</v>
      </c>
      <c r="T686">
        <v>0.3</v>
      </c>
      <c r="U686" t="str">
        <f>IF(Retail_data[[#This Row],[Sales]]&gt;30000,"High",IF(Retail_data[[#This Row],[Sales]]&gt;10000,"Medium","Low"))</f>
        <v>Low</v>
      </c>
      <c r="V686" s="3">
        <f>Retail_data[[#This Row],[Profit]]/Retail_data[[#This Row],[Sales]]</f>
        <v>0.12619004125555433</v>
      </c>
      <c r="W686">
        <v>1063.83</v>
      </c>
      <c r="X686" t="s">
        <v>48</v>
      </c>
    </row>
    <row r="687" spans="1:24" ht="13.8" x14ac:dyDescent="0.25">
      <c r="A687" t="s">
        <v>2282</v>
      </c>
      <c r="B687">
        <f>YEAR(Retail_data[[#This Row],[Order Date]])</f>
        <v>2027</v>
      </c>
      <c r="C687" t="str">
        <f>TEXT(Retail_data[[#This Row],[Order Date]],"mmmm")</f>
        <v>August</v>
      </c>
      <c r="D687">
        <f>MONTH(Retail_data[[#This Row],[Order Date]])</f>
        <v>8</v>
      </c>
      <c r="E687" t="str">
        <f>"Q"&amp;ROUNDUP(MONTH(Retail_data[[#This Row],[Order Date]])/3,0)</f>
        <v>Q3</v>
      </c>
      <c r="F687" s="1">
        <v>46607</v>
      </c>
      <c r="G687" s="1">
        <v>46611</v>
      </c>
      <c r="H687" t="s">
        <v>2283</v>
      </c>
      <c r="I687" t="s">
        <v>2284</v>
      </c>
      <c r="J687" t="s">
        <v>44</v>
      </c>
      <c r="K687" t="s">
        <v>22</v>
      </c>
      <c r="L687" t="s">
        <v>23</v>
      </c>
      <c r="M687" t="s">
        <v>24</v>
      </c>
      <c r="N687" t="s">
        <v>25</v>
      </c>
      <c r="O687" t="s">
        <v>57</v>
      </c>
      <c r="P687" t="s">
        <v>79</v>
      </c>
      <c r="Q687" t="s">
        <v>395</v>
      </c>
      <c r="R687">
        <v>22230.98</v>
      </c>
      <c r="S687">
        <v>5</v>
      </c>
      <c r="T687">
        <v>0</v>
      </c>
      <c r="U687" t="str">
        <f>IF(Retail_data[[#This Row],[Sales]]&gt;30000,"High",IF(Retail_data[[#This Row],[Sales]]&gt;10000,"Medium","Low"))</f>
        <v>Medium</v>
      </c>
      <c r="V687" s="3">
        <f>Retail_data[[#This Row],[Profit]]/Retail_data[[#This Row],[Sales]]</f>
        <v>0.22336802066305667</v>
      </c>
      <c r="W687">
        <v>4965.6899999999996</v>
      </c>
      <c r="X687" t="s">
        <v>40</v>
      </c>
    </row>
    <row r="688" spans="1:24" ht="13.8" x14ac:dyDescent="0.25">
      <c r="A688" t="s">
        <v>2285</v>
      </c>
      <c r="B688">
        <f>YEAR(Retail_data[[#This Row],[Order Date]])</f>
        <v>2027</v>
      </c>
      <c r="C688" t="str">
        <f>TEXT(Retail_data[[#This Row],[Order Date]],"mmmm")</f>
        <v>August</v>
      </c>
      <c r="D688">
        <f>MONTH(Retail_data[[#This Row],[Order Date]])</f>
        <v>8</v>
      </c>
      <c r="E688" t="str">
        <f>"Q"&amp;ROUNDUP(MONTH(Retail_data[[#This Row],[Order Date]])/3,0)</f>
        <v>Q3</v>
      </c>
      <c r="F688" s="1">
        <v>46608</v>
      </c>
      <c r="G688" s="1">
        <v>46612</v>
      </c>
      <c r="H688" t="s">
        <v>2286</v>
      </c>
      <c r="I688" t="s">
        <v>2287</v>
      </c>
      <c r="J688" t="s">
        <v>21</v>
      </c>
      <c r="K688" t="s">
        <v>22</v>
      </c>
      <c r="L688" t="s">
        <v>45</v>
      </c>
      <c r="M688" t="s">
        <v>45</v>
      </c>
      <c r="N688" t="s">
        <v>25</v>
      </c>
      <c r="O688" t="s">
        <v>37</v>
      </c>
      <c r="P688" t="s">
        <v>38</v>
      </c>
      <c r="Q688" t="s">
        <v>930</v>
      </c>
      <c r="R688">
        <v>28142.07</v>
      </c>
      <c r="S688">
        <v>7</v>
      </c>
      <c r="T688">
        <v>0</v>
      </c>
      <c r="U688" t="str">
        <f>IF(Retail_data[[#This Row],[Sales]]&gt;30000,"High",IF(Retail_data[[#This Row],[Sales]]&gt;10000,"Medium","Low"))</f>
        <v>Medium</v>
      </c>
      <c r="V688" s="3">
        <f>Retail_data[[#This Row],[Profit]]/Retail_data[[#This Row],[Sales]]</f>
        <v>0.16243972102976079</v>
      </c>
      <c r="W688">
        <v>4571.3900000000003</v>
      </c>
      <c r="X688" t="s">
        <v>81</v>
      </c>
    </row>
    <row r="689" spans="1:24" ht="13.8" x14ac:dyDescent="0.25">
      <c r="A689" t="s">
        <v>2288</v>
      </c>
      <c r="B689">
        <f>YEAR(Retail_data[[#This Row],[Order Date]])</f>
        <v>2027</v>
      </c>
      <c r="C689" t="str">
        <f>TEXT(Retail_data[[#This Row],[Order Date]],"mmmm")</f>
        <v>August</v>
      </c>
      <c r="D689">
        <f>MONTH(Retail_data[[#This Row],[Order Date]])</f>
        <v>8</v>
      </c>
      <c r="E689" t="str">
        <f>"Q"&amp;ROUNDUP(MONTH(Retail_data[[#This Row],[Order Date]])/3,0)</f>
        <v>Q3</v>
      </c>
      <c r="F689" s="1">
        <v>46609</v>
      </c>
      <c r="G689" s="1">
        <v>46613</v>
      </c>
      <c r="H689" t="s">
        <v>2289</v>
      </c>
      <c r="I689" t="s">
        <v>2290</v>
      </c>
      <c r="J689" t="s">
        <v>33</v>
      </c>
      <c r="K689" t="s">
        <v>22</v>
      </c>
      <c r="L689" t="s">
        <v>67</v>
      </c>
      <c r="M689" t="s">
        <v>68</v>
      </c>
      <c r="N689" t="s">
        <v>69</v>
      </c>
      <c r="O689" t="s">
        <v>37</v>
      </c>
      <c r="P689" t="s">
        <v>46</v>
      </c>
      <c r="Q689" t="s">
        <v>741</v>
      </c>
      <c r="R689">
        <v>16521.509999999998</v>
      </c>
      <c r="S689">
        <v>2</v>
      </c>
      <c r="T689">
        <v>0.3</v>
      </c>
      <c r="U689" t="str">
        <f>IF(Retail_data[[#This Row],[Sales]]&gt;30000,"High",IF(Retail_data[[#This Row],[Sales]]&gt;10000,"Medium","Low"))</f>
        <v>Medium</v>
      </c>
      <c r="V689" s="3">
        <f>Retail_data[[#This Row],[Profit]]/Retail_data[[#This Row],[Sales]]</f>
        <v>0.10658287287300013</v>
      </c>
      <c r="W689">
        <v>1760.91</v>
      </c>
      <c r="X689" t="s">
        <v>48</v>
      </c>
    </row>
    <row r="690" spans="1:24" ht="13.8" x14ac:dyDescent="0.25">
      <c r="A690" t="s">
        <v>2291</v>
      </c>
      <c r="B690">
        <f>YEAR(Retail_data[[#This Row],[Order Date]])</f>
        <v>2027</v>
      </c>
      <c r="C690" t="str">
        <f>TEXT(Retail_data[[#This Row],[Order Date]],"mmmm")</f>
        <v>August</v>
      </c>
      <c r="D690">
        <f>MONTH(Retail_data[[#This Row],[Order Date]])</f>
        <v>8</v>
      </c>
      <c r="E690" t="str">
        <f>"Q"&amp;ROUNDUP(MONTH(Retail_data[[#This Row],[Order Date]])/3,0)</f>
        <v>Q3</v>
      </c>
      <c r="F690" s="1">
        <v>46610</v>
      </c>
      <c r="G690" s="1">
        <v>46614</v>
      </c>
      <c r="H690" t="s">
        <v>2292</v>
      </c>
      <c r="I690" t="s">
        <v>2293</v>
      </c>
      <c r="J690" t="s">
        <v>44</v>
      </c>
      <c r="K690" t="s">
        <v>22</v>
      </c>
      <c r="L690" t="s">
        <v>45</v>
      </c>
      <c r="M690" t="s">
        <v>45</v>
      </c>
      <c r="N690" t="s">
        <v>25</v>
      </c>
      <c r="O690" t="s">
        <v>37</v>
      </c>
      <c r="P690" t="s">
        <v>52</v>
      </c>
      <c r="Q690" t="s">
        <v>358</v>
      </c>
      <c r="R690">
        <v>10752.15</v>
      </c>
      <c r="S690">
        <v>4</v>
      </c>
      <c r="T690">
        <v>0.1</v>
      </c>
      <c r="U690" t="str">
        <f>IF(Retail_data[[#This Row],[Sales]]&gt;30000,"High",IF(Retail_data[[#This Row],[Sales]]&gt;10000,"Medium","Low"))</f>
        <v>Medium</v>
      </c>
      <c r="V690" s="3">
        <f>Retail_data[[#This Row],[Profit]]/Retail_data[[#This Row],[Sales]]</f>
        <v>0.10769194998209661</v>
      </c>
      <c r="W690">
        <v>1157.92</v>
      </c>
      <c r="X690" t="s">
        <v>48</v>
      </c>
    </row>
    <row r="691" spans="1:24" ht="13.8" x14ac:dyDescent="0.25">
      <c r="A691" t="s">
        <v>2294</v>
      </c>
      <c r="B691">
        <f>YEAR(Retail_data[[#This Row],[Order Date]])</f>
        <v>2027</v>
      </c>
      <c r="C691" t="str">
        <f>TEXT(Retail_data[[#This Row],[Order Date]],"mmmm")</f>
        <v>August</v>
      </c>
      <c r="D691">
        <f>MONTH(Retail_data[[#This Row],[Order Date]])</f>
        <v>8</v>
      </c>
      <c r="E691" t="str">
        <f>"Q"&amp;ROUNDUP(MONTH(Retail_data[[#This Row],[Order Date]])/3,0)</f>
        <v>Q3</v>
      </c>
      <c r="F691" s="1">
        <v>46611</v>
      </c>
      <c r="G691" s="1">
        <v>46615</v>
      </c>
      <c r="H691" t="s">
        <v>2295</v>
      </c>
      <c r="I691" t="s">
        <v>2296</v>
      </c>
      <c r="J691" t="s">
        <v>33</v>
      </c>
      <c r="K691" t="s">
        <v>22</v>
      </c>
      <c r="L691" t="s">
        <v>67</v>
      </c>
      <c r="M691" t="s">
        <v>68</v>
      </c>
      <c r="N691" t="s">
        <v>69</v>
      </c>
      <c r="O691" t="s">
        <v>26</v>
      </c>
      <c r="P691" t="s">
        <v>70</v>
      </c>
      <c r="Q691" t="s">
        <v>71</v>
      </c>
      <c r="R691">
        <v>17626.849999999999</v>
      </c>
      <c r="S691">
        <v>4</v>
      </c>
      <c r="T691">
        <v>0.3</v>
      </c>
      <c r="U691" t="str">
        <f>IF(Retail_data[[#This Row],[Sales]]&gt;30000,"High",IF(Retail_data[[#This Row],[Sales]]&gt;10000,"Medium","Low"))</f>
        <v>Medium</v>
      </c>
      <c r="V691" s="3">
        <f>Retail_data[[#This Row],[Profit]]/Retail_data[[#This Row],[Sales]]</f>
        <v>0.11198881252180623</v>
      </c>
      <c r="W691">
        <v>1974.01</v>
      </c>
      <c r="X691" t="s">
        <v>29</v>
      </c>
    </row>
    <row r="692" spans="1:24" ht="13.8" x14ac:dyDescent="0.25">
      <c r="A692" t="s">
        <v>2297</v>
      </c>
      <c r="B692">
        <f>YEAR(Retail_data[[#This Row],[Order Date]])</f>
        <v>2027</v>
      </c>
      <c r="C692" t="str">
        <f>TEXT(Retail_data[[#This Row],[Order Date]],"mmmm")</f>
        <v>August</v>
      </c>
      <c r="D692">
        <f>MONTH(Retail_data[[#This Row],[Order Date]])</f>
        <v>8</v>
      </c>
      <c r="E692" t="str">
        <f>"Q"&amp;ROUNDUP(MONTH(Retail_data[[#This Row],[Order Date]])/3,0)</f>
        <v>Q3</v>
      </c>
      <c r="F692" s="1">
        <v>46612</v>
      </c>
      <c r="G692" s="1">
        <v>46616</v>
      </c>
      <c r="H692" t="s">
        <v>2298</v>
      </c>
      <c r="I692" t="s">
        <v>2299</v>
      </c>
      <c r="J692" t="s">
        <v>21</v>
      </c>
      <c r="K692" t="s">
        <v>22</v>
      </c>
      <c r="L692" t="s">
        <v>85</v>
      </c>
      <c r="M692" t="s">
        <v>86</v>
      </c>
      <c r="N692" t="s">
        <v>87</v>
      </c>
      <c r="O692" t="s">
        <v>57</v>
      </c>
      <c r="P692" t="s">
        <v>58</v>
      </c>
      <c r="Q692" t="s">
        <v>309</v>
      </c>
      <c r="R692">
        <v>36093.620000000003</v>
      </c>
      <c r="S692">
        <v>3</v>
      </c>
      <c r="T692">
        <v>0</v>
      </c>
      <c r="U692" t="str">
        <f>IF(Retail_data[[#This Row],[Sales]]&gt;30000,"High",IF(Retail_data[[#This Row],[Sales]]&gt;10000,"Medium","Low"))</f>
        <v>High</v>
      </c>
      <c r="V692" s="3">
        <f>Retail_data[[#This Row],[Profit]]/Retail_data[[#This Row],[Sales]]</f>
        <v>0.17537393035112575</v>
      </c>
      <c r="W692">
        <v>6329.88</v>
      </c>
      <c r="X692" t="s">
        <v>48</v>
      </c>
    </row>
    <row r="693" spans="1:24" ht="13.8" x14ac:dyDescent="0.25">
      <c r="A693" t="s">
        <v>2300</v>
      </c>
      <c r="B693">
        <f>YEAR(Retail_data[[#This Row],[Order Date]])</f>
        <v>2027</v>
      </c>
      <c r="C693" t="str">
        <f>TEXT(Retail_data[[#This Row],[Order Date]],"mmmm")</f>
        <v>August</v>
      </c>
      <c r="D693">
        <f>MONTH(Retail_data[[#This Row],[Order Date]])</f>
        <v>8</v>
      </c>
      <c r="E693" t="str">
        <f>"Q"&amp;ROUNDUP(MONTH(Retail_data[[#This Row],[Order Date]])/3,0)</f>
        <v>Q3</v>
      </c>
      <c r="F693" s="1">
        <v>46613</v>
      </c>
      <c r="G693" s="1">
        <v>46617</v>
      </c>
      <c r="H693" t="s">
        <v>2301</v>
      </c>
      <c r="I693" t="s">
        <v>2302</v>
      </c>
      <c r="J693" t="s">
        <v>21</v>
      </c>
      <c r="K693" t="s">
        <v>22</v>
      </c>
      <c r="L693" t="s">
        <v>34</v>
      </c>
      <c r="M693" t="s">
        <v>35</v>
      </c>
      <c r="N693" t="s">
        <v>36</v>
      </c>
      <c r="O693" t="s">
        <v>26</v>
      </c>
      <c r="P693" t="s">
        <v>92</v>
      </c>
      <c r="Q693" t="s">
        <v>109</v>
      </c>
      <c r="R693">
        <v>32468.23</v>
      </c>
      <c r="S693">
        <v>1</v>
      </c>
      <c r="T693">
        <v>0.3</v>
      </c>
      <c r="U693" t="str">
        <f>IF(Retail_data[[#This Row],[Sales]]&gt;30000,"High",IF(Retail_data[[#This Row],[Sales]]&gt;10000,"Medium","Low"))</f>
        <v>High</v>
      </c>
      <c r="V693" s="3">
        <f>Retail_data[[#This Row],[Profit]]/Retail_data[[#This Row],[Sales]]</f>
        <v>3.7000169088367306E-2</v>
      </c>
      <c r="W693">
        <v>1201.33</v>
      </c>
      <c r="X693" t="s">
        <v>48</v>
      </c>
    </row>
    <row r="694" spans="1:24" ht="13.8" x14ac:dyDescent="0.25">
      <c r="A694" t="s">
        <v>2303</v>
      </c>
      <c r="B694">
        <f>YEAR(Retail_data[[#This Row],[Order Date]])</f>
        <v>2027</v>
      </c>
      <c r="C694" t="str">
        <f>TEXT(Retail_data[[#This Row],[Order Date]],"mmmm")</f>
        <v>August</v>
      </c>
      <c r="D694">
        <f>MONTH(Retail_data[[#This Row],[Order Date]])</f>
        <v>8</v>
      </c>
      <c r="E694" t="str">
        <f>"Q"&amp;ROUNDUP(MONTH(Retail_data[[#This Row],[Order Date]])/3,0)</f>
        <v>Q3</v>
      </c>
      <c r="F694" s="1">
        <v>46614</v>
      </c>
      <c r="G694" s="1">
        <v>46618</v>
      </c>
      <c r="H694" t="s">
        <v>2304</v>
      </c>
      <c r="I694" t="s">
        <v>2305</v>
      </c>
      <c r="J694" t="s">
        <v>33</v>
      </c>
      <c r="K694" t="s">
        <v>22</v>
      </c>
      <c r="L694" t="s">
        <v>67</v>
      </c>
      <c r="M694" t="s">
        <v>68</v>
      </c>
      <c r="N694" t="s">
        <v>69</v>
      </c>
      <c r="O694" t="s">
        <v>57</v>
      </c>
      <c r="P694" t="s">
        <v>149</v>
      </c>
      <c r="Q694" t="s">
        <v>227</v>
      </c>
      <c r="R694">
        <v>27697</v>
      </c>
      <c r="S694">
        <v>6</v>
      </c>
      <c r="T694">
        <v>0.3</v>
      </c>
      <c r="U694" t="str">
        <f>IF(Retail_data[[#This Row],[Sales]]&gt;30000,"High",IF(Retail_data[[#This Row],[Sales]]&gt;10000,"Medium","Low"))</f>
        <v>Medium</v>
      </c>
      <c r="V694" s="3">
        <f>Retail_data[[#This Row],[Profit]]/Retail_data[[#This Row],[Sales]]</f>
        <v>-1.80138643174351E-2</v>
      </c>
      <c r="W694">
        <v>-498.93</v>
      </c>
      <c r="X694" t="s">
        <v>40</v>
      </c>
    </row>
    <row r="695" spans="1:24" ht="13.8" x14ac:dyDescent="0.25">
      <c r="A695" t="s">
        <v>2306</v>
      </c>
      <c r="B695">
        <f>YEAR(Retail_data[[#This Row],[Order Date]])</f>
        <v>2027</v>
      </c>
      <c r="C695" t="str">
        <f>TEXT(Retail_data[[#This Row],[Order Date]],"mmmm")</f>
        <v>August</v>
      </c>
      <c r="D695">
        <f>MONTH(Retail_data[[#This Row],[Order Date]])</f>
        <v>8</v>
      </c>
      <c r="E695" t="str">
        <f>"Q"&amp;ROUNDUP(MONTH(Retail_data[[#This Row],[Order Date]])/3,0)</f>
        <v>Q3</v>
      </c>
      <c r="F695" s="1">
        <v>46615</v>
      </c>
      <c r="G695" s="1">
        <v>46619</v>
      </c>
      <c r="H695" t="s">
        <v>2307</v>
      </c>
      <c r="I695" t="s">
        <v>2308</v>
      </c>
      <c r="J695" t="s">
        <v>21</v>
      </c>
      <c r="K695" t="s">
        <v>22</v>
      </c>
      <c r="L695" t="s">
        <v>45</v>
      </c>
      <c r="M695" t="s">
        <v>45</v>
      </c>
      <c r="N695" t="s">
        <v>25</v>
      </c>
      <c r="O695" t="s">
        <v>57</v>
      </c>
      <c r="P695" t="s">
        <v>79</v>
      </c>
      <c r="Q695" t="s">
        <v>534</v>
      </c>
      <c r="R695">
        <v>27834.48</v>
      </c>
      <c r="S695">
        <v>1</v>
      </c>
      <c r="T695">
        <v>0.2</v>
      </c>
      <c r="U695" t="str">
        <f>IF(Retail_data[[#This Row],[Sales]]&gt;30000,"High",IF(Retail_data[[#This Row],[Sales]]&gt;10000,"Medium","Low"))</f>
        <v>Medium</v>
      </c>
      <c r="V695" s="3">
        <f>Retail_data[[#This Row],[Profit]]/Retail_data[[#This Row],[Sales]]</f>
        <v>0.21795916431706286</v>
      </c>
      <c r="W695">
        <v>6066.78</v>
      </c>
      <c r="X695" t="s">
        <v>40</v>
      </c>
    </row>
    <row r="696" spans="1:24" ht="13.8" x14ac:dyDescent="0.25">
      <c r="A696" t="s">
        <v>2309</v>
      </c>
      <c r="B696">
        <f>YEAR(Retail_data[[#This Row],[Order Date]])</f>
        <v>2027</v>
      </c>
      <c r="C696" t="str">
        <f>TEXT(Retail_data[[#This Row],[Order Date]],"mmmm")</f>
        <v>August</v>
      </c>
      <c r="D696">
        <f>MONTH(Retail_data[[#This Row],[Order Date]])</f>
        <v>8</v>
      </c>
      <c r="E696" t="str">
        <f>"Q"&amp;ROUNDUP(MONTH(Retail_data[[#This Row],[Order Date]])/3,0)</f>
        <v>Q3</v>
      </c>
      <c r="F696" s="1">
        <v>46616</v>
      </c>
      <c r="G696" s="1">
        <v>46620</v>
      </c>
      <c r="H696" t="s">
        <v>2310</v>
      </c>
      <c r="I696" t="s">
        <v>2311</v>
      </c>
      <c r="J696" t="s">
        <v>21</v>
      </c>
      <c r="K696" t="s">
        <v>22</v>
      </c>
      <c r="L696" t="s">
        <v>67</v>
      </c>
      <c r="M696" t="s">
        <v>68</v>
      </c>
      <c r="N696" t="s">
        <v>69</v>
      </c>
      <c r="O696" t="s">
        <v>26</v>
      </c>
      <c r="P696" t="s">
        <v>70</v>
      </c>
      <c r="Q696" t="s">
        <v>316</v>
      </c>
      <c r="R696">
        <v>41012.6</v>
      </c>
      <c r="S696">
        <v>5</v>
      </c>
      <c r="T696">
        <v>0.2</v>
      </c>
      <c r="U696" t="str">
        <f>IF(Retail_data[[#This Row],[Sales]]&gt;30000,"High",IF(Retail_data[[#This Row],[Sales]]&gt;10000,"Medium","Low"))</f>
        <v>High</v>
      </c>
      <c r="V696" s="3">
        <f>Retail_data[[#This Row],[Profit]]/Retail_data[[#This Row],[Sales]]</f>
        <v>0.15581699282659475</v>
      </c>
      <c r="W696">
        <v>6390.46</v>
      </c>
      <c r="X696" t="s">
        <v>40</v>
      </c>
    </row>
    <row r="697" spans="1:24" ht="13.8" x14ac:dyDescent="0.25">
      <c r="A697" t="s">
        <v>2312</v>
      </c>
      <c r="B697">
        <f>YEAR(Retail_data[[#This Row],[Order Date]])</f>
        <v>2027</v>
      </c>
      <c r="C697" t="str">
        <f>TEXT(Retail_data[[#This Row],[Order Date]],"mmmm")</f>
        <v>August</v>
      </c>
      <c r="D697">
        <f>MONTH(Retail_data[[#This Row],[Order Date]])</f>
        <v>8</v>
      </c>
      <c r="E697" t="str">
        <f>"Q"&amp;ROUNDUP(MONTH(Retail_data[[#This Row],[Order Date]])/3,0)</f>
        <v>Q3</v>
      </c>
      <c r="F697" s="1">
        <v>46617</v>
      </c>
      <c r="G697" s="1">
        <v>46621</v>
      </c>
      <c r="H697" t="s">
        <v>2313</v>
      </c>
      <c r="I697" t="s">
        <v>2314</v>
      </c>
      <c r="J697" t="s">
        <v>21</v>
      </c>
      <c r="K697" t="s">
        <v>22</v>
      </c>
      <c r="L697" t="s">
        <v>45</v>
      </c>
      <c r="M697" t="s">
        <v>45</v>
      </c>
      <c r="N697" t="s">
        <v>25</v>
      </c>
      <c r="O697" t="s">
        <v>57</v>
      </c>
      <c r="P697" t="s">
        <v>149</v>
      </c>
      <c r="Q697" t="s">
        <v>262</v>
      </c>
      <c r="R697">
        <v>3155.81</v>
      </c>
      <c r="S697">
        <v>5</v>
      </c>
      <c r="T697">
        <v>0.2</v>
      </c>
      <c r="U697" t="str">
        <f>IF(Retail_data[[#This Row],[Sales]]&gt;30000,"High",IF(Retail_data[[#This Row],[Sales]]&gt;10000,"Medium","Low"))</f>
        <v>Low</v>
      </c>
      <c r="V697" s="3">
        <f>Retail_data[[#This Row],[Profit]]/Retail_data[[#This Row],[Sales]]</f>
        <v>4.1086123689322233E-2</v>
      </c>
      <c r="W697">
        <v>129.66</v>
      </c>
      <c r="X697" t="s">
        <v>48</v>
      </c>
    </row>
    <row r="698" spans="1:24" ht="13.8" x14ac:dyDescent="0.25">
      <c r="A698" t="s">
        <v>2315</v>
      </c>
      <c r="B698">
        <f>YEAR(Retail_data[[#This Row],[Order Date]])</f>
        <v>2027</v>
      </c>
      <c r="C698" t="str">
        <f>TEXT(Retail_data[[#This Row],[Order Date]],"mmmm")</f>
        <v>August</v>
      </c>
      <c r="D698">
        <f>MONTH(Retail_data[[#This Row],[Order Date]])</f>
        <v>8</v>
      </c>
      <c r="E698" t="str">
        <f>"Q"&amp;ROUNDUP(MONTH(Retail_data[[#This Row],[Order Date]])/3,0)</f>
        <v>Q3</v>
      </c>
      <c r="F698" s="1">
        <v>46618</v>
      </c>
      <c r="G698" s="1">
        <v>46622</v>
      </c>
      <c r="H698" t="s">
        <v>2316</v>
      </c>
      <c r="I698" t="s">
        <v>2317</v>
      </c>
      <c r="J698" t="s">
        <v>44</v>
      </c>
      <c r="K698" t="s">
        <v>22</v>
      </c>
      <c r="L698" t="s">
        <v>34</v>
      </c>
      <c r="M698" t="s">
        <v>35</v>
      </c>
      <c r="N698" t="s">
        <v>36</v>
      </c>
      <c r="O698" t="s">
        <v>37</v>
      </c>
      <c r="P698" t="s">
        <v>38</v>
      </c>
      <c r="Q698" t="s">
        <v>885</v>
      </c>
      <c r="R698">
        <v>15102.96</v>
      </c>
      <c r="S698">
        <v>2</v>
      </c>
      <c r="T698">
        <v>0.1</v>
      </c>
      <c r="U698" t="str">
        <f>IF(Retail_data[[#This Row],[Sales]]&gt;30000,"High",IF(Retail_data[[#This Row],[Sales]]&gt;10000,"Medium","Low"))</f>
        <v>Medium</v>
      </c>
      <c r="V698" s="3">
        <f>Retail_data[[#This Row],[Profit]]/Retail_data[[#This Row],[Sales]]</f>
        <v>0.2527531027030463</v>
      </c>
      <c r="W698">
        <v>3817.32</v>
      </c>
      <c r="X698" t="s">
        <v>40</v>
      </c>
    </row>
    <row r="699" spans="1:24" ht="13.8" x14ac:dyDescent="0.25">
      <c r="A699" t="s">
        <v>2318</v>
      </c>
      <c r="B699">
        <f>YEAR(Retail_data[[#This Row],[Order Date]])</f>
        <v>2027</v>
      </c>
      <c r="C699" t="str">
        <f>TEXT(Retail_data[[#This Row],[Order Date]],"mmmm")</f>
        <v>August</v>
      </c>
      <c r="D699">
        <f>MONTH(Retail_data[[#This Row],[Order Date]])</f>
        <v>8</v>
      </c>
      <c r="E699" t="str">
        <f>"Q"&amp;ROUNDUP(MONTH(Retail_data[[#This Row],[Order Date]])/3,0)</f>
        <v>Q3</v>
      </c>
      <c r="F699" s="1">
        <v>46619</v>
      </c>
      <c r="G699" s="1">
        <v>46623</v>
      </c>
      <c r="H699" t="s">
        <v>2319</v>
      </c>
      <c r="I699" t="s">
        <v>2320</v>
      </c>
      <c r="J699" t="s">
        <v>44</v>
      </c>
      <c r="K699" t="s">
        <v>22</v>
      </c>
      <c r="L699" t="s">
        <v>67</v>
      </c>
      <c r="M699" t="s">
        <v>68</v>
      </c>
      <c r="N699" t="s">
        <v>69</v>
      </c>
      <c r="O699" t="s">
        <v>37</v>
      </c>
      <c r="P699" t="s">
        <v>52</v>
      </c>
      <c r="Q699" t="s">
        <v>358</v>
      </c>
      <c r="R699">
        <v>11843.04</v>
      </c>
      <c r="S699">
        <v>4</v>
      </c>
      <c r="T699">
        <v>0.1</v>
      </c>
      <c r="U699" t="str">
        <f>IF(Retail_data[[#This Row],[Sales]]&gt;30000,"High",IF(Retail_data[[#This Row],[Sales]]&gt;10000,"Medium","Low"))</f>
        <v>Medium</v>
      </c>
      <c r="V699" s="3">
        <f>Retail_data[[#This Row],[Profit]]/Retail_data[[#This Row],[Sales]]</f>
        <v>0.17551659033491401</v>
      </c>
      <c r="W699">
        <v>2078.65</v>
      </c>
      <c r="X699" t="s">
        <v>48</v>
      </c>
    </row>
    <row r="700" spans="1:24" ht="13.8" x14ac:dyDescent="0.25">
      <c r="A700" t="s">
        <v>2321</v>
      </c>
      <c r="B700">
        <f>YEAR(Retail_data[[#This Row],[Order Date]])</f>
        <v>2027</v>
      </c>
      <c r="C700" t="str">
        <f>TEXT(Retail_data[[#This Row],[Order Date]],"mmmm")</f>
        <v>August</v>
      </c>
      <c r="D700">
        <f>MONTH(Retail_data[[#This Row],[Order Date]])</f>
        <v>8</v>
      </c>
      <c r="E700" t="str">
        <f>"Q"&amp;ROUNDUP(MONTH(Retail_data[[#This Row],[Order Date]])/3,0)</f>
        <v>Q3</v>
      </c>
      <c r="F700" s="1">
        <v>46620</v>
      </c>
      <c r="G700" s="1">
        <v>46624</v>
      </c>
      <c r="H700" t="s">
        <v>2322</v>
      </c>
      <c r="I700" t="s">
        <v>2323</v>
      </c>
      <c r="J700" t="s">
        <v>44</v>
      </c>
      <c r="K700" t="s">
        <v>22</v>
      </c>
      <c r="L700" t="s">
        <v>45</v>
      </c>
      <c r="M700" t="s">
        <v>45</v>
      </c>
      <c r="N700" t="s">
        <v>25</v>
      </c>
      <c r="O700" t="s">
        <v>37</v>
      </c>
      <c r="P700" t="s">
        <v>46</v>
      </c>
      <c r="Q700" t="s">
        <v>849</v>
      </c>
      <c r="R700">
        <v>20854.669999999998</v>
      </c>
      <c r="S700">
        <v>4</v>
      </c>
      <c r="T700">
        <v>0.1</v>
      </c>
      <c r="U700" t="str">
        <f>IF(Retail_data[[#This Row],[Sales]]&gt;30000,"High",IF(Retail_data[[#This Row],[Sales]]&gt;10000,"Medium","Low"))</f>
        <v>Medium</v>
      </c>
      <c r="V700" s="3">
        <f>Retail_data[[#This Row],[Profit]]/Retail_data[[#This Row],[Sales]]</f>
        <v>0.20016811582249922</v>
      </c>
      <c r="W700">
        <v>4174.4399999999996</v>
      </c>
      <c r="X700" t="s">
        <v>48</v>
      </c>
    </row>
    <row r="701" spans="1:24" ht="13.8" x14ac:dyDescent="0.25">
      <c r="A701" t="s">
        <v>2324</v>
      </c>
      <c r="B701">
        <f>YEAR(Retail_data[[#This Row],[Order Date]])</f>
        <v>2027</v>
      </c>
      <c r="C701" t="str">
        <f>TEXT(Retail_data[[#This Row],[Order Date]],"mmmm")</f>
        <v>August</v>
      </c>
      <c r="D701">
        <f>MONTH(Retail_data[[#This Row],[Order Date]])</f>
        <v>8</v>
      </c>
      <c r="E701" t="str">
        <f>"Q"&amp;ROUNDUP(MONTH(Retail_data[[#This Row],[Order Date]])/3,0)</f>
        <v>Q3</v>
      </c>
      <c r="F701" s="1">
        <v>46621</v>
      </c>
      <c r="G701" s="1">
        <v>46625</v>
      </c>
      <c r="H701" t="s">
        <v>2325</v>
      </c>
      <c r="I701" t="s">
        <v>2326</v>
      </c>
      <c r="J701" t="s">
        <v>21</v>
      </c>
      <c r="K701" t="s">
        <v>22</v>
      </c>
      <c r="L701" t="s">
        <v>45</v>
      </c>
      <c r="M701" t="s">
        <v>45</v>
      </c>
      <c r="N701" t="s">
        <v>25</v>
      </c>
      <c r="O701" t="s">
        <v>26</v>
      </c>
      <c r="P701" t="s">
        <v>92</v>
      </c>
      <c r="Q701" t="s">
        <v>433</v>
      </c>
      <c r="R701">
        <v>7350.49</v>
      </c>
      <c r="S701">
        <v>3</v>
      </c>
      <c r="T701">
        <v>0.2</v>
      </c>
      <c r="U701" t="str">
        <f>IF(Retail_data[[#This Row],[Sales]]&gt;30000,"High",IF(Retail_data[[#This Row],[Sales]]&gt;10000,"Medium","Low"))</f>
        <v>Low</v>
      </c>
      <c r="V701" s="3">
        <f>Retail_data[[#This Row],[Profit]]/Retail_data[[#This Row],[Sales]]</f>
        <v>0.11976616524884737</v>
      </c>
      <c r="W701">
        <v>880.34</v>
      </c>
      <c r="X701" t="s">
        <v>40</v>
      </c>
    </row>
    <row r="702" spans="1:24" ht="13.8" x14ac:dyDescent="0.25">
      <c r="A702" t="s">
        <v>2327</v>
      </c>
      <c r="B702">
        <f>YEAR(Retail_data[[#This Row],[Order Date]])</f>
        <v>2027</v>
      </c>
      <c r="C702" t="str">
        <f>TEXT(Retail_data[[#This Row],[Order Date]],"mmmm")</f>
        <v>August</v>
      </c>
      <c r="D702">
        <f>MONTH(Retail_data[[#This Row],[Order Date]])</f>
        <v>8</v>
      </c>
      <c r="E702" t="str">
        <f>"Q"&amp;ROUNDUP(MONTH(Retail_data[[#This Row],[Order Date]])/3,0)</f>
        <v>Q3</v>
      </c>
      <c r="F702" s="1">
        <v>46622</v>
      </c>
      <c r="G702" s="1">
        <v>46626</v>
      </c>
      <c r="H702" t="s">
        <v>2328</v>
      </c>
      <c r="I702" t="s">
        <v>2329</v>
      </c>
      <c r="J702" t="s">
        <v>33</v>
      </c>
      <c r="K702" t="s">
        <v>22</v>
      </c>
      <c r="L702" t="s">
        <v>45</v>
      </c>
      <c r="M702" t="s">
        <v>45</v>
      </c>
      <c r="N702" t="s">
        <v>25</v>
      </c>
      <c r="O702" t="s">
        <v>57</v>
      </c>
      <c r="P702" t="s">
        <v>149</v>
      </c>
      <c r="Q702" t="s">
        <v>527</v>
      </c>
      <c r="R702">
        <v>27377.27</v>
      </c>
      <c r="S702">
        <v>8</v>
      </c>
      <c r="T702">
        <v>0</v>
      </c>
      <c r="U702" t="str">
        <f>IF(Retail_data[[#This Row],[Sales]]&gt;30000,"High",IF(Retail_data[[#This Row],[Sales]]&gt;10000,"Medium","Low"))</f>
        <v>Medium</v>
      </c>
      <c r="V702" s="3">
        <f>Retail_data[[#This Row],[Profit]]/Retail_data[[#This Row],[Sales]]</f>
        <v>0.26267155198454772</v>
      </c>
      <c r="W702">
        <v>7191.23</v>
      </c>
      <c r="X702" t="s">
        <v>40</v>
      </c>
    </row>
    <row r="703" spans="1:24" ht="13.8" x14ac:dyDescent="0.25">
      <c r="A703" t="s">
        <v>2330</v>
      </c>
      <c r="B703">
        <f>YEAR(Retail_data[[#This Row],[Order Date]])</f>
        <v>2027</v>
      </c>
      <c r="C703" t="str">
        <f>TEXT(Retail_data[[#This Row],[Order Date]],"mmmm")</f>
        <v>August</v>
      </c>
      <c r="D703">
        <f>MONTH(Retail_data[[#This Row],[Order Date]])</f>
        <v>8</v>
      </c>
      <c r="E703" t="str">
        <f>"Q"&amp;ROUNDUP(MONTH(Retail_data[[#This Row],[Order Date]])/3,0)</f>
        <v>Q3</v>
      </c>
      <c r="F703" s="1">
        <v>46623</v>
      </c>
      <c r="G703" s="1">
        <v>46627</v>
      </c>
      <c r="H703" t="s">
        <v>2331</v>
      </c>
      <c r="I703" t="s">
        <v>2332</v>
      </c>
      <c r="J703" t="s">
        <v>33</v>
      </c>
      <c r="K703" t="s">
        <v>22</v>
      </c>
      <c r="L703" t="s">
        <v>67</v>
      </c>
      <c r="M703" t="s">
        <v>68</v>
      </c>
      <c r="N703" t="s">
        <v>69</v>
      </c>
      <c r="O703" t="s">
        <v>26</v>
      </c>
      <c r="P703" t="s">
        <v>27</v>
      </c>
      <c r="Q703" t="s">
        <v>1571</v>
      </c>
      <c r="R703">
        <v>41820.03</v>
      </c>
      <c r="S703">
        <v>3</v>
      </c>
      <c r="T703">
        <v>0.3</v>
      </c>
      <c r="U703" t="str">
        <f>IF(Retail_data[[#This Row],[Sales]]&gt;30000,"High",IF(Retail_data[[#This Row],[Sales]]&gt;10000,"Medium","Low"))</f>
        <v>High</v>
      </c>
      <c r="V703" s="3">
        <f>Retail_data[[#This Row],[Profit]]/Retail_data[[#This Row],[Sales]]</f>
        <v>1.8493052252712396E-2</v>
      </c>
      <c r="W703">
        <v>773.38</v>
      </c>
      <c r="X703" t="s">
        <v>40</v>
      </c>
    </row>
    <row r="704" spans="1:24" ht="13.8" x14ac:dyDescent="0.25">
      <c r="A704" t="s">
        <v>2333</v>
      </c>
      <c r="B704">
        <f>YEAR(Retail_data[[#This Row],[Order Date]])</f>
        <v>2027</v>
      </c>
      <c r="C704" t="str">
        <f>TEXT(Retail_data[[#This Row],[Order Date]],"mmmm")</f>
        <v>August</v>
      </c>
      <c r="D704">
        <f>MONTH(Retail_data[[#This Row],[Order Date]])</f>
        <v>8</v>
      </c>
      <c r="E704" t="str">
        <f>"Q"&amp;ROUNDUP(MONTH(Retail_data[[#This Row],[Order Date]])/3,0)</f>
        <v>Q3</v>
      </c>
      <c r="F704" s="1">
        <v>46624</v>
      </c>
      <c r="G704" s="1">
        <v>46628</v>
      </c>
      <c r="H704" t="s">
        <v>2334</v>
      </c>
      <c r="I704" t="s">
        <v>2335</v>
      </c>
      <c r="J704" t="s">
        <v>44</v>
      </c>
      <c r="K704" t="s">
        <v>22</v>
      </c>
      <c r="L704" t="s">
        <v>85</v>
      </c>
      <c r="M704" t="s">
        <v>86</v>
      </c>
      <c r="N704" t="s">
        <v>87</v>
      </c>
      <c r="O704" t="s">
        <v>26</v>
      </c>
      <c r="P704" t="s">
        <v>70</v>
      </c>
      <c r="Q704" t="s">
        <v>239</v>
      </c>
      <c r="R704">
        <v>6025.3</v>
      </c>
      <c r="S704">
        <v>4</v>
      </c>
      <c r="T704">
        <v>0.1</v>
      </c>
      <c r="U704" t="str">
        <f>IF(Retail_data[[#This Row],[Sales]]&gt;30000,"High",IF(Retail_data[[#This Row],[Sales]]&gt;10000,"Medium","Low"))</f>
        <v>Low</v>
      </c>
      <c r="V704" s="3">
        <f>Retail_data[[#This Row],[Profit]]/Retail_data[[#This Row],[Sales]]</f>
        <v>0.21564071498514595</v>
      </c>
      <c r="W704">
        <v>1299.3</v>
      </c>
      <c r="X704" t="s">
        <v>29</v>
      </c>
    </row>
    <row r="705" spans="1:24" ht="13.8" x14ac:dyDescent="0.25">
      <c r="A705" t="s">
        <v>2336</v>
      </c>
      <c r="B705">
        <f>YEAR(Retail_data[[#This Row],[Order Date]])</f>
        <v>2027</v>
      </c>
      <c r="C705" t="str">
        <f>TEXT(Retail_data[[#This Row],[Order Date]],"mmmm")</f>
        <v>August</v>
      </c>
      <c r="D705">
        <f>MONTH(Retail_data[[#This Row],[Order Date]])</f>
        <v>8</v>
      </c>
      <c r="E705" t="str">
        <f>"Q"&amp;ROUNDUP(MONTH(Retail_data[[#This Row],[Order Date]])/3,0)</f>
        <v>Q3</v>
      </c>
      <c r="F705" s="1">
        <v>46625</v>
      </c>
      <c r="G705" s="1">
        <v>46629</v>
      </c>
      <c r="H705" t="s">
        <v>2337</v>
      </c>
      <c r="I705" t="s">
        <v>2338</v>
      </c>
      <c r="J705" t="s">
        <v>44</v>
      </c>
      <c r="K705" t="s">
        <v>22</v>
      </c>
      <c r="L705" t="s">
        <v>34</v>
      </c>
      <c r="M705" t="s">
        <v>35</v>
      </c>
      <c r="N705" t="s">
        <v>36</v>
      </c>
      <c r="O705" t="s">
        <v>26</v>
      </c>
      <c r="P705" t="s">
        <v>27</v>
      </c>
      <c r="Q705" t="s">
        <v>2339</v>
      </c>
      <c r="R705">
        <v>5977.82</v>
      </c>
      <c r="S705">
        <v>7</v>
      </c>
      <c r="T705">
        <v>0.1</v>
      </c>
      <c r="U705" t="str">
        <f>IF(Retail_data[[#This Row],[Sales]]&gt;30000,"High",IF(Retail_data[[#This Row],[Sales]]&gt;10000,"Medium","Low"))</f>
        <v>Low</v>
      </c>
      <c r="V705" s="3">
        <f>Retail_data[[#This Row],[Profit]]/Retail_data[[#This Row],[Sales]]</f>
        <v>0.20157515616060706</v>
      </c>
      <c r="W705">
        <v>1204.98</v>
      </c>
      <c r="X705" t="s">
        <v>48</v>
      </c>
    </row>
    <row r="706" spans="1:24" ht="13.8" x14ac:dyDescent="0.25">
      <c r="A706" t="s">
        <v>2340</v>
      </c>
      <c r="B706">
        <f>YEAR(Retail_data[[#This Row],[Order Date]])</f>
        <v>2027</v>
      </c>
      <c r="C706" t="str">
        <f>TEXT(Retail_data[[#This Row],[Order Date]],"mmmm")</f>
        <v>August</v>
      </c>
      <c r="D706">
        <f>MONTH(Retail_data[[#This Row],[Order Date]])</f>
        <v>8</v>
      </c>
      <c r="E706" t="str">
        <f>"Q"&amp;ROUNDUP(MONTH(Retail_data[[#This Row],[Order Date]])/3,0)</f>
        <v>Q3</v>
      </c>
      <c r="F706" s="1">
        <v>46626</v>
      </c>
      <c r="G706" s="1">
        <v>46630</v>
      </c>
      <c r="H706" t="s">
        <v>2341</v>
      </c>
      <c r="I706" t="s">
        <v>2342</v>
      </c>
      <c r="J706" t="s">
        <v>21</v>
      </c>
      <c r="K706" t="s">
        <v>22</v>
      </c>
      <c r="L706" t="s">
        <v>85</v>
      </c>
      <c r="M706" t="s">
        <v>86</v>
      </c>
      <c r="N706" t="s">
        <v>87</v>
      </c>
      <c r="O706" t="s">
        <v>26</v>
      </c>
      <c r="P706" t="s">
        <v>70</v>
      </c>
      <c r="Q706" t="s">
        <v>231</v>
      </c>
      <c r="R706">
        <v>28212.31</v>
      </c>
      <c r="S706">
        <v>8</v>
      </c>
      <c r="T706">
        <v>0.3</v>
      </c>
      <c r="U706" t="str">
        <f>IF(Retail_data[[#This Row],[Sales]]&gt;30000,"High",IF(Retail_data[[#This Row],[Sales]]&gt;10000,"Medium","Low"))</f>
        <v>Medium</v>
      </c>
      <c r="V706" s="3">
        <f>Retail_data[[#This Row],[Profit]]/Retail_data[[#This Row],[Sales]]</f>
        <v>8.0834217403679451E-2</v>
      </c>
      <c r="W706">
        <v>2280.52</v>
      </c>
      <c r="X706" t="s">
        <v>48</v>
      </c>
    </row>
    <row r="707" spans="1:24" ht="13.8" x14ac:dyDescent="0.25">
      <c r="A707" t="s">
        <v>2343</v>
      </c>
      <c r="B707">
        <f>YEAR(Retail_data[[#This Row],[Order Date]])</f>
        <v>2027</v>
      </c>
      <c r="C707" t="str">
        <f>TEXT(Retail_data[[#This Row],[Order Date]],"mmmm")</f>
        <v>August</v>
      </c>
      <c r="D707">
        <f>MONTH(Retail_data[[#This Row],[Order Date]])</f>
        <v>8</v>
      </c>
      <c r="E707" t="str">
        <f>"Q"&amp;ROUNDUP(MONTH(Retail_data[[#This Row],[Order Date]])/3,0)</f>
        <v>Q3</v>
      </c>
      <c r="F707" s="1">
        <v>46627</v>
      </c>
      <c r="G707" s="1">
        <v>46631</v>
      </c>
      <c r="H707" t="s">
        <v>2344</v>
      </c>
      <c r="I707" t="s">
        <v>2345</v>
      </c>
      <c r="J707" t="s">
        <v>21</v>
      </c>
      <c r="K707" t="s">
        <v>22</v>
      </c>
      <c r="L707" t="s">
        <v>67</v>
      </c>
      <c r="M707" t="s">
        <v>68</v>
      </c>
      <c r="N707" t="s">
        <v>69</v>
      </c>
      <c r="O707" t="s">
        <v>57</v>
      </c>
      <c r="P707" t="s">
        <v>58</v>
      </c>
      <c r="Q707" t="s">
        <v>549</v>
      </c>
      <c r="R707">
        <v>19561.509999999998</v>
      </c>
      <c r="S707">
        <v>3</v>
      </c>
      <c r="T707">
        <v>0.2</v>
      </c>
      <c r="U707" t="str">
        <f>IF(Retail_data[[#This Row],[Sales]]&gt;30000,"High",IF(Retail_data[[#This Row],[Sales]]&gt;10000,"Medium","Low"))</f>
        <v>Medium</v>
      </c>
      <c r="V707" s="3">
        <f>Retail_data[[#This Row],[Profit]]/Retail_data[[#This Row],[Sales]]</f>
        <v>0.15748886461218997</v>
      </c>
      <c r="W707">
        <v>3080.72</v>
      </c>
      <c r="X707" t="s">
        <v>29</v>
      </c>
    </row>
    <row r="708" spans="1:24" ht="13.8" x14ac:dyDescent="0.25">
      <c r="A708" t="s">
        <v>2346</v>
      </c>
      <c r="B708">
        <f>YEAR(Retail_data[[#This Row],[Order Date]])</f>
        <v>2027</v>
      </c>
      <c r="C708" t="str">
        <f>TEXT(Retail_data[[#This Row],[Order Date]],"mmmm")</f>
        <v>August</v>
      </c>
      <c r="D708">
        <f>MONTH(Retail_data[[#This Row],[Order Date]])</f>
        <v>8</v>
      </c>
      <c r="E708" t="str">
        <f>"Q"&amp;ROUNDUP(MONTH(Retail_data[[#This Row],[Order Date]])/3,0)</f>
        <v>Q3</v>
      </c>
      <c r="F708" s="1">
        <v>46628</v>
      </c>
      <c r="G708" s="1">
        <v>46632</v>
      </c>
      <c r="H708" t="s">
        <v>2347</v>
      </c>
      <c r="I708" t="s">
        <v>2348</v>
      </c>
      <c r="J708" t="s">
        <v>21</v>
      </c>
      <c r="K708" t="s">
        <v>22</v>
      </c>
      <c r="L708" t="s">
        <v>23</v>
      </c>
      <c r="M708" t="s">
        <v>24</v>
      </c>
      <c r="N708" t="s">
        <v>25</v>
      </c>
      <c r="O708" t="s">
        <v>37</v>
      </c>
      <c r="P708" t="s">
        <v>46</v>
      </c>
      <c r="Q708" t="s">
        <v>105</v>
      </c>
      <c r="R708">
        <v>14568.73</v>
      </c>
      <c r="S708">
        <v>1</v>
      </c>
      <c r="T708">
        <v>0.2</v>
      </c>
      <c r="U708" t="str">
        <f>IF(Retail_data[[#This Row],[Sales]]&gt;30000,"High",IF(Retail_data[[#This Row],[Sales]]&gt;10000,"Medium","Low"))</f>
        <v>Medium</v>
      </c>
      <c r="V708" s="3">
        <f>Retail_data[[#This Row],[Profit]]/Retail_data[[#This Row],[Sales]]</f>
        <v>8.58530565121325E-2</v>
      </c>
      <c r="W708">
        <v>1250.77</v>
      </c>
      <c r="X708" t="s">
        <v>48</v>
      </c>
    </row>
    <row r="709" spans="1:24" ht="13.8" x14ac:dyDescent="0.25">
      <c r="A709" t="s">
        <v>2349</v>
      </c>
      <c r="B709">
        <f>YEAR(Retail_data[[#This Row],[Order Date]])</f>
        <v>2027</v>
      </c>
      <c r="C709" t="str">
        <f>TEXT(Retail_data[[#This Row],[Order Date]],"mmmm")</f>
        <v>August</v>
      </c>
      <c r="D709">
        <f>MONTH(Retail_data[[#This Row],[Order Date]])</f>
        <v>8</v>
      </c>
      <c r="E709" t="str">
        <f>"Q"&amp;ROUNDUP(MONTH(Retail_data[[#This Row],[Order Date]])/3,0)</f>
        <v>Q3</v>
      </c>
      <c r="F709" s="1">
        <v>46629</v>
      </c>
      <c r="G709" s="1">
        <v>46633</v>
      </c>
      <c r="H709" t="s">
        <v>2350</v>
      </c>
      <c r="I709" t="s">
        <v>2351</v>
      </c>
      <c r="J709" t="s">
        <v>21</v>
      </c>
      <c r="K709" t="s">
        <v>22</v>
      </c>
      <c r="L709" t="s">
        <v>34</v>
      </c>
      <c r="M709" t="s">
        <v>35</v>
      </c>
      <c r="N709" t="s">
        <v>36</v>
      </c>
      <c r="O709" t="s">
        <v>26</v>
      </c>
      <c r="P709" t="s">
        <v>92</v>
      </c>
      <c r="Q709" t="s">
        <v>93</v>
      </c>
      <c r="R709">
        <v>11179.94</v>
      </c>
      <c r="S709">
        <v>1</v>
      </c>
      <c r="T709">
        <v>0.2</v>
      </c>
      <c r="U709" t="str">
        <f>IF(Retail_data[[#This Row],[Sales]]&gt;30000,"High",IF(Retail_data[[#This Row],[Sales]]&gt;10000,"Medium","Low"))</f>
        <v>Medium</v>
      </c>
      <c r="V709" s="3">
        <f>Retail_data[[#This Row],[Profit]]/Retail_data[[#This Row],[Sales]]</f>
        <v>1.4289879909910069E-2</v>
      </c>
      <c r="W709">
        <v>159.76</v>
      </c>
      <c r="X709" t="s">
        <v>48</v>
      </c>
    </row>
    <row r="710" spans="1:24" ht="13.8" x14ac:dyDescent="0.25">
      <c r="A710" t="s">
        <v>2352</v>
      </c>
      <c r="B710">
        <f>YEAR(Retail_data[[#This Row],[Order Date]])</f>
        <v>2027</v>
      </c>
      <c r="C710" t="str">
        <f>TEXT(Retail_data[[#This Row],[Order Date]],"mmmm")</f>
        <v>August</v>
      </c>
      <c r="D710">
        <f>MONTH(Retail_data[[#This Row],[Order Date]])</f>
        <v>8</v>
      </c>
      <c r="E710" t="str">
        <f>"Q"&amp;ROUNDUP(MONTH(Retail_data[[#This Row],[Order Date]])/3,0)</f>
        <v>Q3</v>
      </c>
      <c r="F710" s="1">
        <v>46630</v>
      </c>
      <c r="G710" s="1">
        <v>46634</v>
      </c>
      <c r="H710" t="s">
        <v>2353</v>
      </c>
      <c r="I710" t="s">
        <v>2354</v>
      </c>
      <c r="J710" t="s">
        <v>21</v>
      </c>
      <c r="K710" t="s">
        <v>22</v>
      </c>
      <c r="L710" t="s">
        <v>67</v>
      </c>
      <c r="M710" t="s">
        <v>68</v>
      </c>
      <c r="N710" t="s">
        <v>69</v>
      </c>
      <c r="O710" t="s">
        <v>57</v>
      </c>
      <c r="P710" t="s">
        <v>58</v>
      </c>
      <c r="Q710" t="s">
        <v>481</v>
      </c>
      <c r="R710">
        <v>26075.81</v>
      </c>
      <c r="S710">
        <v>5</v>
      </c>
      <c r="T710">
        <v>0.1</v>
      </c>
      <c r="U710" t="str">
        <f>IF(Retail_data[[#This Row],[Sales]]&gt;30000,"High",IF(Retail_data[[#This Row],[Sales]]&gt;10000,"Medium","Low"))</f>
        <v>Medium</v>
      </c>
      <c r="V710" s="3">
        <f>Retail_data[[#This Row],[Profit]]/Retail_data[[#This Row],[Sales]]</f>
        <v>0.14550995731292718</v>
      </c>
      <c r="W710">
        <v>3794.29</v>
      </c>
      <c r="X710" t="s">
        <v>81</v>
      </c>
    </row>
    <row r="711" spans="1:24" ht="13.8" x14ac:dyDescent="0.25">
      <c r="A711" t="s">
        <v>2355</v>
      </c>
      <c r="B711">
        <f>YEAR(Retail_data[[#This Row],[Order Date]])</f>
        <v>2027</v>
      </c>
      <c r="C711" t="str">
        <f>TEXT(Retail_data[[#This Row],[Order Date]],"mmmm")</f>
        <v>September</v>
      </c>
      <c r="D711">
        <f>MONTH(Retail_data[[#This Row],[Order Date]])</f>
        <v>9</v>
      </c>
      <c r="E711" t="str">
        <f>"Q"&amp;ROUNDUP(MONTH(Retail_data[[#This Row],[Order Date]])/3,0)</f>
        <v>Q3</v>
      </c>
      <c r="F711" s="1">
        <v>46631</v>
      </c>
      <c r="G711" s="1">
        <v>46635</v>
      </c>
      <c r="H711" t="s">
        <v>2356</v>
      </c>
      <c r="I711" t="s">
        <v>2357</v>
      </c>
      <c r="J711" t="s">
        <v>33</v>
      </c>
      <c r="K711" t="s">
        <v>22</v>
      </c>
      <c r="L711" t="s">
        <v>67</v>
      </c>
      <c r="M711" t="s">
        <v>68</v>
      </c>
      <c r="N711" t="s">
        <v>69</v>
      </c>
      <c r="O711" t="s">
        <v>57</v>
      </c>
      <c r="P711" t="s">
        <v>79</v>
      </c>
      <c r="Q711" t="s">
        <v>351</v>
      </c>
      <c r="R711">
        <v>1920.51</v>
      </c>
      <c r="S711">
        <v>2</v>
      </c>
      <c r="T711">
        <v>0</v>
      </c>
      <c r="U711" t="str">
        <f>IF(Retail_data[[#This Row],[Sales]]&gt;30000,"High",IF(Retail_data[[#This Row],[Sales]]&gt;10000,"Medium","Low"))</f>
        <v>Low</v>
      </c>
      <c r="V711" s="3">
        <f>Retail_data[[#This Row],[Profit]]/Retail_data[[#This Row],[Sales]]</f>
        <v>0.21998844057047348</v>
      </c>
      <c r="W711">
        <v>422.49</v>
      </c>
      <c r="X711" t="s">
        <v>48</v>
      </c>
    </row>
    <row r="712" spans="1:24" ht="13.8" x14ac:dyDescent="0.25">
      <c r="A712" t="s">
        <v>2358</v>
      </c>
      <c r="B712">
        <f>YEAR(Retail_data[[#This Row],[Order Date]])</f>
        <v>2027</v>
      </c>
      <c r="C712" t="str">
        <f>TEXT(Retail_data[[#This Row],[Order Date]],"mmmm")</f>
        <v>September</v>
      </c>
      <c r="D712">
        <f>MONTH(Retail_data[[#This Row],[Order Date]])</f>
        <v>9</v>
      </c>
      <c r="E712" t="str">
        <f>"Q"&amp;ROUNDUP(MONTH(Retail_data[[#This Row],[Order Date]])/3,0)</f>
        <v>Q3</v>
      </c>
      <c r="F712" s="1">
        <v>46632</v>
      </c>
      <c r="G712" s="1">
        <v>46636</v>
      </c>
      <c r="H712" t="s">
        <v>2359</v>
      </c>
      <c r="I712" t="s">
        <v>2360</v>
      </c>
      <c r="J712" t="s">
        <v>21</v>
      </c>
      <c r="K712" t="s">
        <v>22</v>
      </c>
      <c r="L712" t="s">
        <v>34</v>
      </c>
      <c r="M712" t="s">
        <v>35</v>
      </c>
      <c r="N712" t="s">
        <v>36</v>
      </c>
      <c r="O712" t="s">
        <v>37</v>
      </c>
      <c r="P712" t="s">
        <v>52</v>
      </c>
      <c r="Q712" t="s">
        <v>358</v>
      </c>
      <c r="R712">
        <v>45963.02</v>
      </c>
      <c r="S712">
        <v>1</v>
      </c>
      <c r="T712">
        <v>0.3</v>
      </c>
      <c r="U712" t="str">
        <f>IF(Retail_data[[#This Row],[Sales]]&gt;30000,"High",IF(Retail_data[[#This Row],[Sales]]&gt;10000,"Medium","Low"))</f>
        <v>High</v>
      </c>
      <c r="V712" s="3">
        <f>Retail_data[[#This Row],[Profit]]/Retail_data[[#This Row],[Sales]]</f>
        <v>5.7921781466927114E-2</v>
      </c>
      <c r="W712">
        <v>2662.26</v>
      </c>
      <c r="X712" t="s">
        <v>48</v>
      </c>
    </row>
    <row r="713" spans="1:24" ht="13.8" x14ac:dyDescent="0.25">
      <c r="A713" t="s">
        <v>2361</v>
      </c>
      <c r="B713">
        <f>YEAR(Retail_data[[#This Row],[Order Date]])</f>
        <v>2027</v>
      </c>
      <c r="C713" t="str">
        <f>TEXT(Retail_data[[#This Row],[Order Date]],"mmmm")</f>
        <v>September</v>
      </c>
      <c r="D713">
        <f>MONTH(Retail_data[[#This Row],[Order Date]])</f>
        <v>9</v>
      </c>
      <c r="E713" t="str">
        <f>"Q"&amp;ROUNDUP(MONTH(Retail_data[[#This Row],[Order Date]])/3,0)</f>
        <v>Q3</v>
      </c>
      <c r="F713" s="1">
        <v>46633</v>
      </c>
      <c r="G713" s="1">
        <v>46637</v>
      </c>
      <c r="H713" t="s">
        <v>2362</v>
      </c>
      <c r="I713" t="s">
        <v>2363</v>
      </c>
      <c r="J713" t="s">
        <v>44</v>
      </c>
      <c r="K713" t="s">
        <v>22</v>
      </c>
      <c r="L713" t="s">
        <v>23</v>
      </c>
      <c r="M713" t="s">
        <v>24</v>
      </c>
      <c r="N713" t="s">
        <v>25</v>
      </c>
      <c r="O713" t="s">
        <v>57</v>
      </c>
      <c r="P713" t="s">
        <v>149</v>
      </c>
      <c r="Q713" t="s">
        <v>835</v>
      </c>
      <c r="R713">
        <v>34067.43</v>
      </c>
      <c r="S713">
        <v>7</v>
      </c>
      <c r="T713">
        <v>0.3</v>
      </c>
      <c r="U713" t="str">
        <f>IF(Retail_data[[#This Row],[Sales]]&gt;30000,"High",IF(Retail_data[[#This Row],[Sales]]&gt;10000,"Medium","Low"))</f>
        <v>High</v>
      </c>
      <c r="V713" s="3">
        <f>Retail_data[[#This Row],[Profit]]/Retail_data[[#This Row],[Sales]]</f>
        <v>-5.5912347952281692E-2</v>
      </c>
      <c r="W713">
        <v>-1904.79</v>
      </c>
      <c r="X713" t="s">
        <v>48</v>
      </c>
    </row>
    <row r="714" spans="1:24" ht="13.8" x14ac:dyDescent="0.25">
      <c r="A714" t="s">
        <v>2364</v>
      </c>
      <c r="B714">
        <f>YEAR(Retail_data[[#This Row],[Order Date]])</f>
        <v>2027</v>
      </c>
      <c r="C714" t="str">
        <f>TEXT(Retail_data[[#This Row],[Order Date]],"mmmm")</f>
        <v>September</v>
      </c>
      <c r="D714">
        <f>MONTH(Retail_data[[#This Row],[Order Date]])</f>
        <v>9</v>
      </c>
      <c r="E714" t="str">
        <f>"Q"&amp;ROUNDUP(MONTH(Retail_data[[#This Row],[Order Date]])/3,0)</f>
        <v>Q3</v>
      </c>
      <c r="F714" s="1">
        <v>46634</v>
      </c>
      <c r="G714" s="1">
        <v>46638</v>
      </c>
      <c r="H714" t="s">
        <v>2365</v>
      </c>
      <c r="I714" t="s">
        <v>2366</v>
      </c>
      <c r="J714" t="s">
        <v>21</v>
      </c>
      <c r="K714" t="s">
        <v>22</v>
      </c>
      <c r="L714" t="s">
        <v>45</v>
      </c>
      <c r="M714" t="s">
        <v>45</v>
      </c>
      <c r="N714" t="s">
        <v>25</v>
      </c>
      <c r="O714" t="s">
        <v>57</v>
      </c>
      <c r="P714" t="s">
        <v>79</v>
      </c>
      <c r="Q714" t="s">
        <v>645</v>
      </c>
      <c r="R714">
        <v>25897.49</v>
      </c>
      <c r="S714">
        <v>3</v>
      </c>
      <c r="T714">
        <v>0</v>
      </c>
      <c r="U714" t="str">
        <f>IF(Retail_data[[#This Row],[Sales]]&gt;30000,"High",IF(Retail_data[[#This Row],[Sales]]&gt;10000,"Medium","Low"))</f>
        <v>Medium</v>
      </c>
      <c r="V714" s="3">
        <f>Retail_data[[#This Row],[Profit]]/Retail_data[[#This Row],[Sales]]</f>
        <v>0.12655705244021717</v>
      </c>
      <c r="W714">
        <v>3277.51</v>
      </c>
      <c r="X714" t="s">
        <v>48</v>
      </c>
    </row>
    <row r="715" spans="1:24" ht="13.8" x14ac:dyDescent="0.25">
      <c r="A715" t="s">
        <v>2367</v>
      </c>
      <c r="B715">
        <f>YEAR(Retail_data[[#This Row],[Order Date]])</f>
        <v>2027</v>
      </c>
      <c r="C715" t="str">
        <f>TEXT(Retail_data[[#This Row],[Order Date]],"mmmm")</f>
        <v>September</v>
      </c>
      <c r="D715">
        <f>MONTH(Retail_data[[#This Row],[Order Date]])</f>
        <v>9</v>
      </c>
      <c r="E715" t="str">
        <f>"Q"&amp;ROUNDUP(MONTH(Retail_data[[#This Row],[Order Date]])/3,0)</f>
        <v>Q3</v>
      </c>
      <c r="F715" s="1">
        <v>46635</v>
      </c>
      <c r="G715" s="1">
        <v>46639</v>
      </c>
      <c r="H715" t="s">
        <v>2368</v>
      </c>
      <c r="I715" t="s">
        <v>2369</v>
      </c>
      <c r="J715" t="s">
        <v>21</v>
      </c>
      <c r="K715" t="s">
        <v>22</v>
      </c>
      <c r="L715" t="s">
        <v>45</v>
      </c>
      <c r="M715" t="s">
        <v>45</v>
      </c>
      <c r="N715" t="s">
        <v>25</v>
      </c>
      <c r="O715" t="s">
        <v>57</v>
      </c>
      <c r="P715" t="s">
        <v>79</v>
      </c>
      <c r="Q715" t="s">
        <v>824</v>
      </c>
      <c r="R715">
        <v>22299.42</v>
      </c>
      <c r="S715">
        <v>7</v>
      </c>
      <c r="T715">
        <v>0.2</v>
      </c>
      <c r="U715" t="str">
        <f>IF(Retail_data[[#This Row],[Sales]]&gt;30000,"High",IF(Retail_data[[#This Row],[Sales]]&gt;10000,"Medium","Low"))</f>
        <v>Medium</v>
      </c>
      <c r="V715" s="3">
        <f>Retail_data[[#This Row],[Profit]]/Retail_data[[#This Row],[Sales]]</f>
        <v>0.18050110720368515</v>
      </c>
      <c r="W715">
        <v>4025.07</v>
      </c>
      <c r="X715" t="s">
        <v>81</v>
      </c>
    </row>
    <row r="716" spans="1:24" ht="13.8" x14ac:dyDescent="0.25">
      <c r="A716" t="s">
        <v>2370</v>
      </c>
      <c r="B716">
        <f>YEAR(Retail_data[[#This Row],[Order Date]])</f>
        <v>2027</v>
      </c>
      <c r="C716" t="str">
        <f>TEXT(Retail_data[[#This Row],[Order Date]],"mmmm")</f>
        <v>September</v>
      </c>
      <c r="D716">
        <f>MONTH(Retail_data[[#This Row],[Order Date]])</f>
        <v>9</v>
      </c>
      <c r="E716" t="str">
        <f>"Q"&amp;ROUNDUP(MONTH(Retail_data[[#This Row],[Order Date]])/3,0)</f>
        <v>Q3</v>
      </c>
      <c r="F716" s="1">
        <v>46636</v>
      </c>
      <c r="G716" s="1">
        <v>46640</v>
      </c>
      <c r="H716" t="s">
        <v>2371</v>
      </c>
      <c r="I716" t="s">
        <v>2372</v>
      </c>
      <c r="J716" t="s">
        <v>33</v>
      </c>
      <c r="K716" t="s">
        <v>22</v>
      </c>
      <c r="L716" t="s">
        <v>67</v>
      </c>
      <c r="M716" t="s">
        <v>68</v>
      </c>
      <c r="N716" t="s">
        <v>69</v>
      </c>
      <c r="O716" t="s">
        <v>26</v>
      </c>
      <c r="P716" t="s">
        <v>92</v>
      </c>
      <c r="Q716" t="s">
        <v>831</v>
      </c>
      <c r="R716">
        <v>22165.4</v>
      </c>
      <c r="S716">
        <v>6</v>
      </c>
      <c r="T716">
        <v>0.1</v>
      </c>
      <c r="U716" t="str">
        <f>IF(Retail_data[[#This Row],[Sales]]&gt;30000,"High",IF(Retail_data[[#This Row],[Sales]]&gt;10000,"Medium","Low"))</f>
        <v>Medium</v>
      </c>
      <c r="V716" s="3">
        <f>Retail_data[[#This Row],[Profit]]/Retail_data[[#This Row],[Sales]]</f>
        <v>4.8676766491919841E-2</v>
      </c>
      <c r="W716">
        <v>1078.94</v>
      </c>
      <c r="X716" t="s">
        <v>40</v>
      </c>
    </row>
    <row r="717" spans="1:24" ht="13.8" x14ac:dyDescent="0.25">
      <c r="A717" t="s">
        <v>2373</v>
      </c>
      <c r="B717">
        <f>YEAR(Retail_data[[#This Row],[Order Date]])</f>
        <v>2027</v>
      </c>
      <c r="C717" t="str">
        <f>TEXT(Retail_data[[#This Row],[Order Date]],"mmmm")</f>
        <v>September</v>
      </c>
      <c r="D717">
        <f>MONTH(Retail_data[[#This Row],[Order Date]])</f>
        <v>9</v>
      </c>
      <c r="E717" t="str">
        <f>"Q"&amp;ROUNDUP(MONTH(Retail_data[[#This Row],[Order Date]])/3,0)</f>
        <v>Q3</v>
      </c>
      <c r="F717" s="1">
        <v>46637</v>
      </c>
      <c r="G717" s="1">
        <v>46641</v>
      </c>
      <c r="H717" t="s">
        <v>2374</v>
      </c>
      <c r="I717" t="s">
        <v>2375</v>
      </c>
      <c r="J717" t="s">
        <v>44</v>
      </c>
      <c r="K717" t="s">
        <v>22</v>
      </c>
      <c r="L717" t="s">
        <v>67</v>
      </c>
      <c r="M717" t="s">
        <v>68</v>
      </c>
      <c r="N717" t="s">
        <v>69</v>
      </c>
      <c r="O717" t="s">
        <v>57</v>
      </c>
      <c r="P717" t="s">
        <v>149</v>
      </c>
      <c r="Q717" t="s">
        <v>681</v>
      </c>
      <c r="R717">
        <v>37638.06</v>
      </c>
      <c r="S717">
        <v>2</v>
      </c>
      <c r="T717">
        <v>0.2</v>
      </c>
      <c r="U717" t="str">
        <f>IF(Retail_data[[#This Row],[Sales]]&gt;30000,"High",IF(Retail_data[[#This Row],[Sales]]&gt;10000,"Medium","Low"))</f>
        <v>High</v>
      </c>
      <c r="V717" s="3">
        <f>Retail_data[[#This Row],[Profit]]/Retail_data[[#This Row],[Sales]]</f>
        <v>2.782343191971106E-2</v>
      </c>
      <c r="W717">
        <v>1047.22</v>
      </c>
      <c r="X717" t="s">
        <v>81</v>
      </c>
    </row>
    <row r="718" spans="1:24" ht="13.8" x14ac:dyDescent="0.25">
      <c r="A718" t="s">
        <v>2376</v>
      </c>
      <c r="B718">
        <f>YEAR(Retail_data[[#This Row],[Order Date]])</f>
        <v>2027</v>
      </c>
      <c r="C718" t="str">
        <f>TEXT(Retail_data[[#This Row],[Order Date]],"mmmm")</f>
        <v>September</v>
      </c>
      <c r="D718">
        <f>MONTH(Retail_data[[#This Row],[Order Date]])</f>
        <v>9</v>
      </c>
      <c r="E718" t="str">
        <f>"Q"&amp;ROUNDUP(MONTH(Retail_data[[#This Row],[Order Date]])/3,0)</f>
        <v>Q3</v>
      </c>
      <c r="F718" s="1">
        <v>46638</v>
      </c>
      <c r="G718" s="1">
        <v>46642</v>
      </c>
      <c r="H718" t="s">
        <v>2377</v>
      </c>
      <c r="I718" t="s">
        <v>2378</v>
      </c>
      <c r="J718" t="s">
        <v>21</v>
      </c>
      <c r="K718" t="s">
        <v>22</v>
      </c>
      <c r="L718" t="s">
        <v>23</v>
      </c>
      <c r="M718" t="s">
        <v>24</v>
      </c>
      <c r="N718" t="s">
        <v>25</v>
      </c>
      <c r="O718" t="s">
        <v>37</v>
      </c>
      <c r="P718" t="s">
        <v>46</v>
      </c>
      <c r="Q718" t="s">
        <v>172</v>
      </c>
      <c r="R718">
        <v>14117.79</v>
      </c>
      <c r="S718">
        <v>1</v>
      </c>
      <c r="T718">
        <v>0</v>
      </c>
      <c r="U718" t="str">
        <f>IF(Retail_data[[#This Row],[Sales]]&gt;30000,"High",IF(Retail_data[[#This Row],[Sales]]&gt;10000,"Medium","Low"))</f>
        <v>Medium</v>
      </c>
      <c r="V718" s="3">
        <f>Retail_data[[#This Row],[Profit]]/Retail_data[[#This Row],[Sales]]</f>
        <v>0.12328841837143065</v>
      </c>
      <c r="W718">
        <v>1740.56</v>
      </c>
      <c r="X718" t="s">
        <v>48</v>
      </c>
    </row>
    <row r="719" spans="1:24" ht="13.8" x14ac:dyDescent="0.25">
      <c r="A719" t="s">
        <v>2379</v>
      </c>
      <c r="B719">
        <f>YEAR(Retail_data[[#This Row],[Order Date]])</f>
        <v>2027</v>
      </c>
      <c r="C719" t="str">
        <f>TEXT(Retail_data[[#This Row],[Order Date]],"mmmm")</f>
        <v>September</v>
      </c>
      <c r="D719">
        <f>MONTH(Retail_data[[#This Row],[Order Date]])</f>
        <v>9</v>
      </c>
      <c r="E719" t="str">
        <f>"Q"&amp;ROUNDUP(MONTH(Retail_data[[#This Row],[Order Date]])/3,0)</f>
        <v>Q3</v>
      </c>
      <c r="F719" s="1">
        <v>46639</v>
      </c>
      <c r="G719" s="1">
        <v>46643</v>
      </c>
      <c r="H719" t="s">
        <v>2380</v>
      </c>
      <c r="I719" t="s">
        <v>2381</v>
      </c>
      <c r="J719" t="s">
        <v>44</v>
      </c>
      <c r="K719" t="s">
        <v>22</v>
      </c>
      <c r="L719" t="s">
        <v>45</v>
      </c>
      <c r="M719" t="s">
        <v>45</v>
      </c>
      <c r="N719" t="s">
        <v>25</v>
      </c>
      <c r="O719" t="s">
        <v>26</v>
      </c>
      <c r="P719" t="s">
        <v>70</v>
      </c>
      <c r="Q719" t="s">
        <v>677</v>
      </c>
      <c r="R719">
        <v>23181.85</v>
      </c>
      <c r="S719">
        <v>7</v>
      </c>
      <c r="T719">
        <v>0.2</v>
      </c>
      <c r="U719" t="str">
        <f>IF(Retail_data[[#This Row],[Sales]]&gt;30000,"High",IF(Retail_data[[#This Row],[Sales]]&gt;10000,"Medium","Low"))</f>
        <v>Medium</v>
      </c>
      <c r="V719" s="3">
        <f>Retail_data[[#This Row],[Profit]]/Retail_data[[#This Row],[Sales]]</f>
        <v>0.19259550035911718</v>
      </c>
      <c r="W719">
        <v>4464.72</v>
      </c>
      <c r="X719" t="s">
        <v>40</v>
      </c>
    </row>
    <row r="720" spans="1:24" ht="13.8" x14ac:dyDescent="0.25">
      <c r="A720" t="s">
        <v>2382</v>
      </c>
      <c r="B720">
        <f>YEAR(Retail_data[[#This Row],[Order Date]])</f>
        <v>2027</v>
      </c>
      <c r="C720" t="str">
        <f>TEXT(Retail_data[[#This Row],[Order Date]],"mmmm")</f>
        <v>September</v>
      </c>
      <c r="D720">
        <f>MONTH(Retail_data[[#This Row],[Order Date]])</f>
        <v>9</v>
      </c>
      <c r="E720" t="str">
        <f>"Q"&amp;ROUNDUP(MONTH(Retail_data[[#This Row],[Order Date]])/3,0)</f>
        <v>Q3</v>
      </c>
      <c r="F720" s="1">
        <v>46640</v>
      </c>
      <c r="G720" s="1">
        <v>46644</v>
      </c>
      <c r="H720" t="s">
        <v>2383</v>
      </c>
      <c r="I720" t="s">
        <v>2384</v>
      </c>
      <c r="J720" t="s">
        <v>33</v>
      </c>
      <c r="K720" t="s">
        <v>22</v>
      </c>
      <c r="L720" t="s">
        <v>85</v>
      </c>
      <c r="M720" t="s">
        <v>86</v>
      </c>
      <c r="N720" t="s">
        <v>87</v>
      </c>
      <c r="O720" t="s">
        <v>26</v>
      </c>
      <c r="P720" t="s">
        <v>92</v>
      </c>
      <c r="Q720" t="s">
        <v>235</v>
      </c>
      <c r="R720">
        <v>10240.35</v>
      </c>
      <c r="S720">
        <v>1</v>
      </c>
      <c r="T720">
        <v>0.2</v>
      </c>
      <c r="U720" t="str">
        <f>IF(Retail_data[[#This Row],[Sales]]&gt;30000,"High",IF(Retail_data[[#This Row],[Sales]]&gt;10000,"Medium","Low"))</f>
        <v>Medium</v>
      </c>
      <c r="V720" s="3">
        <f>Retail_data[[#This Row],[Profit]]/Retail_data[[#This Row],[Sales]]</f>
        <v>0.1037864916726479</v>
      </c>
      <c r="W720">
        <v>1062.81</v>
      </c>
      <c r="X720" t="s">
        <v>40</v>
      </c>
    </row>
    <row r="721" spans="1:24" ht="13.8" x14ac:dyDescent="0.25">
      <c r="A721" t="s">
        <v>2385</v>
      </c>
      <c r="B721">
        <f>YEAR(Retail_data[[#This Row],[Order Date]])</f>
        <v>2027</v>
      </c>
      <c r="C721" t="str">
        <f>TEXT(Retail_data[[#This Row],[Order Date]],"mmmm")</f>
        <v>September</v>
      </c>
      <c r="D721">
        <f>MONTH(Retail_data[[#This Row],[Order Date]])</f>
        <v>9</v>
      </c>
      <c r="E721" t="str">
        <f>"Q"&amp;ROUNDUP(MONTH(Retail_data[[#This Row],[Order Date]])/3,0)</f>
        <v>Q3</v>
      </c>
      <c r="F721" s="1">
        <v>46641</v>
      </c>
      <c r="G721" s="1">
        <v>46645</v>
      </c>
      <c r="H721" t="s">
        <v>2386</v>
      </c>
      <c r="I721" t="s">
        <v>2387</v>
      </c>
      <c r="J721" t="s">
        <v>44</v>
      </c>
      <c r="K721" t="s">
        <v>22</v>
      </c>
      <c r="L721" t="s">
        <v>45</v>
      </c>
      <c r="M721" t="s">
        <v>45</v>
      </c>
      <c r="N721" t="s">
        <v>25</v>
      </c>
      <c r="O721" t="s">
        <v>57</v>
      </c>
      <c r="P721" t="s">
        <v>58</v>
      </c>
      <c r="Q721" t="s">
        <v>1093</v>
      </c>
      <c r="R721">
        <v>1639.64</v>
      </c>
      <c r="S721">
        <v>8</v>
      </c>
      <c r="T721">
        <v>0.2</v>
      </c>
      <c r="U721" t="str">
        <f>IF(Retail_data[[#This Row],[Sales]]&gt;30000,"High",IF(Retail_data[[#This Row],[Sales]]&gt;10000,"Medium","Low"))</f>
        <v>Low</v>
      </c>
      <c r="V721" s="3">
        <f>Retail_data[[#This Row],[Profit]]/Retail_data[[#This Row],[Sales]]</f>
        <v>6.626454587592398E-2</v>
      </c>
      <c r="W721">
        <v>108.65</v>
      </c>
      <c r="X721" t="s">
        <v>40</v>
      </c>
    </row>
    <row r="722" spans="1:24" ht="13.8" x14ac:dyDescent="0.25">
      <c r="A722" t="s">
        <v>2388</v>
      </c>
      <c r="B722">
        <f>YEAR(Retail_data[[#This Row],[Order Date]])</f>
        <v>2027</v>
      </c>
      <c r="C722" t="str">
        <f>TEXT(Retail_data[[#This Row],[Order Date]],"mmmm")</f>
        <v>September</v>
      </c>
      <c r="D722">
        <f>MONTH(Retail_data[[#This Row],[Order Date]])</f>
        <v>9</v>
      </c>
      <c r="E722" t="str">
        <f>"Q"&amp;ROUNDUP(MONTH(Retail_data[[#This Row],[Order Date]])/3,0)</f>
        <v>Q3</v>
      </c>
      <c r="F722" s="1">
        <v>46642</v>
      </c>
      <c r="G722" s="1">
        <v>46646</v>
      </c>
      <c r="H722" t="s">
        <v>2389</v>
      </c>
      <c r="I722" t="s">
        <v>2390</v>
      </c>
      <c r="J722" t="s">
        <v>21</v>
      </c>
      <c r="K722" t="s">
        <v>22</v>
      </c>
      <c r="L722" t="s">
        <v>23</v>
      </c>
      <c r="M722" t="s">
        <v>24</v>
      </c>
      <c r="N722" t="s">
        <v>25</v>
      </c>
      <c r="O722" t="s">
        <v>26</v>
      </c>
      <c r="P722" t="s">
        <v>70</v>
      </c>
      <c r="Q722" t="s">
        <v>994</v>
      </c>
      <c r="R722">
        <v>12777.85</v>
      </c>
      <c r="S722">
        <v>6</v>
      </c>
      <c r="T722">
        <v>0.1</v>
      </c>
      <c r="U722" t="str">
        <f>IF(Retail_data[[#This Row],[Sales]]&gt;30000,"High",IF(Retail_data[[#This Row],[Sales]]&gt;10000,"Medium","Low"))</f>
        <v>Medium</v>
      </c>
      <c r="V722" s="3">
        <f>Retail_data[[#This Row],[Profit]]/Retail_data[[#This Row],[Sales]]</f>
        <v>2.2391090832964859E-2</v>
      </c>
      <c r="W722">
        <v>286.11</v>
      </c>
      <c r="X722" t="s">
        <v>81</v>
      </c>
    </row>
    <row r="723" spans="1:24" ht="13.8" x14ac:dyDescent="0.25">
      <c r="A723" t="s">
        <v>2391</v>
      </c>
      <c r="B723">
        <f>YEAR(Retail_data[[#This Row],[Order Date]])</f>
        <v>2027</v>
      </c>
      <c r="C723" t="str">
        <f>TEXT(Retail_data[[#This Row],[Order Date]],"mmmm")</f>
        <v>September</v>
      </c>
      <c r="D723">
        <f>MONTH(Retail_data[[#This Row],[Order Date]])</f>
        <v>9</v>
      </c>
      <c r="E723" t="str">
        <f>"Q"&amp;ROUNDUP(MONTH(Retail_data[[#This Row],[Order Date]])/3,0)</f>
        <v>Q3</v>
      </c>
      <c r="F723" s="1">
        <v>46643</v>
      </c>
      <c r="G723" s="1">
        <v>46647</v>
      </c>
      <c r="H723" t="s">
        <v>2392</v>
      </c>
      <c r="I723" t="s">
        <v>2393</v>
      </c>
      <c r="J723" t="s">
        <v>44</v>
      </c>
      <c r="K723" t="s">
        <v>22</v>
      </c>
      <c r="L723" t="s">
        <v>34</v>
      </c>
      <c r="M723" t="s">
        <v>35</v>
      </c>
      <c r="N723" t="s">
        <v>36</v>
      </c>
      <c r="O723" t="s">
        <v>57</v>
      </c>
      <c r="P723" t="s">
        <v>79</v>
      </c>
      <c r="Q723" t="s">
        <v>351</v>
      </c>
      <c r="R723">
        <v>18279.34</v>
      </c>
      <c r="S723">
        <v>5</v>
      </c>
      <c r="T723">
        <v>0.3</v>
      </c>
      <c r="U723" t="str">
        <f>IF(Retail_data[[#This Row],[Sales]]&gt;30000,"High",IF(Retail_data[[#This Row],[Sales]]&gt;10000,"Medium","Low"))</f>
        <v>Medium</v>
      </c>
      <c r="V723" s="3">
        <f>Retail_data[[#This Row],[Profit]]/Retail_data[[#This Row],[Sales]]</f>
        <v>-3.3793342648038717E-2</v>
      </c>
      <c r="W723">
        <v>-617.72</v>
      </c>
      <c r="X723" t="s">
        <v>48</v>
      </c>
    </row>
    <row r="724" spans="1:24" ht="13.8" x14ac:dyDescent="0.25">
      <c r="A724" t="s">
        <v>2394</v>
      </c>
      <c r="B724">
        <f>YEAR(Retail_data[[#This Row],[Order Date]])</f>
        <v>2027</v>
      </c>
      <c r="C724" t="str">
        <f>TEXT(Retail_data[[#This Row],[Order Date]],"mmmm")</f>
        <v>September</v>
      </c>
      <c r="D724">
        <f>MONTH(Retail_data[[#This Row],[Order Date]])</f>
        <v>9</v>
      </c>
      <c r="E724" t="str">
        <f>"Q"&amp;ROUNDUP(MONTH(Retail_data[[#This Row],[Order Date]])/3,0)</f>
        <v>Q3</v>
      </c>
      <c r="F724" s="1">
        <v>46644</v>
      </c>
      <c r="G724" s="1">
        <v>46648</v>
      </c>
      <c r="H724" t="s">
        <v>2395</v>
      </c>
      <c r="I724" t="s">
        <v>2396</v>
      </c>
      <c r="J724" t="s">
        <v>33</v>
      </c>
      <c r="K724" t="s">
        <v>22</v>
      </c>
      <c r="L724" t="s">
        <v>67</v>
      </c>
      <c r="M724" t="s">
        <v>68</v>
      </c>
      <c r="N724" t="s">
        <v>69</v>
      </c>
      <c r="O724" t="s">
        <v>26</v>
      </c>
      <c r="P724" t="s">
        <v>92</v>
      </c>
      <c r="Q724" t="s">
        <v>570</v>
      </c>
      <c r="R724">
        <v>17478.88</v>
      </c>
      <c r="S724">
        <v>4</v>
      </c>
      <c r="T724">
        <v>0.2</v>
      </c>
      <c r="U724" t="str">
        <f>IF(Retail_data[[#This Row],[Sales]]&gt;30000,"High",IF(Retail_data[[#This Row],[Sales]]&gt;10000,"Medium","Low"))</f>
        <v>Medium</v>
      </c>
      <c r="V724" s="3">
        <f>Retail_data[[#This Row],[Profit]]/Retail_data[[#This Row],[Sales]]</f>
        <v>0.1087226412676327</v>
      </c>
      <c r="W724">
        <v>1900.35</v>
      </c>
      <c r="X724" t="s">
        <v>40</v>
      </c>
    </row>
    <row r="725" spans="1:24" ht="13.8" x14ac:dyDescent="0.25">
      <c r="A725" t="s">
        <v>2397</v>
      </c>
      <c r="B725">
        <f>YEAR(Retail_data[[#This Row],[Order Date]])</f>
        <v>2027</v>
      </c>
      <c r="C725" t="str">
        <f>TEXT(Retail_data[[#This Row],[Order Date]],"mmmm")</f>
        <v>September</v>
      </c>
      <c r="D725">
        <f>MONTH(Retail_data[[#This Row],[Order Date]])</f>
        <v>9</v>
      </c>
      <c r="E725" t="str">
        <f>"Q"&amp;ROUNDUP(MONTH(Retail_data[[#This Row],[Order Date]])/3,0)</f>
        <v>Q3</v>
      </c>
      <c r="F725" s="1">
        <v>46645</v>
      </c>
      <c r="G725" s="1">
        <v>46649</v>
      </c>
      <c r="H725" t="s">
        <v>2398</v>
      </c>
      <c r="I725" t="s">
        <v>2399</v>
      </c>
      <c r="J725" t="s">
        <v>21</v>
      </c>
      <c r="K725" t="s">
        <v>22</v>
      </c>
      <c r="L725" t="s">
        <v>34</v>
      </c>
      <c r="M725" t="s">
        <v>35</v>
      </c>
      <c r="N725" t="s">
        <v>36</v>
      </c>
      <c r="O725" t="s">
        <v>57</v>
      </c>
      <c r="P725" t="s">
        <v>79</v>
      </c>
      <c r="Q725" t="s">
        <v>866</v>
      </c>
      <c r="R725">
        <v>37778.339999999997</v>
      </c>
      <c r="S725">
        <v>4</v>
      </c>
      <c r="T725">
        <v>0.2</v>
      </c>
      <c r="U725" t="str">
        <f>IF(Retail_data[[#This Row],[Sales]]&gt;30000,"High",IF(Retail_data[[#This Row],[Sales]]&gt;10000,"Medium","Low"))</f>
        <v>High</v>
      </c>
      <c r="V725" s="3">
        <f>Retail_data[[#This Row],[Profit]]/Retail_data[[#This Row],[Sales]]</f>
        <v>-8.4815796564909965E-3</v>
      </c>
      <c r="W725">
        <v>-320.42</v>
      </c>
      <c r="X725" t="s">
        <v>29</v>
      </c>
    </row>
    <row r="726" spans="1:24" ht="13.8" x14ac:dyDescent="0.25">
      <c r="A726" t="s">
        <v>2400</v>
      </c>
      <c r="B726">
        <f>YEAR(Retail_data[[#This Row],[Order Date]])</f>
        <v>2027</v>
      </c>
      <c r="C726" t="str">
        <f>TEXT(Retail_data[[#This Row],[Order Date]],"mmmm")</f>
        <v>September</v>
      </c>
      <c r="D726">
        <f>MONTH(Retail_data[[#This Row],[Order Date]])</f>
        <v>9</v>
      </c>
      <c r="E726" t="str">
        <f>"Q"&amp;ROUNDUP(MONTH(Retail_data[[#This Row],[Order Date]])/3,0)</f>
        <v>Q3</v>
      </c>
      <c r="F726" s="1">
        <v>46646</v>
      </c>
      <c r="G726" s="1">
        <v>46650</v>
      </c>
      <c r="H726" t="s">
        <v>2401</v>
      </c>
      <c r="I726" t="s">
        <v>2402</v>
      </c>
      <c r="J726" t="s">
        <v>21</v>
      </c>
      <c r="K726" t="s">
        <v>22</v>
      </c>
      <c r="L726" t="s">
        <v>45</v>
      </c>
      <c r="M726" t="s">
        <v>45</v>
      </c>
      <c r="N726" t="s">
        <v>25</v>
      </c>
      <c r="O726" t="s">
        <v>37</v>
      </c>
      <c r="P726" t="s">
        <v>38</v>
      </c>
      <c r="Q726" t="s">
        <v>339</v>
      </c>
      <c r="R726">
        <v>6086.69</v>
      </c>
      <c r="S726">
        <v>5</v>
      </c>
      <c r="T726">
        <v>0.3</v>
      </c>
      <c r="U726" t="str">
        <f>IF(Retail_data[[#This Row],[Sales]]&gt;30000,"High",IF(Retail_data[[#This Row],[Sales]]&gt;10000,"Medium","Low"))</f>
        <v>Low</v>
      </c>
      <c r="V726" s="3">
        <f>Retail_data[[#This Row],[Profit]]/Retail_data[[#This Row],[Sales]]</f>
        <v>-7.1960293690002291E-4</v>
      </c>
      <c r="W726">
        <v>-4.38</v>
      </c>
      <c r="X726" t="s">
        <v>81</v>
      </c>
    </row>
    <row r="727" spans="1:24" ht="13.8" x14ac:dyDescent="0.25">
      <c r="A727" t="s">
        <v>2403</v>
      </c>
      <c r="B727">
        <f>YEAR(Retail_data[[#This Row],[Order Date]])</f>
        <v>2027</v>
      </c>
      <c r="C727" t="str">
        <f>TEXT(Retail_data[[#This Row],[Order Date]],"mmmm")</f>
        <v>September</v>
      </c>
      <c r="D727">
        <f>MONTH(Retail_data[[#This Row],[Order Date]])</f>
        <v>9</v>
      </c>
      <c r="E727" t="str">
        <f>"Q"&amp;ROUNDUP(MONTH(Retail_data[[#This Row],[Order Date]])/3,0)</f>
        <v>Q3</v>
      </c>
      <c r="F727" s="1">
        <v>46647</v>
      </c>
      <c r="G727" s="1">
        <v>46651</v>
      </c>
      <c r="H727" t="s">
        <v>2404</v>
      </c>
      <c r="I727" t="s">
        <v>2405</v>
      </c>
      <c r="J727" t="s">
        <v>44</v>
      </c>
      <c r="K727" t="s">
        <v>22</v>
      </c>
      <c r="L727" t="s">
        <v>45</v>
      </c>
      <c r="M727" t="s">
        <v>45</v>
      </c>
      <c r="N727" t="s">
        <v>25</v>
      </c>
      <c r="O727" t="s">
        <v>57</v>
      </c>
      <c r="P727" t="s">
        <v>149</v>
      </c>
      <c r="Q727" t="s">
        <v>1740</v>
      </c>
      <c r="R727">
        <v>47459.25</v>
      </c>
      <c r="S727">
        <v>5</v>
      </c>
      <c r="T727">
        <v>0.2</v>
      </c>
      <c r="U727" t="str">
        <f>IF(Retail_data[[#This Row],[Sales]]&gt;30000,"High",IF(Retail_data[[#This Row],[Sales]]&gt;10000,"Medium","Low"))</f>
        <v>High</v>
      </c>
      <c r="V727" s="3">
        <f>Retail_data[[#This Row],[Profit]]/Retail_data[[#This Row],[Sales]]</f>
        <v>3.9621148669648172E-2</v>
      </c>
      <c r="W727">
        <v>1880.39</v>
      </c>
      <c r="X727" t="s">
        <v>81</v>
      </c>
    </row>
    <row r="728" spans="1:24" ht="13.8" x14ac:dyDescent="0.25">
      <c r="A728" t="s">
        <v>2406</v>
      </c>
      <c r="B728">
        <f>YEAR(Retail_data[[#This Row],[Order Date]])</f>
        <v>2027</v>
      </c>
      <c r="C728" t="str">
        <f>TEXT(Retail_data[[#This Row],[Order Date]],"mmmm")</f>
        <v>September</v>
      </c>
      <c r="D728">
        <f>MONTH(Retail_data[[#This Row],[Order Date]])</f>
        <v>9</v>
      </c>
      <c r="E728" t="str">
        <f>"Q"&amp;ROUNDUP(MONTH(Retail_data[[#This Row],[Order Date]])/3,0)</f>
        <v>Q3</v>
      </c>
      <c r="F728" s="1">
        <v>46648</v>
      </c>
      <c r="G728" s="1">
        <v>46652</v>
      </c>
      <c r="H728" t="s">
        <v>2407</v>
      </c>
      <c r="I728" t="s">
        <v>2408</v>
      </c>
      <c r="J728" t="s">
        <v>21</v>
      </c>
      <c r="K728" t="s">
        <v>22</v>
      </c>
      <c r="L728" t="s">
        <v>23</v>
      </c>
      <c r="M728" t="s">
        <v>24</v>
      </c>
      <c r="N728" t="s">
        <v>25</v>
      </c>
      <c r="O728" t="s">
        <v>57</v>
      </c>
      <c r="P728" t="s">
        <v>58</v>
      </c>
      <c r="Q728" t="s">
        <v>309</v>
      </c>
      <c r="R728">
        <v>48269.11</v>
      </c>
      <c r="S728">
        <v>3</v>
      </c>
      <c r="T728">
        <v>0.1</v>
      </c>
      <c r="U728" t="str">
        <f>IF(Retail_data[[#This Row],[Sales]]&gt;30000,"High",IF(Retail_data[[#This Row],[Sales]]&gt;10000,"Medium","Low"))</f>
        <v>High</v>
      </c>
      <c r="V728" s="3">
        <f>Retail_data[[#This Row],[Profit]]/Retail_data[[#This Row],[Sales]]</f>
        <v>8.7272792061009616E-2</v>
      </c>
      <c r="W728">
        <v>4212.58</v>
      </c>
      <c r="X728" t="s">
        <v>48</v>
      </c>
    </row>
    <row r="729" spans="1:24" ht="13.8" x14ac:dyDescent="0.25">
      <c r="A729" t="s">
        <v>2409</v>
      </c>
      <c r="B729">
        <f>YEAR(Retail_data[[#This Row],[Order Date]])</f>
        <v>2027</v>
      </c>
      <c r="C729" t="str">
        <f>TEXT(Retail_data[[#This Row],[Order Date]],"mmmm")</f>
        <v>September</v>
      </c>
      <c r="D729">
        <f>MONTH(Retail_data[[#This Row],[Order Date]])</f>
        <v>9</v>
      </c>
      <c r="E729" t="str">
        <f>"Q"&amp;ROUNDUP(MONTH(Retail_data[[#This Row],[Order Date]])/3,0)</f>
        <v>Q3</v>
      </c>
      <c r="F729" s="1">
        <v>46649</v>
      </c>
      <c r="G729" s="1">
        <v>46653</v>
      </c>
      <c r="H729" t="s">
        <v>2410</v>
      </c>
      <c r="I729" t="s">
        <v>2411</v>
      </c>
      <c r="J729" t="s">
        <v>33</v>
      </c>
      <c r="K729" t="s">
        <v>22</v>
      </c>
      <c r="L729" t="s">
        <v>23</v>
      </c>
      <c r="M729" t="s">
        <v>24</v>
      </c>
      <c r="N729" t="s">
        <v>25</v>
      </c>
      <c r="O729" t="s">
        <v>37</v>
      </c>
      <c r="P729" t="s">
        <v>38</v>
      </c>
      <c r="Q729" t="s">
        <v>1188</v>
      </c>
      <c r="R729">
        <v>10885.14</v>
      </c>
      <c r="S729">
        <v>4</v>
      </c>
      <c r="T729">
        <v>0.1</v>
      </c>
      <c r="U729" t="str">
        <f>IF(Retail_data[[#This Row],[Sales]]&gt;30000,"High",IF(Retail_data[[#This Row],[Sales]]&gt;10000,"Medium","Low"))</f>
        <v>Medium</v>
      </c>
      <c r="V729" s="3">
        <f>Retail_data[[#This Row],[Profit]]/Retail_data[[#This Row],[Sales]]</f>
        <v>0.17307999713370706</v>
      </c>
      <c r="W729">
        <v>1884</v>
      </c>
      <c r="X729" t="s">
        <v>40</v>
      </c>
    </row>
    <row r="730" spans="1:24" ht="13.8" x14ac:dyDescent="0.25">
      <c r="A730" t="s">
        <v>2412</v>
      </c>
      <c r="B730">
        <f>YEAR(Retail_data[[#This Row],[Order Date]])</f>
        <v>2027</v>
      </c>
      <c r="C730" t="str">
        <f>TEXT(Retail_data[[#This Row],[Order Date]],"mmmm")</f>
        <v>September</v>
      </c>
      <c r="D730">
        <f>MONTH(Retail_data[[#This Row],[Order Date]])</f>
        <v>9</v>
      </c>
      <c r="E730" t="str">
        <f>"Q"&amp;ROUNDUP(MONTH(Retail_data[[#This Row],[Order Date]])/3,0)</f>
        <v>Q3</v>
      </c>
      <c r="F730" s="1">
        <v>46650</v>
      </c>
      <c r="G730" s="1">
        <v>46654</v>
      </c>
      <c r="H730" t="s">
        <v>2413</v>
      </c>
      <c r="I730" t="s">
        <v>2414</v>
      </c>
      <c r="J730" t="s">
        <v>21</v>
      </c>
      <c r="K730" t="s">
        <v>22</v>
      </c>
      <c r="L730" t="s">
        <v>45</v>
      </c>
      <c r="M730" t="s">
        <v>45</v>
      </c>
      <c r="N730" t="s">
        <v>25</v>
      </c>
      <c r="O730" t="s">
        <v>37</v>
      </c>
      <c r="P730" t="s">
        <v>52</v>
      </c>
      <c r="Q730" t="s">
        <v>641</v>
      </c>
      <c r="R730">
        <v>15986.42</v>
      </c>
      <c r="S730">
        <v>3</v>
      </c>
      <c r="T730">
        <v>0.3</v>
      </c>
      <c r="U730" t="str">
        <f>IF(Retail_data[[#This Row],[Sales]]&gt;30000,"High",IF(Retail_data[[#This Row],[Sales]]&gt;10000,"Medium","Low"))</f>
        <v>Medium</v>
      </c>
      <c r="V730" s="3">
        <f>Retail_data[[#This Row],[Profit]]/Retail_data[[#This Row],[Sales]]</f>
        <v>3.6700524570228987E-2</v>
      </c>
      <c r="W730">
        <v>586.71</v>
      </c>
      <c r="X730" t="s">
        <v>40</v>
      </c>
    </row>
    <row r="731" spans="1:24" ht="13.8" x14ac:dyDescent="0.25">
      <c r="A731" t="s">
        <v>2415</v>
      </c>
      <c r="B731">
        <f>YEAR(Retail_data[[#This Row],[Order Date]])</f>
        <v>2027</v>
      </c>
      <c r="C731" t="str">
        <f>TEXT(Retail_data[[#This Row],[Order Date]],"mmmm")</f>
        <v>September</v>
      </c>
      <c r="D731">
        <f>MONTH(Retail_data[[#This Row],[Order Date]])</f>
        <v>9</v>
      </c>
      <c r="E731" t="str">
        <f>"Q"&amp;ROUNDUP(MONTH(Retail_data[[#This Row],[Order Date]])/3,0)</f>
        <v>Q3</v>
      </c>
      <c r="F731" s="1">
        <v>46651</v>
      </c>
      <c r="G731" s="1">
        <v>46655</v>
      </c>
      <c r="H731" t="s">
        <v>2416</v>
      </c>
      <c r="I731" t="s">
        <v>2417</v>
      </c>
      <c r="J731" t="s">
        <v>21</v>
      </c>
      <c r="K731" t="s">
        <v>22</v>
      </c>
      <c r="L731" t="s">
        <v>45</v>
      </c>
      <c r="M731" t="s">
        <v>45</v>
      </c>
      <c r="N731" t="s">
        <v>25</v>
      </c>
      <c r="O731" t="s">
        <v>26</v>
      </c>
      <c r="P731" t="s">
        <v>27</v>
      </c>
      <c r="Q731" t="s">
        <v>839</v>
      </c>
      <c r="R731">
        <v>17291.3</v>
      </c>
      <c r="S731">
        <v>6</v>
      </c>
      <c r="T731">
        <v>0</v>
      </c>
      <c r="U731" t="str">
        <f>IF(Retail_data[[#This Row],[Sales]]&gt;30000,"High",IF(Retail_data[[#This Row],[Sales]]&gt;10000,"Medium","Low"))</f>
        <v>Medium</v>
      </c>
      <c r="V731" s="3">
        <f>Retail_data[[#This Row],[Profit]]/Retail_data[[#This Row],[Sales]]</f>
        <v>0.16472156518017733</v>
      </c>
      <c r="W731">
        <v>2848.25</v>
      </c>
      <c r="X731" t="s">
        <v>48</v>
      </c>
    </row>
    <row r="732" spans="1:24" ht="13.8" x14ac:dyDescent="0.25">
      <c r="A732" t="s">
        <v>2418</v>
      </c>
      <c r="B732">
        <f>YEAR(Retail_data[[#This Row],[Order Date]])</f>
        <v>2027</v>
      </c>
      <c r="C732" t="str">
        <f>TEXT(Retail_data[[#This Row],[Order Date]],"mmmm")</f>
        <v>September</v>
      </c>
      <c r="D732">
        <f>MONTH(Retail_data[[#This Row],[Order Date]])</f>
        <v>9</v>
      </c>
      <c r="E732" t="str">
        <f>"Q"&amp;ROUNDUP(MONTH(Retail_data[[#This Row],[Order Date]])/3,0)</f>
        <v>Q3</v>
      </c>
      <c r="F732" s="1">
        <v>46652</v>
      </c>
      <c r="G732" s="1">
        <v>46656</v>
      </c>
      <c r="H732" t="s">
        <v>2419</v>
      </c>
      <c r="I732" t="s">
        <v>2420</v>
      </c>
      <c r="J732" t="s">
        <v>44</v>
      </c>
      <c r="K732" t="s">
        <v>22</v>
      </c>
      <c r="L732" t="s">
        <v>85</v>
      </c>
      <c r="M732" t="s">
        <v>86</v>
      </c>
      <c r="N732" t="s">
        <v>87</v>
      </c>
      <c r="O732" t="s">
        <v>57</v>
      </c>
      <c r="P732" t="s">
        <v>79</v>
      </c>
      <c r="Q732" t="s">
        <v>1106</v>
      </c>
      <c r="R732">
        <v>1140.05</v>
      </c>
      <c r="S732">
        <v>2</v>
      </c>
      <c r="T732">
        <v>0</v>
      </c>
      <c r="U732" t="str">
        <f>IF(Retail_data[[#This Row],[Sales]]&gt;30000,"High",IF(Retail_data[[#This Row],[Sales]]&gt;10000,"Medium","Low"))</f>
        <v>Low</v>
      </c>
      <c r="V732" s="3">
        <f>Retail_data[[#This Row],[Profit]]/Retail_data[[#This Row],[Sales]]</f>
        <v>0.10662690232884524</v>
      </c>
      <c r="W732">
        <v>121.56</v>
      </c>
      <c r="X732" t="s">
        <v>29</v>
      </c>
    </row>
    <row r="733" spans="1:24" ht="13.8" x14ac:dyDescent="0.25">
      <c r="A733" t="s">
        <v>2421</v>
      </c>
      <c r="B733">
        <f>YEAR(Retail_data[[#This Row],[Order Date]])</f>
        <v>2027</v>
      </c>
      <c r="C733" t="str">
        <f>TEXT(Retail_data[[#This Row],[Order Date]],"mmmm")</f>
        <v>September</v>
      </c>
      <c r="D733">
        <f>MONTH(Retail_data[[#This Row],[Order Date]])</f>
        <v>9</v>
      </c>
      <c r="E733" t="str">
        <f>"Q"&amp;ROUNDUP(MONTH(Retail_data[[#This Row],[Order Date]])/3,0)</f>
        <v>Q3</v>
      </c>
      <c r="F733" s="1">
        <v>46653</v>
      </c>
      <c r="G733" s="1">
        <v>46657</v>
      </c>
      <c r="H733" t="s">
        <v>2422</v>
      </c>
      <c r="I733" t="s">
        <v>2423</v>
      </c>
      <c r="J733" t="s">
        <v>33</v>
      </c>
      <c r="K733" t="s">
        <v>22</v>
      </c>
      <c r="L733" t="s">
        <v>34</v>
      </c>
      <c r="M733" t="s">
        <v>35</v>
      </c>
      <c r="N733" t="s">
        <v>36</v>
      </c>
      <c r="O733" t="s">
        <v>57</v>
      </c>
      <c r="P733" t="s">
        <v>58</v>
      </c>
      <c r="Q733" t="s">
        <v>278</v>
      </c>
      <c r="R733">
        <v>34954.29</v>
      </c>
      <c r="S733">
        <v>6</v>
      </c>
      <c r="T733">
        <v>0.2</v>
      </c>
      <c r="U733" t="str">
        <f>IF(Retail_data[[#This Row],[Sales]]&gt;30000,"High",IF(Retail_data[[#This Row],[Sales]]&gt;10000,"Medium","Low"))</f>
        <v>High</v>
      </c>
      <c r="V733" s="3">
        <f>Retail_data[[#This Row],[Profit]]/Retail_data[[#This Row],[Sales]]</f>
        <v>0.17821303193399152</v>
      </c>
      <c r="W733">
        <v>6229.31</v>
      </c>
      <c r="X733" t="s">
        <v>81</v>
      </c>
    </row>
    <row r="734" spans="1:24" ht="13.8" x14ac:dyDescent="0.25">
      <c r="A734" t="s">
        <v>2424</v>
      </c>
      <c r="B734">
        <f>YEAR(Retail_data[[#This Row],[Order Date]])</f>
        <v>2027</v>
      </c>
      <c r="C734" t="str">
        <f>TEXT(Retail_data[[#This Row],[Order Date]],"mmmm")</f>
        <v>September</v>
      </c>
      <c r="D734">
        <f>MONTH(Retail_data[[#This Row],[Order Date]])</f>
        <v>9</v>
      </c>
      <c r="E734" t="str">
        <f>"Q"&amp;ROUNDUP(MONTH(Retail_data[[#This Row],[Order Date]])/3,0)</f>
        <v>Q3</v>
      </c>
      <c r="F734" s="1">
        <v>46654</v>
      </c>
      <c r="G734" s="1">
        <v>46658</v>
      </c>
      <c r="H734" t="s">
        <v>2425</v>
      </c>
      <c r="I734" t="s">
        <v>2426</v>
      </c>
      <c r="J734" t="s">
        <v>33</v>
      </c>
      <c r="K734" t="s">
        <v>22</v>
      </c>
      <c r="L734" t="s">
        <v>67</v>
      </c>
      <c r="M734" t="s">
        <v>68</v>
      </c>
      <c r="N734" t="s">
        <v>69</v>
      </c>
      <c r="O734" t="s">
        <v>57</v>
      </c>
      <c r="P734" t="s">
        <v>58</v>
      </c>
      <c r="Q734" t="s">
        <v>278</v>
      </c>
      <c r="R734">
        <v>40727.82</v>
      </c>
      <c r="S734">
        <v>1</v>
      </c>
      <c r="T734">
        <v>0</v>
      </c>
      <c r="U734" t="str">
        <f>IF(Retail_data[[#This Row],[Sales]]&gt;30000,"High",IF(Retail_data[[#This Row],[Sales]]&gt;10000,"Medium","Low"))</f>
        <v>High</v>
      </c>
      <c r="V734" s="3">
        <f>Retail_data[[#This Row],[Profit]]/Retail_data[[#This Row],[Sales]]</f>
        <v>8.7461347059577463E-2</v>
      </c>
      <c r="W734">
        <v>3562.11</v>
      </c>
      <c r="X734" t="s">
        <v>81</v>
      </c>
    </row>
    <row r="735" spans="1:24" ht="13.8" x14ac:dyDescent="0.25">
      <c r="A735" t="s">
        <v>2427</v>
      </c>
      <c r="B735">
        <f>YEAR(Retail_data[[#This Row],[Order Date]])</f>
        <v>2027</v>
      </c>
      <c r="C735" t="str">
        <f>TEXT(Retail_data[[#This Row],[Order Date]],"mmmm")</f>
        <v>September</v>
      </c>
      <c r="D735">
        <f>MONTH(Retail_data[[#This Row],[Order Date]])</f>
        <v>9</v>
      </c>
      <c r="E735" t="str">
        <f>"Q"&amp;ROUNDUP(MONTH(Retail_data[[#This Row],[Order Date]])/3,0)</f>
        <v>Q3</v>
      </c>
      <c r="F735" s="1">
        <v>46655</v>
      </c>
      <c r="G735" s="1">
        <v>46659</v>
      </c>
      <c r="H735" t="s">
        <v>2428</v>
      </c>
      <c r="I735" t="s">
        <v>2429</v>
      </c>
      <c r="J735" t="s">
        <v>44</v>
      </c>
      <c r="K735" t="s">
        <v>22</v>
      </c>
      <c r="L735" t="s">
        <v>45</v>
      </c>
      <c r="M735" t="s">
        <v>45</v>
      </c>
      <c r="N735" t="s">
        <v>25</v>
      </c>
      <c r="O735" t="s">
        <v>57</v>
      </c>
      <c r="P735" t="s">
        <v>79</v>
      </c>
      <c r="Q735" t="s">
        <v>258</v>
      </c>
      <c r="R735">
        <v>11781.25</v>
      </c>
      <c r="S735">
        <v>4</v>
      </c>
      <c r="T735">
        <v>0.3</v>
      </c>
      <c r="U735" t="str">
        <f>IF(Retail_data[[#This Row],[Sales]]&gt;30000,"High",IF(Retail_data[[#This Row],[Sales]]&gt;10000,"Medium","Low"))</f>
        <v>Medium</v>
      </c>
      <c r="V735" s="3">
        <f>Retail_data[[#This Row],[Profit]]/Retail_data[[#This Row],[Sales]]</f>
        <v>-6.0951087533156499E-2</v>
      </c>
      <c r="W735">
        <v>-718.08</v>
      </c>
      <c r="X735" t="s">
        <v>81</v>
      </c>
    </row>
    <row r="736" spans="1:24" ht="13.8" x14ac:dyDescent="0.25">
      <c r="A736" t="s">
        <v>2430</v>
      </c>
      <c r="B736">
        <f>YEAR(Retail_data[[#This Row],[Order Date]])</f>
        <v>2027</v>
      </c>
      <c r="C736" t="str">
        <f>TEXT(Retail_data[[#This Row],[Order Date]],"mmmm")</f>
        <v>September</v>
      </c>
      <c r="D736">
        <f>MONTH(Retail_data[[#This Row],[Order Date]])</f>
        <v>9</v>
      </c>
      <c r="E736" t="str">
        <f>"Q"&amp;ROUNDUP(MONTH(Retail_data[[#This Row],[Order Date]])/3,0)</f>
        <v>Q3</v>
      </c>
      <c r="F736" s="1">
        <v>46656</v>
      </c>
      <c r="G736" s="1">
        <v>46660</v>
      </c>
      <c r="H736" t="s">
        <v>2431</v>
      </c>
      <c r="I736" t="s">
        <v>2432</v>
      </c>
      <c r="J736" t="s">
        <v>33</v>
      </c>
      <c r="K736" t="s">
        <v>22</v>
      </c>
      <c r="L736" t="s">
        <v>23</v>
      </c>
      <c r="M736" t="s">
        <v>24</v>
      </c>
      <c r="N736" t="s">
        <v>25</v>
      </c>
      <c r="O736" t="s">
        <v>57</v>
      </c>
      <c r="P736" t="s">
        <v>149</v>
      </c>
      <c r="Q736" t="s">
        <v>774</v>
      </c>
      <c r="R736">
        <v>25308</v>
      </c>
      <c r="S736">
        <v>6</v>
      </c>
      <c r="T736">
        <v>0.1</v>
      </c>
      <c r="U736" t="str">
        <f>IF(Retail_data[[#This Row],[Sales]]&gt;30000,"High",IF(Retail_data[[#This Row],[Sales]]&gt;10000,"Medium","Low"))</f>
        <v>Medium</v>
      </c>
      <c r="V736" s="3">
        <f>Retail_data[[#This Row],[Profit]]/Retail_data[[#This Row],[Sales]]</f>
        <v>0.17957444286391655</v>
      </c>
      <c r="W736">
        <v>4544.67</v>
      </c>
      <c r="X736" t="s">
        <v>40</v>
      </c>
    </row>
    <row r="737" spans="1:24" ht="13.8" x14ac:dyDescent="0.25">
      <c r="A737" t="s">
        <v>2433</v>
      </c>
      <c r="B737">
        <f>YEAR(Retail_data[[#This Row],[Order Date]])</f>
        <v>2027</v>
      </c>
      <c r="C737" t="str">
        <f>TEXT(Retail_data[[#This Row],[Order Date]],"mmmm")</f>
        <v>September</v>
      </c>
      <c r="D737">
        <f>MONTH(Retail_data[[#This Row],[Order Date]])</f>
        <v>9</v>
      </c>
      <c r="E737" t="str">
        <f>"Q"&amp;ROUNDUP(MONTH(Retail_data[[#This Row],[Order Date]])/3,0)</f>
        <v>Q3</v>
      </c>
      <c r="F737" s="1">
        <v>46657</v>
      </c>
      <c r="G737" s="1">
        <v>46661</v>
      </c>
      <c r="H737" t="s">
        <v>2434</v>
      </c>
      <c r="I737" t="s">
        <v>2435</v>
      </c>
      <c r="J737" t="s">
        <v>33</v>
      </c>
      <c r="K737" t="s">
        <v>22</v>
      </c>
      <c r="L737" t="s">
        <v>45</v>
      </c>
      <c r="M737" t="s">
        <v>45</v>
      </c>
      <c r="N737" t="s">
        <v>25</v>
      </c>
      <c r="O737" t="s">
        <v>26</v>
      </c>
      <c r="P737" t="s">
        <v>70</v>
      </c>
      <c r="Q737" t="s">
        <v>1418</v>
      </c>
      <c r="R737">
        <v>8487.52</v>
      </c>
      <c r="S737">
        <v>2</v>
      </c>
      <c r="T737">
        <v>0.2</v>
      </c>
      <c r="U737" t="str">
        <f>IF(Retail_data[[#This Row],[Sales]]&gt;30000,"High",IF(Retail_data[[#This Row],[Sales]]&gt;10000,"Medium","Low"))</f>
        <v>Low</v>
      </c>
      <c r="V737" s="3">
        <f>Retail_data[[#This Row],[Profit]]/Retail_data[[#This Row],[Sales]]</f>
        <v>0.12241149358116388</v>
      </c>
      <c r="W737">
        <v>1038.97</v>
      </c>
      <c r="X737" t="s">
        <v>48</v>
      </c>
    </row>
    <row r="738" spans="1:24" ht="13.8" x14ac:dyDescent="0.25">
      <c r="A738" t="s">
        <v>2436</v>
      </c>
      <c r="B738">
        <f>YEAR(Retail_data[[#This Row],[Order Date]])</f>
        <v>2027</v>
      </c>
      <c r="C738" t="str">
        <f>TEXT(Retail_data[[#This Row],[Order Date]],"mmmm")</f>
        <v>September</v>
      </c>
      <c r="D738">
        <f>MONTH(Retail_data[[#This Row],[Order Date]])</f>
        <v>9</v>
      </c>
      <c r="E738" t="str">
        <f>"Q"&amp;ROUNDUP(MONTH(Retail_data[[#This Row],[Order Date]])/3,0)</f>
        <v>Q3</v>
      </c>
      <c r="F738" s="1">
        <v>46658</v>
      </c>
      <c r="G738" s="1">
        <v>46662</v>
      </c>
      <c r="H738" t="s">
        <v>2437</v>
      </c>
      <c r="I738" t="s">
        <v>2438</v>
      </c>
      <c r="J738" t="s">
        <v>44</v>
      </c>
      <c r="K738" t="s">
        <v>22</v>
      </c>
      <c r="L738" t="s">
        <v>34</v>
      </c>
      <c r="M738" t="s">
        <v>35</v>
      </c>
      <c r="N738" t="s">
        <v>36</v>
      </c>
      <c r="O738" t="s">
        <v>57</v>
      </c>
      <c r="P738" t="s">
        <v>149</v>
      </c>
      <c r="Q738" t="s">
        <v>262</v>
      </c>
      <c r="R738">
        <v>24077.21</v>
      </c>
      <c r="S738">
        <v>7</v>
      </c>
      <c r="T738">
        <v>0</v>
      </c>
      <c r="U738" t="str">
        <f>IF(Retail_data[[#This Row],[Sales]]&gt;30000,"High",IF(Retail_data[[#This Row],[Sales]]&gt;10000,"Medium","Low"))</f>
        <v>Medium</v>
      </c>
      <c r="V738" s="3">
        <f>Retail_data[[#This Row],[Profit]]/Retail_data[[#This Row],[Sales]]</f>
        <v>0.15290392865286304</v>
      </c>
      <c r="W738">
        <v>3681.5</v>
      </c>
      <c r="X738" t="s">
        <v>81</v>
      </c>
    </row>
    <row r="739" spans="1:24" ht="13.8" x14ac:dyDescent="0.25">
      <c r="A739" t="s">
        <v>2439</v>
      </c>
      <c r="B739">
        <f>YEAR(Retail_data[[#This Row],[Order Date]])</f>
        <v>2027</v>
      </c>
      <c r="C739" t="str">
        <f>TEXT(Retail_data[[#This Row],[Order Date]],"mmmm")</f>
        <v>September</v>
      </c>
      <c r="D739">
        <f>MONTH(Retail_data[[#This Row],[Order Date]])</f>
        <v>9</v>
      </c>
      <c r="E739" t="str">
        <f>"Q"&amp;ROUNDUP(MONTH(Retail_data[[#This Row],[Order Date]])/3,0)</f>
        <v>Q3</v>
      </c>
      <c r="F739" s="1">
        <v>46659</v>
      </c>
      <c r="G739" s="1">
        <v>46663</v>
      </c>
      <c r="H739" t="s">
        <v>2440</v>
      </c>
      <c r="I739" t="s">
        <v>2441</v>
      </c>
      <c r="J739" t="s">
        <v>44</v>
      </c>
      <c r="K739" t="s">
        <v>22</v>
      </c>
      <c r="L739" t="s">
        <v>67</v>
      </c>
      <c r="M739" t="s">
        <v>68</v>
      </c>
      <c r="N739" t="s">
        <v>69</v>
      </c>
      <c r="O739" t="s">
        <v>26</v>
      </c>
      <c r="P739" t="s">
        <v>70</v>
      </c>
      <c r="Q739" t="s">
        <v>994</v>
      </c>
      <c r="R739">
        <v>5689.55</v>
      </c>
      <c r="S739">
        <v>5</v>
      </c>
      <c r="T739">
        <v>0.2</v>
      </c>
      <c r="U739" t="str">
        <f>IF(Retail_data[[#This Row],[Sales]]&gt;30000,"High",IF(Retail_data[[#This Row],[Sales]]&gt;10000,"Medium","Low"))</f>
        <v>Low</v>
      </c>
      <c r="V739" s="3">
        <f>Retail_data[[#This Row],[Profit]]/Retail_data[[#This Row],[Sales]]</f>
        <v>0.10051937323689922</v>
      </c>
      <c r="W739">
        <v>571.91</v>
      </c>
      <c r="X739" t="s">
        <v>81</v>
      </c>
    </row>
    <row r="740" spans="1:24" ht="13.8" x14ac:dyDescent="0.25">
      <c r="A740" t="s">
        <v>2442</v>
      </c>
      <c r="B740">
        <f>YEAR(Retail_data[[#This Row],[Order Date]])</f>
        <v>2027</v>
      </c>
      <c r="C740" t="str">
        <f>TEXT(Retail_data[[#This Row],[Order Date]],"mmmm")</f>
        <v>September</v>
      </c>
      <c r="D740">
        <f>MONTH(Retail_data[[#This Row],[Order Date]])</f>
        <v>9</v>
      </c>
      <c r="E740" t="str">
        <f>"Q"&amp;ROUNDUP(MONTH(Retail_data[[#This Row],[Order Date]])/3,0)</f>
        <v>Q3</v>
      </c>
      <c r="F740" s="1">
        <v>46660</v>
      </c>
      <c r="G740" s="1">
        <v>46664</v>
      </c>
      <c r="H740" t="s">
        <v>2443</v>
      </c>
      <c r="I740" t="s">
        <v>2444</v>
      </c>
      <c r="J740" t="s">
        <v>33</v>
      </c>
      <c r="K740" t="s">
        <v>22</v>
      </c>
      <c r="L740" t="s">
        <v>67</v>
      </c>
      <c r="M740" t="s">
        <v>68</v>
      </c>
      <c r="N740" t="s">
        <v>69</v>
      </c>
      <c r="O740" t="s">
        <v>57</v>
      </c>
      <c r="P740" t="s">
        <v>79</v>
      </c>
      <c r="Q740" t="s">
        <v>866</v>
      </c>
      <c r="R740">
        <v>22014.06</v>
      </c>
      <c r="S740">
        <v>3</v>
      </c>
      <c r="T740">
        <v>0</v>
      </c>
      <c r="U740" t="str">
        <f>IF(Retail_data[[#This Row],[Sales]]&gt;30000,"High",IF(Retail_data[[#This Row],[Sales]]&gt;10000,"Medium","Low"))</f>
        <v>Medium</v>
      </c>
      <c r="V740" s="3">
        <f>Retail_data[[#This Row],[Profit]]/Retail_data[[#This Row],[Sales]]</f>
        <v>8.5134227852563318E-2</v>
      </c>
      <c r="W740">
        <v>1874.15</v>
      </c>
      <c r="X740" t="s">
        <v>81</v>
      </c>
    </row>
    <row r="741" spans="1:24" ht="13.8" x14ac:dyDescent="0.25">
      <c r="A741" t="s">
        <v>2445</v>
      </c>
      <c r="B741">
        <f>YEAR(Retail_data[[#This Row],[Order Date]])</f>
        <v>2027</v>
      </c>
      <c r="C741" t="str">
        <f>TEXT(Retail_data[[#This Row],[Order Date]],"mmmm")</f>
        <v>October</v>
      </c>
      <c r="D741">
        <f>MONTH(Retail_data[[#This Row],[Order Date]])</f>
        <v>10</v>
      </c>
      <c r="E741" t="str">
        <f>"Q"&amp;ROUNDUP(MONTH(Retail_data[[#This Row],[Order Date]])/3,0)</f>
        <v>Q4</v>
      </c>
      <c r="F741" s="1">
        <v>46661</v>
      </c>
      <c r="G741" s="1">
        <v>46665</v>
      </c>
      <c r="H741" t="s">
        <v>2446</v>
      </c>
      <c r="I741" t="s">
        <v>2447</v>
      </c>
      <c r="J741" t="s">
        <v>21</v>
      </c>
      <c r="K741" t="s">
        <v>22</v>
      </c>
      <c r="L741" t="s">
        <v>34</v>
      </c>
      <c r="M741" t="s">
        <v>35</v>
      </c>
      <c r="N741" t="s">
        <v>36</v>
      </c>
      <c r="O741" t="s">
        <v>26</v>
      </c>
      <c r="P741" t="s">
        <v>27</v>
      </c>
      <c r="Q741" t="s">
        <v>449</v>
      </c>
      <c r="R741">
        <v>43791.13</v>
      </c>
      <c r="S741">
        <v>2</v>
      </c>
      <c r="T741">
        <v>0.1</v>
      </c>
      <c r="U741" t="str">
        <f>IF(Retail_data[[#This Row],[Sales]]&gt;30000,"High",IF(Retail_data[[#This Row],[Sales]]&gt;10000,"Medium","Low"))</f>
        <v>High</v>
      </c>
      <c r="V741" s="3">
        <f>Retail_data[[#This Row],[Profit]]/Retail_data[[#This Row],[Sales]]</f>
        <v>0.20030723116759036</v>
      </c>
      <c r="W741">
        <v>8771.68</v>
      </c>
      <c r="X741" t="s">
        <v>81</v>
      </c>
    </row>
    <row r="742" spans="1:24" ht="13.8" x14ac:dyDescent="0.25">
      <c r="A742" t="s">
        <v>2448</v>
      </c>
      <c r="B742">
        <f>YEAR(Retail_data[[#This Row],[Order Date]])</f>
        <v>2027</v>
      </c>
      <c r="C742" t="str">
        <f>TEXT(Retail_data[[#This Row],[Order Date]],"mmmm")</f>
        <v>October</v>
      </c>
      <c r="D742">
        <f>MONTH(Retail_data[[#This Row],[Order Date]])</f>
        <v>10</v>
      </c>
      <c r="E742" t="str">
        <f>"Q"&amp;ROUNDUP(MONTH(Retail_data[[#This Row],[Order Date]])/3,0)</f>
        <v>Q4</v>
      </c>
      <c r="F742" s="1">
        <v>46662</v>
      </c>
      <c r="G742" s="1">
        <v>46666</v>
      </c>
      <c r="H742" t="s">
        <v>2449</v>
      </c>
      <c r="I742" t="s">
        <v>2450</v>
      </c>
      <c r="J742" t="s">
        <v>33</v>
      </c>
      <c r="K742" t="s">
        <v>22</v>
      </c>
      <c r="L742" t="s">
        <v>34</v>
      </c>
      <c r="M742" t="s">
        <v>35</v>
      </c>
      <c r="N742" t="s">
        <v>36</v>
      </c>
      <c r="O742" t="s">
        <v>26</v>
      </c>
      <c r="P742" t="s">
        <v>70</v>
      </c>
      <c r="Q742" t="s">
        <v>71</v>
      </c>
      <c r="R742">
        <v>15285.23</v>
      </c>
      <c r="S742">
        <v>8</v>
      </c>
      <c r="T742">
        <v>0.1</v>
      </c>
      <c r="U742" t="str">
        <f>IF(Retail_data[[#This Row],[Sales]]&gt;30000,"High",IF(Retail_data[[#This Row],[Sales]]&gt;10000,"Medium","Low"))</f>
        <v>Medium</v>
      </c>
      <c r="V742" s="3">
        <f>Retail_data[[#This Row],[Profit]]/Retail_data[[#This Row],[Sales]]</f>
        <v>4.6166789770255338E-2</v>
      </c>
      <c r="W742">
        <v>705.67</v>
      </c>
      <c r="X742" t="s">
        <v>48</v>
      </c>
    </row>
    <row r="743" spans="1:24" ht="13.8" x14ac:dyDescent="0.25">
      <c r="A743" t="s">
        <v>2451</v>
      </c>
      <c r="B743">
        <f>YEAR(Retail_data[[#This Row],[Order Date]])</f>
        <v>2027</v>
      </c>
      <c r="C743" t="str">
        <f>TEXT(Retail_data[[#This Row],[Order Date]],"mmmm")</f>
        <v>October</v>
      </c>
      <c r="D743">
        <f>MONTH(Retail_data[[#This Row],[Order Date]])</f>
        <v>10</v>
      </c>
      <c r="E743" t="str">
        <f>"Q"&amp;ROUNDUP(MONTH(Retail_data[[#This Row],[Order Date]])/3,0)</f>
        <v>Q4</v>
      </c>
      <c r="F743" s="1">
        <v>46663</v>
      </c>
      <c r="G743" s="1">
        <v>46667</v>
      </c>
      <c r="H743" t="s">
        <v>2452</v>
      </c>
      <c r="I743" t="s">
        <v>2453</v>
      </c>
      <c r="J743" t="s">
        <v>21</v>
      </c>
      <c r="K743" t="s">
        <v>22</v>
      </c>
      <c r="L743" t="s">
        <v>23</v>
      </c>
      <c r="M743" t="s">
        <v>24</v>
      </c>
      <c r="N743" t="s">
        <v>25</v>
      </c>
      <c r="O743" t="s">
        <v>37</v>
      </c>
      <c r="P743" t="s">
        <v>46</v>
      </c>
      <c r="Q743" t="s">
        <v>849</v>
      </c>
      <c r="R743">
        <v>29937.43</v>
      </c>
      <c r="S743">
        <v>3</v>
      </c>
      <c r="T743">
        <v>0.1</v>
      </c>
      <c r="U743" t="str">
        <f>IF(Retail_data[[#This Row],[Sales]]&gt;30000,"High",IF(Retail_data[[#This Row],[Sales]]&gt;10000,"Medium","Low"))</f>
        <v>Medium</v>
      </c>
      <c r="V743" s="3">
        <f>Retail_data[[#This Row],[Profit]]/Retail_data[[#This Row],[Sales]]</f>
        <v>0.10675732686473087</v>
      </c>
      <c r="W743">
        <v>3196.04</v>
      </c>
      <c r="X743" t="s">
        <v>40</v>
      </c>
    </row>
    <row r="744" spans="1:24" ht="13.8" x14ac:dyDescent="0.25">
      <c r="A744" t="s">
        <v>2454</v>
      </c>
      <c r="B744">
        <f>YEAR(Retail_data[[#This Row],[Order Date]])</f>
        <v>2027</v>
      </c>
      <c r="C744" t="str">
        <f>TEXT(Retail_data[[#This Row],[Order Date]],"mmmm")</f>
        <v>October</v>
      </c>
      <c r="D744">
        <f>MONTH(Retail_data[[#This Row],[Order Date]])</f>
        <v>10</v>
      </c>
      <c r="E744" t="str">
        <f>"Q"&amp;ROUNDUP(MONTH(Retail_data[[#This Row],[Order Date]])/3,0)</f>
        <v>Q4</v>
      </c>
      <c r="F744" s="1">
        <v>46664</v>
      </c>
      <c r="G744" s="1">
        <v>46668</v>
      </c>
      <c r="H744" t="s">
        <v>2455</v>
      </c>
      <c r="I744" t="s">
        <v>2456</v>
      </c>
      <c r="J744" t="s">
        <v>44</v>
      </c>
      <c r="K744" t="s">
        <v>22</v>
      </c>
      <c r="L744" t="s">
        <v>45</v>
      </c>
      <c r="M744" t="s">
        <v>45</v>
      </c>
      <c r="N744" t="s">
        <v>25</v>
      </c>
      <c r="O744" t="s">
        <v>57</v>
      </c>
      <c r="P744" t="s">
        <v>149</v>
      </c>
      <c r="Q744" t="s">
        <v>527</v>
      </c>
      <c r="R744">
        <v>36638.980000000003</v>
      </c>
      <c r="S744">
        <v>6</v>
      </c>
      <c r="T744">
        <v>0</v>
      </c>
      <c r="U744" t="str">
        <f>IF(Retail_data[[#This Row],[Sales]]&gt;30000,"High",IF(Retail_data[[#This Row],[Sales]]&gt;10000,"Medium","Low"))</f>
        <v>High</v>
      </c>
      <c r="V744" s="3">
        <f>Retail_data[[#This Row],[Profit]]/Retail_data[[#This Row],[Sales]]</f>
        <v>0.10247310378181924</v>
      </c>
      <c r="W744">
        <v>3754.51</v>
      </c>
      <c r="X744" t="s">
        <v>48</v>
      </c>
    </row>
    <row r="745" spans="1:24" ht="13.8" x14ac:dyDescent="0.25">
      <c r="A745" t="s">
        <v>2457</v>
      </c>
      <c r="B745">
        <f>YEAR(Retail_data[[#This Row],[Order Date]])</f>
        <v>2027</v>
      </c>
      <c r="C745" t="str">
        <f>TEXT(Retail_data[[#This Row],[Order Date]],"mmmm")</f>
        <v>October</v>
      </c>
      <c r="D745">
        <f>MONTH(Retail_data[[#This Row],[Order Date]])</f>
        <v>10</v>
      </c>
      <c r="E745" t="str">
        <f>"Q"&amp;ROUNDUP(MONTH(Retail_data[[#This Row],[Order Date]])/3,0)</f>
        <v>Q4</v>
      </c>
      <c r="F745" s="1">
        <v>46665</v>
      </c>
      <c r="G745" s="1">
        <v>46669</v>
      </c>
      <c r="H745" t="s">
        <v>2458</v>
      </c>
      <c r="I745" t="s">
        <v>2459</v>
      </c>
      <c r="J745" t="s">
        <v>33</v>
      </c>
      <c r="K745" t="s">
        <v>22</v>
      </c>
      <c r="L745" t="s">
        <v>85</v>
      </c>
      <c r="M745" t="s">
        <v>86</v>
      </c>
      <c r="N745" t="s">
        <v>87</v>
      </c>
      <c r="O745" t="s">
        <v>57</v>
      </c>
      <c r="P745" t="s">
        <v>149</v>
      </c>
      <c r="Q745" t="s">
        <v>262</v>
      </c>
      <c r="R745">
        <v>43882.69</v>
      </c>
      <c r="S745">
        <v>4</v>
      </c>
      <c r="T745">
        <v>0.1</v>
      </c>
      <c r="U745" t="str">
        <f>IF(Retail_data[[#This Row],[Sales]]&gt;30000,"High",IF(Retail_data[[#This Row],[Sales]]&gt;10000,"Medium","Low"))</f>
        <v>High</v>
      </c>
      <c r="V745" s="3">
        <f>Retail_data[[#This Row],[Profit]]/Retail_data[[#This Row],[Sales]]</f>
        <v>0.159199903196454</v>
      </c>
      <c r="W745">
        <v>6986.12</v>
      </c>
      <c r="X745" t="s">
        <v>40</v>
      </c>
    </row>
    <row r="746" spans="1:24" ht="13.8" x14ac:dyDescent="0.25">
      <c r="A746" t="s">
        <v>2460</v>
      </c>
      <c r="B746">
        <f>YEAR(Retail_data[[#This Row],[Order Date]])</f>
        <v>2027</v>
      </c>
      <c r="C746" t="str">
        <f>TEXT(Retail_data[[#This Row],[Order Date]],"mmmm")</f>
        <v>October</v>
      </c>
      <c r="D746">
        <f>MONTH(Retail_data[[#This Row],[Order Date]])</f>
        <v>10</v>
      </c>
      <c r="E746" t="str">
        <f>"Q"&amp;ROUNDUP(MONTH(Retail_data[[#This Row],[Order Date]])/3,0)</f>
        <v>Q4</v>
      </c>
      <c r="F746" s="1">
        <v>46666</v>
      </c>
      <c r="G746" s="1">
        <v>46670</v>
      </c>
      <c r="H746" t="s">
        <v>2461</v>
      </c>
      <c r="I746" t="s">
        <v>2462</v>
      </c>
      <c r="J746" t="s">
        <v>44</v>
      </c>
      <c r="K746" t="s">
        <v>22</v>
      </c>
      <c r="L746" t="s">
        <v>85</v>
      </c>
      <c r="M746" t="s">
        <v>86</v>
      </c>
      <c r="N746" t="s">
        <v>87</v>
      </c>
      <c r="O746" t="s">
        <v>26</v>
      </c>
      <c r="P746" t="s">
        <v>70</v>
      </c>
      <c r="Q746" t="s">
        <v>1498</v>
      </c>
      <c r="R746">
        <v>4959.8100000000004</v>
      </c>
      <c r="S746">
        <v>3</v>
      </c>
      <c r="T746">
        <v>0.3</v>
      </c>
      <c r="U746" t="str">
        <f>IF(Retail_data[[#This Row],[Sales]]&gt;30000,"High",IF(Retail_data[[#This Row],[Sales]]&gt;10000,"Medium","Low"))</f>
        <v>Low</v>
      </c>
      <c r="V746" s="3">
        <f>Retail_data[[#This Row],[Profit]]/Retail_data[[#This Row],[Sales]]</f>
        <v>4.1727404880428885E-2</v>
      </c>
      <c r="W746">
        <v>206.96</v>
      </c>
      <c r="X746" t="s">
        <v>29</v>
      </c>
    </row>
    <row r="747" spans="1:24" ht="13.8" x14ac:dyDescent="0.25">
      <c r="A747" t="s">
        <v>2463</v>
      </c>
      <c r="B747">
        <f>YEAR(Retail_data[[#This Row],[Order Date]])</f>
        <v>2027</v>
      </c>
      <c r="C747" t="str">
        <f>TEXT(Retail_data[[#This Row],[Order Date]],"mmmm")</f>
        <v>October</v>
      </c>
      <c r="D747">
        <f>MONTH(Retail_data[[#This Row],[Order Date]])</f>
        <v>10</v>
      </c>
      <c r="E747" t="str">
        <f>"Q"&amp;ROUNDUP(MONTH(Retail_data[[#This Row],[Order Date]])/3,0)</f>
        <v>Q4</v>
      </c>
      <c r="F747" s="1">
        <v>46667</v>
      </c>
      <c r="G747" s="1">
        <v>46671</v>
      </c>
      <c r="H747" t="s">
        <v>2464</v>
      </c>
      <c r="I747" t="s">
        <v>2465</v>
      </c>
      <c r="J747" t="s">
        <v>44</v>
      </c>
      <c r="K747" t="s">
        <v>22</v>
      </c>
      <c r="L747" t="s">
        <v>85</v>
      </c>
      <c r="M747" t="s">
        <v>86</v>
      </c>
      <c r="N747" t="s">
        <v>87</v>
      </c>
      <c r="O747" t="s">
        <v>57</v>
      </c>
      <c r="P747" t="s">
        <v>58</v>
      </c>
      <c r="Q747" t="s">
        <v>896</v>
      </c>
      <c r="R747">
        <v>6699.64</v>
      </c>
      <c r="S747">
        <v>5</v>
      </c>
      <c r="T747">
        <v>0.2</v>
      </c>
      <c r="U747" t="str">
        <f>IF(Retail_data[[#This Row],[Sales]]&gt;30000,"High",IF(Retail_data[[#This Row],[Sales]]&gt;10000,"Medium","Low"))</f>
        <v>Low</v>
      </c>
      <c r="V747" s="3">
        <f>Retail_data[[#This Row],[Profit]]/Retail_data[[#This Row],[Sales]]</f>
        <v>0.15074242795135259</v>
      </c>
      <c r="W747">
        <v>1009.92</v>
      </c>
      <c r="X747" t="s">
        <v>40</v>
      </c>
    </row>
    <row r="748" spans="1:24" ht="13.8" x14ac:dyDescent="0.25">
      <c r="A748" t="s">
        <v>2466</v>
      </c>
      <c r="B748">
        <f>YEAR(Retail_data[[#This Row],[Order Date]])</f>
        <v>2027</v>
      </c>
      <c r="C748" t="str">
        <f>TEXT(Retail_data[[#This Row],[Order Date]],"mmmm")</f>
        <v>October</v>
      </c>
      <c r="D748">
        <f>MONTH(Retail_data[[#This Row],[Order Date]])</f>
        <v>10</v>
      </c>
      <c r="E748" t="str">
        <f>"Q"&amp;ROUNDUP(MONTH(Retail_data[[#This Row],[Order Date]])/3,0)</f>
        <v>Q4</v>
      </c>
      <c r="F748" s="1">
        <v>46668</v>
      </c>
      <c r="G748" s="1">
        <v>46672</v>
      </c>
      <c r="H748" t="s">
        <v>2467</v>
      </c>
      <c r="I748" t="s">
        <v>2468</v>
      </c>
      <c r="J748" t="s">
        <v>33</v>
      </c>
      <c r="K748" t="s">
        <v>22</v>
      </c>
      <c r="L748" t="s">
        <v>34</v>
      </c>
      <c r="M748" t="s">
        <v>35</v>
      </c>
      <c r="N748" t="s">
        <v>36</v>
      </c>
      <c r="O748" t="s">
        <v>57</v>
      </c>
      <c r="P748" t="s">
        <v>79</v>
      </c>
      <c r="Q748" t="s">
        <v>1143</v>
      </c>
      <c r="R748">
        <v>44494.39</v>
      </c>
      <c r="S748">
        <v>7</v>
      </c>
      <c r="T748">
        <v>0.3</v>
      </c>
      <c r="U748" t="str">
        <f>IF(Retail_data[[#This Row],[Sales]]&gt;30000,"High",IF(Retail_data[[#This Row],[Sales]]&gt;10000,"Medium","Low"))</f>
        <v>High</v>
      </c>
      <c r="V748" s="3">
        <f>Retail_data[[#This Row],[Profit]]/Retail_data[[#This Row],[Sales]]</f>
        <v>0.15204074041693796</v>
      </c>
      <c r="W748">
        <v>6764.96</v>
      </c>
      <c r="X748" t="s">
        <v>29</v>
      </c>
    </row>
    <row r="749" spans="1:24" ht="13.8" x14ac:dyDescent="0.25">
      <c r="A749" t="s">
        <v>2469</v>
      </c>
      <c r="B749">
        <f>YEAR(Retail_data[[#This Row],[Order Date]])</f>
        <v>2027</v>
      </c>
      <c r="C749" t="str">
        <f>TEXT(Retail_data[[#This Row],[Order Date]],"mmmm")</f>
        <v>October</v>
      </c>
      <c r="D749">
        <f>MONTH(Retail_data[[#This Row],[Order Date]])</f>
        <v>10</v>
      </c>
      <c r="E749" t="str">
        <f>"Q"&amp;ROUNDUP(MONTH(Retail_data[[#This Row],[Order Date]])/3,0)</f>
        <v>Q4</v>
      </c>
      <c r="F749" s="1">
        <v>46669</v>
      </c>
      <c r="G749" s="1">
        <v>46673</v>
      </c>
      <c r="H749" t="s">
        <v>2470</v>
      </c>
      <c r="I749" t="s">
        <v>2471</v>
      </c>
      <c r="J749" t="s">
        <v>44</v>
      </c>
      <c r="K749" t="s">
        <v>22</v>
      </c>
      <c r="L749" t="s">
        <v>85</v>
      </c>
      <c r="M749" t="s">
        <v>86</v>
      </c>
      <c r="N749" t="s">
        <v>87</v>
      </c>
      <c r="O749" t="s">
        <v>26</v>
      </c>
      <c r="P749" t="s">
        <v>92</v>
      </c>
      <c r="Q749" t="s">
        <v>93</v>
      </c>
      <c r="R749">
        <v>3503.59</v>
      </c>
      <c r="S749">
        <v>7</v>
      </c>
      <c r="T749">
        <v>0.2</v>
      </c>
      <c r="U749" t="str">
        <f>IF(Retail_data[[#This Row],[Sales]]&gt;30000,"High",IF(Retail_data[[#This Row],[Sales]]&gt;10000,"Medium","Low"))</f>
        <v>Low</v>
      </c>
      <c r="V749" s="3">
        <f>Retail_data[[#This Row],[Profit]]/Retail_data[[#This Row],[Sales]]</f>
        <v>0.14274215875716051</v>
      </c>
      <c r="W749">
        <v>500.11</v>
      </c>
      <c r="X749" t="s">
        <v>48</v>
      </c>
    </row>
    <row r="750" spans="1:24" ht="13.8" x14ac:dyDescent="0.25">
      <c r="A750" t="s">
        <v>2472</v>
      </c>
      <c r="B750">
        <f>YEAR(Retail_data[[#This Row],[Order Date]])</f>
        <v>2027</v>
      </c>
      <c r="C750" t="str">
        <f>TEXT(Retail_data[[#This Row],[Order Date]],"mmmm")</f>
        <v>October</v>
      </c>
      <c r="D750">
        <f>MONTH(Retail_data[[#This Row],[Order Date]])</f>
        <v>10</v>
      </c>
      <c r="E750" t="str">
        <f>"Q"&amp;ROUNDUP(MONTH(Retail_data[[#This Row],[Order Date]])/3,0)</f>
        <v>Q4</v>
      </c>
      <c r="F750" s="1">
        <v>46670</v>
      </c>
      <c r="G750" s="1">
        <v>46674</v>
      </c>
      <c r="H750" t="s">
        <v>2473</v>
      </c>
      <c r="I750" t="s">
        <v>2474</v>
      </c>
      <c r="J750" t="s">
        <v>44</v>
      </c>
      <c r="K750" t="s">
        <v>22</v>
      </c>
      <c r="L750" t="s">
        <v>23</v>
      </c>
      <c r="M750" t="s">
        <v>24</v>
      </c>
      <c r="N750" t="s">
        <v>25</v>
      </c>
      <c r="O750" t="s">
        <v>57</v>
      </c>
      <c r="P750" t="s">
        <v>79</v>
      </c>
      <c r="Q750" t="s">
        <v>370</v>
      </c>
      <c r="R750">
        <v>30036.29</v>
      </c>
      <c r="S750">
        <v>4</v>
      </c>
      <c r="T750">
        <v>0.2</v>
      </c>
      <c r="U750" t="str">
        <f>IF(Retail_data[[#This Row],[Sales]]&gt;30000,"High",IF(Retail_data[[#This Row],[Sales]]&gt;10000,"Medium","Low"))</f>
        <v>High</v>
      </c>
      <c r="V750" s="3">
        <f>Retail_data[[#This Row],[Profit]]/Retail_data[[#This Row],[Sales]]</f>
        <v>0.19347828909628983</v>
      </c>
      <c r="W750">
        <v>5811.37</v>
      </c>
      <c r="X750" t="s">
        <v>29</v>
      </c>
    </row>
    <row r="751" spans="1:24" ht="13.8" x14ac:dyDescent="0.25">
      <c r="A751" t="s">
        <v>2475</v>
      </c>
      <c r="B751">
        <f>YEAR(Retail_data[[#This Row],[Order Date]])</f>
        <v>2027</v>
      </c>
      <c r="C751" t="str">
        <f>TEXT(Retail_data[[#This Row],[Order Date]],"mmmm")</f>
        <v>October</v>
      </c>
      <c r="D751">
        <f>MONTH(Retail_data[[#This Row],[Order Date]])</f>
        <v>10</v>
      </c>
      <c r="E751" t="str">
        <f>"Q"&amp;ROUNDUP(MONTH(Retail_data[[#This Row],[Order Date]])/3,0)</f>
        <v>Q4</v>
      </c>
      <c r="F751" s="1">
        <v>46671</v>
      </c>
      <c r="G751" s="1">
        <v>46675</v>
      </c>
      <c r="H751" t="s">
        <v>2476</v>
      </c>
      <c r="I751" t="s">
        <v>2477</v>
      </c>
      <c r="J751" t="s">
        <v>21</v>
      </c>
      <c r="K751" t="s">
        <v>22</v>
      </c>
      <c r="L751" t="s">
        <v>85</v>
      </c>
      <c r="M751" t="s">
        <v>86</v>
      </c>
      <c r="N751" t="s">
        <v>87</v>
      </c>
      <c r="O751" t="s">
        <v>37</v>
      </c>
      <c r="P751" t="s">
        <v>38</v>
      </c>
      <c r="Q751" t="s">
        <v>1027</v>
      </c>
      <c r="R751">
        <v>40204.94</v>
      </c>
      <c r="S751">
        <v>4</v>
      </c>
      <c r="T751">
        <v>0.1</v>
      </c>
      <c r="U751" t="str">
        <f>IF(Retail_data[[#This Row],[Sales]]&gt;30000,"High",IF(Retail_data[[#This Row],[Sales]]&gt;10000,"Medium","Low"))</f>
        <v>High</v>
      </c>
      <c r="V751" s="3">
        <f>Retail_data[[#This Row],[Profit]]/Retail_data[[#This Row],[Sales]]</f>
        <v>7.0750509763228095E-2</v>
      </c>
      <c r="W751">
        <v>2844.52</v>
      </c>
      <c r="X751" t="s">
        <v>81</v>
      </c>
    </row>
    <row r="752" spans="1:24" ht="13.8" x14ac:dyDescent="0.25">
      <c r="A752" t="s">
        <v>2478</v>
      </c>
      <c r="B752">
        <f>YEAR(Retail_data[[#This Row],[Order Date]])</f>
        <v>2027</v>
      </c>
      <c r="C752" t="str">
        <f>TEXT(Retail_data[[#This Row],[Order Date]],"mmmm")</f>
        <v>October</v>
      </c>
      <c r="D752">
        <f>MONTH(Retail_data[[#This Row],[Order Date]])</f>
        <v>10</v>
      </c>
      <c r="E752" t="str">
        <f>"Q"&amp;ROUNDUP(MONTH(Retail_data[[#This Row],[Order Date]])/3,0)</f>
        <v>Q4</v>
      </c>
      <c r="F752" s="1">
        <v>46672</v>
      </c>
      <c r="G752" s="1">
        <v>46676</v>
      </c>
      <c r="H752" t="s">
        <v>2479</v>
      </c>
      <c r="I752" t="s">
        <v>2480</v>
      </c>
      <c r="J752" t="s">
        <v>44</v>
      </c>
      <c r="K752" t="s">
        <v>22</v>
      </c>
      <c r="L752" t="s">
        <v>85</v>
      </c>
      <c r="M752" t="s">
        <v>86</v>
      </c>
      <c r="N752" t="s">
        <v>87</v>
      </c>
      <c r="O752" t="s">
        <v>57</v>
      </c>
      <c r="P752" t="s">
        <v>149</v>
      </c>
      <c r="Q752" t="s">
        <v>407</v>
      </c>
      <c r="R752">
        <v>3535.89</v>
      </c>
      <c r="S752">
        <v>6</v>
      </c>
      <c r="T752">
        <v>0</v>
      </c>
      <c r="U752" t="str">
        <f>IF(Retail_data[[#This Row],[Sales]]&gt;30000,"High",IF(Retail_data[[#This Row],[Sales]]&gt;10000,"Medium","Low"))</f>
        <v>Low</v>
      </c>
      <c r="V752" s="3">
        <f>Retail_data[[#This Row],[Profit]]/Retail_data[[#This Row],[Sales]]</f>
        <v>0.28503714764882393</v>
      </c>
      <c r="W752">
        <v>1007.86</v>
      </c>
      <c r="X752" t="s">
        <v>81</v>
      </c>
    </row>
    <row r="753" spans="1:24" ht="13.8" x14ac:dyDescent="0.25">
      <c r="A753" t="s">
        <v>2481</v>
      </c>
      <c r="B753">
        <f>YEAR(Retail_data[[#This Row],[Order Date]])</f>
        <v>2027</v>
      </c>
      <c r="C753" t="str">
        <f>TEXT(Retail_data[[#This Row],[Order Date]],"mmmm")</f>
        <v>October</v>
      </c>
      <c r="D753">
        <f>MONTH(Retail_data[[#This Row],[Order Date]])</f>
        <v>10</v>
      </c>
      <c r="E753" t="str">
        <f>"Q"&amp;ROUNDUP(MONTH(Retail_data[[#This Row],[Order Date]])/3,0)</f>
        <v>Q4</v>
      </c>
      <c r="F753" s="1">
        <v>46673</v>
      </c>
      <c r="G753" s="1">
        <v>46677</v>
      </c>
      <c r="H753" t="s">
        <v>2482</v>
      </c>
      <c r="I753" t="s">
        <v>2483</v>
      </c>
      <c r="J753" t="s">
        <v>33</v>
      </c>
      <c r="K753" t="s">
        <v>22</v>
      </c>
      <c r="L753" t="s">
        <v>23</v>
      </c>
      <c r="M753" t="s">
        <v>24</v>
      </c>
      <c r="N753" t="s">
        <v>25</v>
      </c>
      <c r="O753" t="s">
        <v>57</v>
      </c>
      <c r="P753" t="s">
        <v>79</v>
      </c>
      <c r="Q753" t="s">
        <v>866</v>
      </c>
      <c r="R753">
        <v>14365.96</v>
      </c>
      <c r="S753">
        <v>2</v>
      </c>
      <c r="T753">
        <v>0.3</v>
      </c>
      <c r="U753" t="str">
        <f>IF(Retail_data[[#This Row],[Sales]]&gt;30000,"High",IF(Retail_data[[#This Row],[Sales]]&gt;10000,"Medium","Low"))</f>
        <v>Medium</v>
      </c>
      <c r="V753" s="3">
        <f>Retail_data[[#This Row],[Profit]]/Retail_data[[#This Row],[Sales]]</f>
        <v>2.7632681700352782E-2</v>
      </c>
      <c r="W753">
        <v>396.97</v>
      </c>
      <c r="X753" t="s">
        <v>81</v>
      </c>
    </row>
    <row r="754" spans="1:24" ht="13.8" x14ac:dyDescent="0.25">
      <c r="A754" t="s">
        <v>2484</v>
      </c>
      <c r="B754">
        <f>YEAR(Retail_data[[#This Row],[Order Date]])</f>
        <v>2027</v>
      </c>
      <c r="C754" t="str">
        <f>TEXT(Retail_data[[#This Row],[Order Date]],"mmmm")</f>
        <v>October</v>
      </c>
      <c r="D754">
        <f>MONTH(Retail_data[[#This Row],[Order Date]])</f>
        <v>10</v>
      </c>
      <c r="E754" t="str">
        <f>"Q"&amp;ROUNDUP(MONTH(Retail_data[[#This Row],[Order Date]])/3,0)</f>
        <v>Q4</v>
      </c>
      <c r="F754" s="1">
        <v>46674</v>
      </c>
      <c r="G754" s="1">
        <v>46678</v>
      </c>
      <c r="H754" t="s">
        <v>2485</v>
      </c>
      <c r="I754" t="s">
        <v>2486</v>
      </c>
      <c r="J754" t="s">
        <v>21</v>
      </c>
      <c r="K754" t="s">
        <v>22</v>
      </c>
      <c r="L754" t="s">
        <v>85</v>
      </c>
      <c r="M754" t="s">
        <v>86</v>
      </c>
      <c r="N754" t="s">
        <v>87</v>
      </c>
      <c r="O754" t="s">
        <v>37</v>
      </c>
      <c r="P754" t="s">
        <v>38</v>
      </c>
      <c r="Q754" t="s">
        <v>595</v>
      </c>
      <c r="R754">
        <v>42052.58</v>
      </c>
      <c r="S754">
        <v>5</v>
      </c>
      <c r="T754">
        <v>0</v>
      </c>
      <c r="U754" t="str">
        <f>IF(Retail_data[[#This Row],[Sales]]&gt;30000,"High",IF(Retail_data[[#This Row],[Sales]]&gt;10000,"Medium","Low"))</f>
        <v>High</v>
      </c>
      <c r="V754" s="3">
        <f>Retail_data[[#This Row],[Profit]]/Retail_data[[#This Row],[Sales]]</f>
        <v>0.21621051550225928</v>
      </c>
      <c r="W754">
        <v>9092.2099999999991</v>
      </c>
      <c r="X754" t="s">
        <v>48</v>
      </c>
    </row>
    <row r="755" spans="1:24" ht="13.8" x14ac:dyDescent="0.25">
      <c r="A755" t="s">
        <v>2487</v>
      </c>
      <c r="B755">
        <f>YEAR(Retail_data[[#This Row],[Order Date]])</f>
        <v>2027</v>
      </c>
      <c r="C755" t="str">
        <f>TEXT(Retail_data[[#This Row],[Order Date]],"mmmm")</f>
        <v>October</v>
      </c>
      <c r="D755">
        <f>MONTH(Retail_data[[#This Row],[Order Date]])</f>
        <v>10</v>
      </c>
      <c r="E755" t="str">
        <f>"Q"&amp;ROUNDUP(MONTH(Retail_data[[#This Row],[Order Date]])/3,0)</f>
        <v>Q4</v>
      </c>
      <c r="F755" s="1">
        <v>46675</v>
      </c>
      <c r="G755" s="1">
        <v>46679</v>
      </c>
      <c r="H755" t="s">
        <v>2488</v>
      </c>
      <c r="I755" t="s">
        <v>2489</v>
      </c>
      <c r="J755" t="s">
        <v>21</v>
      </c>
      <c r="K755" t="s">
        <v>22</v>
      </c>
      <c r="L755" t="s">
        <v>23</v>
      </c>
      <c r="M755" t="s">
        <v>24</v>
      </c>
      <c r="N755" t="s">
        <v>25</v>
      </c>
      <c r="O755" t="s">
        <v>26</v>
      </c>
      <c r="P755" t="s">
        <v>92</v>
      </c>
      <c r="Q755" t="s">
        <v>831</v>
      </c>
      <c r="R755">
        <v>34428.76</v>
      </c>
      <c r="S755">
        <v>2</v>
      </c>
      <c r="T755">
        <v>0.3</v>
      </c>
      <c r="U755" t="str">
        <f>IF(Retail_data[[#This Row],[Sales]]&gt;30000,"High",IF(Retail_data[[#This Row],[Sales]]&gt;10000,"Medium","Low"))</f>
        <v>High</v>
      </c>
      <c r="V755" s="3">
        <f>Retail_data[[#This Row],[Profit]]/Retail_data[[#This Row],[Sales]]</f>
        <v>-6.1909287467803081E-2</v>
      </c>
      <c r="W755">
        <v>-2131.46</v>
      </c>
      <c r="X755" t="s">
        <v>40</v>
      </c>
    </row>
    <row r="756" spans="1:24" ht="13.8" x14ac:dyDescent="0.25">
      <c r="A756" t="s">
        <v>2490</v>
      </c>
      <c r="B756">
        <f>YEAR(Retail_data[[#This Row],[Order Date]])</f>
        <v>2027</v>
      </c>
      <c r="C756" t="str">
        <f>TEXT(Retail_data[[#This Row],[Order Date]],"mmmm")</f>
        <v>October</v>
      </c>
      <c r="D756">
        <f>MONTH(Retail_data[[#This Row],[Order Date]])</f>
        <v>10</v>
      </c>
      <c r="E756" t="str">
        <f>"Q"&amp;ROUNDUP(MONTH(Retail_data[[#This Row],[Order Date]])/3,0)</f>
        <v>Q4</v>
      </c>
      <c r="F756" s="1">
        <v>46676</v>
      </c>
      <c r="G756" s="1">
        <v>46680</v>
      </c>
      <c r="H756" t="s">
        <v>2491</v>
      </c>
      <c r="I756" t="s">
        <v>2492</v>
      </c>
      <c r="J756" t="s">
        <v>33</v>
      </c>
      <c r="K756" t="s">
        <v>22</v>
      </c>
      <c r="L756" t="s">
        <v>67</v>
      </c>
      <c r="M756" t="s">
        <v>68</v>
      </c>
      <c r="N756" t="s">
        <v>69</v>
      </c>
      <c r="O756" t="s">
        <v>26</v>
      </c>
      <c r="P756" t="s">
        <v>70</v>
      </c>
      <c r="Q756" t="s">
        <v>71</v>
      </c>
      <c r="R756">
        <v>42814.66</v>
      </c>
      <c r="S756">
        <v>3</v>
      </c>
      <c r="T756">
        <v>0</v>
      </c>
      <c r="U756" t="str">
        <f>IF(Retail_data[[#This Row],[Sales]]&gt;30000,"High",IF(Retail_data[[#This Row],[Sales]]&gt;10000,"Medium","Low"))</f>
        <v>High</v>
      </c>
      <c r="V756" s="3">
        <f>Retail_data[[#This Row],[Profit]]/Retail_data[[#This Row],[Sales]]</f>
        <v>0.22012016444834551</v>
      </c>
      <c r="W756">
        <v>9424.3700000000008</v>
      </c>
      <c r="X756" t="s">
        <v>48</v>
      </c>
    </row>
    <row r="757" spans="1:24" ht="13.8" x14ac:dyDescent="0.25">
      <c r="A757" t="s">
        <v>2493</v>
      </c>
      <c r="B757">
        <f>YEAR(Retail_data[[#This Row],[Order Date]])</f>
        <v>2027</v>
      </c>
      <c r="C757" t="str">
        <f>TEXT(Retail_data[[#This Row],[Order Date]],"mmmm")</f>
        <v>October</v>
      </c>
      <c r="D757">
        <f>MONTH(Retail_data[[#This Row],[Order Date]])</f>
        <v>10</v>
      </c>
      <c r="E757" t="str">
        <f>"Q"&amp;ROUNDUP(MONTH(Retail_data[[#This Row],[Order Date]])/3,0)</f>
        <v>Q4</v>
      </c>
      <c r="F757" s="1">
        <v>46677</v>
      </c>
      <c r="G757" s="1">
        <v>46681</v>
      </c>
      <c r="H757" t="s">
        <v>2494</v>
      </c>
      <c r="I757" t="s">
        <v>2495</v>
      </c>
      <c r="J757" t="s">
        <v>21</v>
      </c>
      <c r="K757" t="s">
        <v>22</v>
      </c>
      <c r="L757" t="s">
        <v>85</v>
      </c>
      <c r="M757" t="s">
        <v>86</v>
      </c>
      <c r="N757" t="s">
        <v>87</v>
      </c>
      <c r="O757" t="s">
        <v>26</v>
      </c>
      <c r="P757" t="s">
        <v>27</v>
      </c>
      <c r="Q757" t="s">
        <v>577</v>
      </c>
      <c r="R757">
        <v>33260.6</v>
      </c>
      <c r="S757">
        <v>7</v>
      </c>
      <c r="T757">
        <v>0</v>
      </c>
      <c r="U757" t="str">
        <f>IF(Retail_data[[#This Row],[Sales]]&gt;30000,"High",IF(Retail_data[[#This Row],[Sales]]&gt;10000,"Medium","Low"))</f>
        <v>High</v>
      </c>
      <c r="V757" s="3">
        <f>Retail_data[[#This Row],[Profit]]/Retail_data[[#This Row],[Sales]]</f>
        <v>0.22481735146088769</v>
      </c>
      <c r="W757">
        <v>7477.56</v>
      </c>
      <c r="X757" t="s">
        <v>40</v>
      </c>
    </row>
    <row r="758" spans="1:24" ht="13.8" x14ac:dyDescent="0.25">
      <c r="A758" t="s">
        <v>2496</v>
      </c>
      <c r="B758">
        <f>YEAR(Retail_data[[#This Row],[Order Date]])</f>
        <v>2027</v>
      </c>
      <c r="C758" t="str">
        <f>TEXT(Retail_data[[#This Row],[Order Date]],"mmmm")</f>
        <v>October</v>
      </c>
      <c r="D758">
        <f>MONTH(Retail_data[[#This Row],[Order Date]])</f>
        <v>10</v>
      </c>
      <c r="E758" t="str">
        <f>"Q"&amp;ROUNDUP(MONTH(Retail_data[[#This Row],[Order Date]])/3,0)</f>
        <v>Q4</v>
      </c>
      <c r="F758" s="1">
        <v>46678</v>
      </c>
      <c r="G758" s="1">
        <v>46682</v>
      </c>
      <c r="H758" t="s">
        <v>2497</v>
      </c>
      <c r="I758" t="s">
        <v>2498</v>
      </c>
      <c r="J758" t="s">
        <v>21</v>
      </c>
      <c r="K758" t="s">
        <v>22</v>
      </c>
      <c r="L758" t="s">
        <v>45</v>
      </c>
      <c r="M758" t="s">
        <v>45</v>
      </c>
      <c r="N758" t="s">
        <v>25</v>
      </c>
      <c r="O758" t="s">
        <v>57</v>
      </c>
      <c r="P758" t="s">
        <v>149</v>
      </c>
      <c r="Q758" t="s">
        <v>157</v>
      </c>
      <c r="R758">
        <v>32338.34</v>
      </c>
      <c r="S758">
        <v>7</v>
      </c>
      <c r="T758">
        <v>0.2</v>
      </c>
      <c r="U758" t="str">
        <f>IF(Retail_data[[#This Row],[Sales]]&gt;30000,"High",IF(Retail_data[[#This Row],[Sales]]&gt;10000,"Medium","Low"))</f>
        <v>High</v>
      </c>
      <c r="V758" s="3">
        <f>Retail_data[[#This Row],[Profit]]/Retail_data[[#This Row],[Sales]]</f>
        <v>0.17331563710444012</v>
      </c>
      <c r="W758">
        <v>5604.74</v>
      </c>
      <c r="X758" t="s">
        <v>29</v>
      </c>
    </row>
    <row r="759" spans="1:24" ht="13.8" x14ac:dyDescent="0.25">
      <c r="A759" t="s">
        <v>2499</v>
      </c>
      <c r="B759">
        <f>YEAR(Retail_data[[#This Row],[Order Date]])</f>
        <v>2027</v>
      </c>
      <c r="C759" t="str">
        <f>TEXT(Retail_data[[#This Row],[Order Date]],"mmmm")</f>
        <v>October</v>
      </c>
      <c r="D759">
        <f>MONTH(Retail_data[[#This Row],[Order Date]])</f>
        <v>10</v>
      </c>
      <c r="E759" t="str">
        <f>"Q"&amp;ROUNDUP(MONTH(Retail_data[[#This Row],[Order Date]])/3,0)</f>
        <v>Q4</v>
      </c>
      <c r="F759" s="1">
        <v>46679</v>
      </c>
      <c r="G759" s="1">
        <v>46683</v>
      </c>
      <c r="H759" t="s">
        <v>2500</v>
      </c>
      <c r="I759" t="s">
        <v>2501</v>
      </c>
      <c r="J759" t="s">
        <v>21</v>
      </c>
      <c r="K759" t="s">
        <v>22</v>
      </c>
      <c r="L759" t="s">
        <v>34</v>
      </c>
      <c r="M759" t="s">
        <v>35</v>
      </c>
      <c r="N759" t="s">
        <v>36</v>
      </c>
      <c r="O759" t="s">
        <v>26</v>
      </c>
      <c r="P759" t="s">
        <v>27</v>
      </c>
      <c r="Q759" t="s">
        <v>266</v>
      </c>
      <c r="R759">
        <v>44274.52</v>
      </c>
      <c r="S759">
        <v>2</v>
      </c>
      <c r="T759">
        <v>0.1</v>
      </c>
      <c r="U759" t="str">
        <f>IF(Retail_data[[#This Row],[Sales]]&gt;30000,"High",IF(Retail_data[[#This Row],[Sales]]&gt;10000,"Medium","Low"))</f>
        <v>High</v>
      </c>
      <c r="V759" s="3">
        <f>Retail_data[[#This Row],[Profit]]/Retail_data[[#This Row],[Sales]]</f>
        <v>0.21356437065833803</v>
      </c>
      <c r="W759">
        <v>9455.4599999999991</v>
      </c>
      <c r="X759" t="s">
        <v>81</v>
      </c>
    </row>
    <row r="760" spans="1:24" ht="13.8" x14ac:dyDescent="0.25">
      <c r="A760" t="s">
        <v>2502</v>
      </c>
      <c r="B760">
        <f>YEAR(Retail_data[[#This Row],[Order Date]])</f>
        <v>2027</v>
      </c>
      <c r="C760" t="str">
        <f>TEXT(Retail_data[[#This Row],[Order Date]],"mmmm")</f>
        <v>October</v>
      </c>
      <c r="D760">
        <f>MONTH(Retail_data[[#This Row],[Order Date]])</f>
        <v>10</v>
      </c>
      <c r="E760" t="str">
        <f>"Q"&amp;ROUNDUP(MONTH(Retail_data[[#This Row],[Order Date]])/3,0)</f>
        <v>Q4</v>
      </c>
      <c r="F760" s="1">
        <v>46680</v>
      </c>
      <c r="G760" s="1">
        <v>46684</v>
      </c>
      <c r="H760" t="s">
        <v>2503</v>
      </c>
      <c r="I760" t="s">
        <v>2504</v>
      </c>
      <c r="J760" t="s">
        <v>33</v>
      </c>
      <c r="K760" t="s">
        <v>22</v>
      </c>
      <c r="L760" t="s">
        <v>45</v>
      </c>
      <c r="M760" t="s">
        <v>45</v>
      </c>
      <c r="N760" t="s">
        <v>25</v>
      </c>
      <c r="O760" t="s">
        <v>26</v>
      </c>
      <c r="P760" t="s">
        <v>92</v>
      </c>
      <c r="Q760" t="s">
        <v>485</v>
      </c>
      <c r="R760">
        <v>28709.11</v>
      </c>
      <c r="S760">
        <v>1</v>
      </c>
      <c r="T760">
        <v>0.2</v>
      </c>
      <c r="U760" t="str">
        <f>IF(Retail_data[[#This Row],[Sales]]&gt;30000,"High",IF(Retail_data[[#This Row],[Sales]]&gt;10000,"Medium","Low"))</f>
        <v>Medium</v>
      </c>
      <c r="V760" s="3">
        <f>Retail_data[[#This Row],[Profit]]/Retail_data[[#This Row],[Sales]]</f>
        <v>7.3791907864785775E-3</v>
      </c>
      <c r="W760">
        <v>211.85</v>
      </c>
      <c r="X760" t="s">
        <v>81</v>
      </c>
    </row>
    <row r="761" spans="1:24" ht="13.8" x14ac:dyDescent="0.25">
      <c r="A761" t="s">
        <v>2505</v>
      </c>
      <c r="B761">
        <f>YEAR(Retail_data[[#This Row],[Order Date]])</f>
        <v>2027</v>
      </c>
      <c r="C761" t="str">
        <f>TEXT(Retail_data[[#This Row],[Order Date]],"mmmm")</f>
        <v>October</v>
      </c>
      <c r="D761">
        <f>MONTH(Retail_data[[#This Row],[Order Date]])</f>
        <v>10</v>
      </c>
      <c r="E761" t="str">
        <f>"Q"&amp;ROUNDUP(MONTH(Retail_data[[#This Row],[Order Date]])/3,0)</f>
        <v>Q4</v>
      </c>
      <c r="F761" s="1">
        <v>46681</v>
      </c>
      <c r="G761" s="1">
        <v>46685</v>
      </c>
      <c r="H761" t="s">
        <v>2506</v>
      </c>
      <c r="I761" t="s">
        <v>2507</v>
      </c>
      <c r="J761" t="s">
        <v>21</v>
      </c>
      <c r="K761" t="s">
        <v>22</v>
      </c>
      <c r="L761" t="s">
        <v>34</v>
      </c>
      <c r="M761" t="s">
        <v>35</v>
      </c>
      <c r="N761" t="s">
        <v>36</v>
      </c>
      <c r="O761" t="s">
        <v>37</v>
      </c>
      <c r="P761" t="s">
        <v>52</v>
      </c>
      <c r="Q761" t="s">
        <v>763</v>
      </c>
      <c r="R761">
        <v>25073.38</v>
      </c>
      <c r="S761">
        <v>2</v>
      </c>
      <c r="T761">
        <v>0.3</v>
      </c>
      <c r="U761" t="str">
        <f>IF(Retail_data[[#This Row],[Sales]]&gt;30000,"High",IF(Retail_data[[#This Row],[Sales]]&gt;10000,"Medium","Low"))</f>
        <v>Medium</v>
      </c>
      <c r="V761" s="3">
        <f>Retail_data[[#This Row],[Profit]]/Retail_data[[#This Row],[Sales]]</f>
        <v>3.5173957400238813E-2</v>
      </c>
      <c r="W761">
        <v>881.93</v>
      </c>
      <c r="X761" t="s">
        <v>48</v>
      </c>
    </row>
    <row r="762" spans="1:24" ht="13.8" x14ac:dyDescent="0.25">
      <c r="A762" t="s">
        <v>2508</v>
      </c>
      <c r="B762">
        <f>YEAR(Retail_data[[#This Row],[Order Date]])</f>
        <v>2027</v>
      </c>
      <c r="C762" t="str">
        <f>TEXT(Retail_data[[#This Row],[Order Date]],"mmmm")</f>
        <v>October</v>
      </c>
      <c r="D762">
        <f>MONTH(Retail_data[[#This Row],[Order Date]])</f>
        <v>10</v>
      </c>
      <c r="E762" t="str">
        <f>"Q"&amp;ROUNDUP(MONTH(Retail_data[[#This Row],[Order Date]])/3,0)</f>
        <v>Q4</v>
      </c>
      <c r="F762" s="1">
        <v>46682</v>
      </c>
      <c r="G762" s="1">
        <v>46686</v>
      </c>
      <c r="H762" t="s">
        <v>2509</v>
      </c>
      <c r="I762" t="s">
        <v>2510</v>
      </c>
      <c r="J762" t="s">
        <v>33</v>
      </c>
      <c r="K762" t="s">
        <v>22</v>
      </c>
      <c r="L762" t="s">
        <v>85</v>
      </c>
      <c r="M762" t="s">
        <v>86</v>
      </c>
      <c r="N762" t="s">
        <v>87</v>
      </c>
      <c r="O762" t="s">
        <v>26</v>
      </c>
      <c r="P762" t="s">
        <v>92</v>
      </c>
      <c r="Q762" t="s">
        <v>246</v>
      </c>
      <c r="R762">
        <v>13521.05</v>
      </c>
      <c r="S762">
        <v>7</v>
      </c>
      <c r="T762">
        <v>0</v>
      </c>
      <c r="U762" t="str">
        <f>IF(Retail_data[[#This Row],[Sales]]&gt;30000,"High",IF(Retail_data[[#This Row],[Sales]]&gt;10000,"Medium","Low"))</f>
        <v>Medium</v>
      </c>
      <c r="V762" s="3">
        <f>Retail_data[[#This Row],[Profit]]/Retail_data[[#This Row],[Sales]]</f>
        <v>0.10621142588778239</v>
      </c>
      <c r="W762">
        <v>1436.09</v>
      </c>
      <c r="X762" t="s">
        <v>81</v>
      </c>
    </row>
    <row r="763" spans="1:24" ht="13.8" x14ac:dyDescent="0.25">
      <c r="A763" t="s">
        <v>2511</v>
      </c>
      <c r="B763">
        <f>YEAR(Retail_data[[#This Row],[Order Date]])</f>
        <v>2027</v>
      </c>
      <c r="C763" t="str">
        <f>TEXT(Retail_data[[#This Row],[Order Date]],"mmmm")</f>
        <v>October</v>
      </c>
      <c r="D763">
        <f>MONTH(Retail_data[[#This Row],[Order Date]])</f>
        <v>10</v>
      </c>
      <c r="E763" t="str">
        <f>"Q"&amp;ROUNDUP(MONTH(Retail_data[[#This Row],[Order Date]])/3,0)</f>
        <v>Q4</v>
      </c>
      <c r="F763" s="1">
        <v>46683</v>
      </c>
      <c r="G763" s="1">
        <v>46687</v>
      </c>
      <c r="H763" t="s">
        <v>2512</v>
      </c>
      <c r="I763" t="s">
        <v>2513</v>
      </c>
      <c r="J763" t="s">
        <v>33</v>
      </c>
      <c r="K763" t="s">
        <v>22</v>
      </c>
      <c r="L763" t="s">
        <v>45</v>
      </c>
      <c r="M763" t="s">
        <v>45</v>
      </c>
      <c r="N763" t="s">
        <v>25</v>
      </c>
      <c r="O763" t="s">
        <v>26</v>
      </c>
      <c r="P763" t="s">
        <v>70</v>
      </c>
      <c r="Q763" t="s">
        <v>1451</v>
      </c>
      <c r="R763">
        <v>28115.11</v>
      </c>
      <c r="S763">
        <v>8</v>
      </c>
      <c r="T763">
        <v>0</v>
      </c>
      <c r="U763" t="str">
        <f>IF(Retail_data[[#This Row],[Sales]]&gt;30000,"High",IF(Retail_data[[#This Row],[Sales]]&gt;10000,"Medium","Low"))</f>
        <v>Medium</v>
      </c>
      <c r="V763" s="3">
        <f>Retail_data[[#This Row],[Profit]]/Retail_data[[#This Row],[Sales]]</f>
        <v>0.24446463129612508</v>
      </c>
      <c r="W763">
        <v>6873.15</v>
      </c>
      <c r="X763" t="s">
        <v>29</v>
      </c>
    </row>
    <row r="764" spans="1:24" ht="13.8" x14ac:dyDescent="0.25">
      <c r="A764" t="s">
        <v>2514</v>
      </c>
      <c r="B764">
        <f>YEAR(Retail_data[[#This Row],[Order Date]])</f>
        <v>2027</v>
      </c>
      <c r="C764" t="str">
        <f>TEXT(Retail_data[[#This Row],[Order Date]],"mmmm")</f>
        <v>October</v>
      </c>
      <c r="D764">
        <f>MONTH(Retail_data[[#This Row],[Order Date]])</f>
        <v>10</v>
      </c>
      <c r="E764" t="str">
        <f>"Q"&amp;ROUNDUP(MONTH(Retail_data[[#This Row],[Order Date]])/3,0)</f>
        <v>Q4</v>
      </c>
      <c r="F764" s="1">
        <v>46684</v>
      </c>
      <c r="G764" s="1">
        <v>46688</v>
      </c>
      <c r="H764" t="s">
        <v>2515</v>
      </c>
      <c r="I764" t="s">
        <v>2516</v>
      </c>
      <c r="J764" t="s">
        <v>44</v>
      </c>
      <c r="K764" t="s">
        <v>22</v>
      </c>
      <c r="L764" t="s">
        <v>45</v>
      </c>
      <c r="M764" t="s">
        <v>45</v>
      </c>
      <c r="N764" t="s">
        <v>25</v>
      </c>
      <c r="O764" t="s">
        <v>37</v>
      </c>
      <c r="P764" t="s">
        <v>46</v>
      </c>
      <c r="Q764" t="s">
        <v>968</v>
      </c>
      <c r="R764">
        <v>41741.74</v>
      </c>
      <c r="S764">
        <v>8</v>
      </c>
      <c r="T764">
        <v>0.1</v>
      </c>
      <c r="U764" t="str">
        <f>IF(Retail_data[[#This Row],[Sales]]&gt;30000,"High",IF(Retail_data[[#This Row],[Sales]]&gt;10000,"Medium","Low"))</f>
        <v>High</v>
      </c>
      <c r="V764" s="3">
        <f>Retail_data[[#This Row],[Profit]]/Retail_data[[#This Row],[Sales]]</f>
        <v>0.20491287617622075</v>
      </c>
      <c r="W764">
        <v>8553.42</v>
      </c>
      <c r="X764" t="s">
        <v>40</v>
      </c>
    </row>
    <row r="765" spans="1:24" ht="13.8" x14ac:dyDescent="0.25">
      <c r="A765" t="s">
        <v>2517</v>
      </c>
      <c r="B765">
        <f>YEAR(Retail_data[[#This Row],[Order Date]])</f>
        <v>2027</v>
      </c>
      <c r="C765" t="str">
        <f>TEXT(Retail_data[[#This Row],[Order Date]],"mmmm")</f>
        <v>October</v>
      </c>
      <c r="D765">
        <f>MONTH(Retail_data[[#This Row],[Order Date]])</f>
        <v>10</v>
      </c>
      <c r="E765" t="str">
        <f>"Q"&amp;ROUNDUP(MONTH(Retail_data[[#This Row],[Order Date]])/3,0)</f>
        <v>Q4</v>
      </c>
      <c r="F765" s="1">
        <v>46685</v>
      </c>
      <c r="G765" s="1">
        <v>46689</v>
      </c>
      <c r="H765" t="s">
        <v>2518</v>
      </c>
      <c r="I765" t="s">
        <v>2519</v>
      </c>
      <c r="J765" t="s">
        <v>33</v>
      </c>
      <c r="K765" t="s">
        <v>22</v>
      </c>
      <c r="L765" t="s">
        <v>34</v>
      </c>
      <c r="M765" t="s">
        <v>35</v>
      </c>
      <c r="N765" t="s">
        <v>36</v>
      </c>
      <c r="O765" t="s">
        <v>57</v>
      </c>
      <c r="P765" t="s">
        <v>79</v>
      </c>
      <c r="Q765" t="s">
        <v>137</v>
      </c>
      <c r="R765">
        <v>36719.46</v>
      </c>
      <c r="S765">
        <v>5</v>
      </c>
      <c r="T765">
        <v>0</v>
      </c>
      <c r="U765" t="str">
        <f>IF(Retail_data[[#This Row],[Sales]]&gt;30000,"High",IF(Retail_data[[#This Row],[Sales]]&gt;10000,"Medium","Low"))</f>
        <v>High</v>
      </c>
      <c r="V765" s="3">
        <f>Retail_data[[#This Row],[Profit]]/Retail_data[[#This Row],[Sales]]</f>
        <v>0.10380735446545238</v>
      </c>
      <c r="W765">
        <v>3811.75</v>
      </c>
      <c r="X765" t="s">
        <v>40</v>
      </c>
    </row>
    <row r="766" spans="1:24" ht="13.8" x14ac:dyDescent="0.25">
      <c r="A766" t="s">
        <v>2520</v>
      </c>
      <c r="B766">
        <f>YEAR(Retail_data[[#This Row],[Order Date]])</f>
        <v>2027</v>
      </c>
      <c r="C766" t="str">
        <f>TEXT(Retail_data[[#This Row],[Order Date]],"mmmm")</f>
        <v>October</v>
      </c>
      <c r="D766">
        <f>MONTH(Retail_data[[#This Row],[Order Date]])</f>
        <v>10</v>
      </c>
      <c r="E766" t="str">
        <f>"Q"&amp;ROUNDUP(MONTH(Retail_data[[#This Row],[Order Date]])/3,0)</f>
        <v>Q4</v>
      </c>
      <c r="F766" s="1">
        <v>46686</v>
      </c>
      <c r="G766" s="1">
        <v>46690</v>
      </c>
      <c r="H766" t="s">
        <v>2521</v>
      </c>
      <c r="I766" t="s">
        <v>2522</v>
      </c>
      <c r="J766" t="s">
        <v>33</v>
      </c>
      <c r="K766" t="s">
        <v>22</v>
      </c>
      <c r="L766" t="s">
        <v>67</v>
      </c>
      <c r="M766" t="s">
        <v>68</v>
      </c>
      <c r="N766" t="s">
        <v>69</v>
      </c>
      <c r="O766" t="s">
        <v>37</v>
      </c>
      <c r="P766" t="s">
        <v>46</v>
      </c>
      <c r="Q766" t="s">
        <v>202</v>
      </c>
      <c r="R766">
        <v>49140.49</v>
      </c>
      <c r="S766">
        <v>5</v>
      </c>
      <c r="T766">
        <v>0.3</v>
      </c>
      <c r="U766" t="str">
        <f>IF(Retail_data[[#This Row],[Sales]]&gt;30000,"High",IF(Retail_data[[#This Row],[Sales]]&gt;10000,"Medium","Low"))</f>
        <v>High</v>
      </c>
      <c r="V766" s="3">
        <f>Retail_data[[#This Row],[Profit]]/Retail_data[[#This Row],[Sales]]</f>
        <v>3.8737505466469709E-2</v>
      </c>
      <c r="W766">
        <v>1903.58</v>
      </c>
      <c r="X766" t="s">
        <v>40</v>
      </c>
    </row>
    <row r="767" spans="1:24" ht="13.8" x14ac:dyDescent="0.25">
      <c r="A767" t="s">
        <v>2523</v>
      </c>
      <c r="B767">
        <f>YEAR(Retail_data[[#This Row],[Order Date]])</f>
        <v>2027</v>
      </c>
      <c r="C767" t="str">
        <f>TEXT(Retail_data[[#This Row],[Order Date]],"mmmm")</f>
        <v>October</v>
      </c>
      <c r="D767">
        <f>MONTH(Retail_data[[#This Row],[Order Date]])</f>
        <v>10</v>
      </c>
      <c r="E767" t="str">
        <f>"Q"&amp;ROUNDUP(MONTH(Retail_data[[#This Row],[Order Date]])/3,0)</f>
        <v>Q4</v>
      </c>
      <c r="F767" s="1">
        <v>46687</v>
      </c>
      <c r="G767" s="1">
        <v>46691</v>
      </c>
      <c r="H767" t="s">
        <v>2524</v>
      </c>
      <c r="I767" t="s">
        <v>2525</v>
      </c>
      <c r="J767" t="s">
        <v>44</v>
      </c>
      <c r="K767" t="s">
        <v>22</v>
      </c>
      <c r="L767" t="s">
        <v>23</v>
      </c>
      <c r="M767" t="s">
        <v>24</v>
      </c>
      <c r="N767" t="s">
        <v>25</v>
      </c>
      <c r="O767" t="s">
        <v>37</v>
      </c>
      <c r="P767" t="s">
        <v>52</v>
      </c>
      <c r="Q767" t="s">
        <v>101</v>
      </c>
      <c r="R767">
        <v>9709.67</v>
      </c>
      <c r="S767">
        <v>7</v>
      </c>
      <c r="T767">
        <v>0</v>
      </c>
      <c r="U767" t="str">
        <f>IF(Retail_data[[#This Row],[Sales]]&gt;30000,"High",IF(Retail_data[[#This Row],[Sales]]&gt;10000,"Medium","Low"))</f>
        <v>Low</v>
      </c>
      <c r="V767" s="3">
        <f>Retail_data[[#This Row],[Profit]]/Retail_data[[#This Row],[Sales]]</f>
        <v>0.15408041673918887</v>
      </c>
      <c r="W767">
        <v>1496.07</v>
      </c>
      <c r="X767" t="s">
        <v>40</v>
      </c>
    </row>
    <row r="768" spans="1:24" ht="13.8" x14ac:dyDescent="0.25">
      <c r="A768" t="s">
        <v>2526</v>
      </c>
      <c r="B768">
        <f>YEAR(Retail_data[[#This Row],[Order Date]])</f>
        <v>2027</v>
      </c>
      <c r="C768" t="str">
        <f>TEXT(Retail_data[[#This Row],[Order Date]],"mmmm")</f>
        <v>October</v>
      </c>
      <c r="D768">
        <f>MONTH(Retail_data[[#This Row],[Order Date]])</f>
        <v>10</v>
      </c>
      <c r="E768" t="str">
        <f>"Q"&amp;ROUNDUP(MONTH(Retail_data[[#This Row],[Order Date]])/3,0)</f>
        <v>Q4</v>
      </c>
      <c r="F768" s="1">
        <v>46688</v>
      </c>
      <c r="G768" s="1">
        <v>46692</v>
      </c>
      <c r="H768" t="s">
        <v>2527</v>
      </c>
      <c r="I768" t="s">
        <v>2528</v>
      </c>
      <c r="J768" t="s">
        <v>33</v>
      </c>
      <c r="K768" t="s">
        <v>22</v>
      </c>
      <c r="L768" t="s">
        <v>34</v>
      </c>
      <c r="M768" t="s">
        <v>35</v>
      </c>
      <c r="N768" t="s">
        <v>36</v>
      </c>
      <c r="O768" t="s">
        <v>26</v>
      </c>
      <c r="P768" t="s">
        <v>92</v>
      </c>
      <c r="Q768" t="s">
        <v>109</v>
      </c>
      <c r="R768">
        <v>9057.5400000000009</v>
      </c>
      <c r="S768">
        <v>3</v>
      </c>
      <c r="T768">
        <v>0.1</v>
      </c>
      <c r="U768" t="str">
        <f>IF(Retail_data[[#This Row],[Sales]]&gt;30000,"High",IF(Retail_data[[#This Row],[Sales]]&gt;10000,"Medium","Low"))</f>
        <v>Low</v>
      </c>
      <c r="V768" s="3">
        <f>Retail_data[[#This Row],[Profit]]/Retail_data[[#This Row],[Sales]]</f>
        <v>3.493663842500281E-2</v>
      </c>
      <c r="W768">
        <v>316.44</v>
      </c>
      <c r="X768" t="s">
        <v>81</v>
      </c>
    </row>
    <row r="769" spans="1:24" ht="13.8" x14ac:dyDescent="0.25">
      <c r="A769" t="s">
        <v>2529</v>
      </c>
      <c r="B769">
        <f>YEAR(Retail_data[[#This Row],[Order Date]])</f>
        <v>2027</v>
      </c>
      <c r="C769" t="str">
        <f>TEXT(Retail_data[[#This Row],[Order Date]],"mmmm")</f>
        <v>October</v>
      </c>
      <c r="D769">
        <f>MONTH(Retail_data[[#This Row],[Order Date]])</f>
        <v>10</v>
      </c>
      <c r="E769" t="str">
        <f>"Q"&amp;ROUNDUP(MONTH(Retail_data[[#This Row],[Order Date]])/3,0)</f>
        <v>Q4</v>
      </c>
      <c r="F769" s="1">
        <v>46689</v>
      </c>
      <c r="G769" s="1">
        <v>46693</v>
      </c>
      <c r="H769" t="s">
        <v>2530</v>
      </c>
      <c r="I769" t="s">
        <v>2531</v>
      </c>
      <c r="J769" t="s">
        <v>44</v>
      </c>
      <c r="K769" t="s">
        <v>22</v>
      </c>
      <c r="L769" t="s">
        <v>45</v>
      </c>
      <c r="M769" t="s">
        <v>45</v>
      </c>
      <c r="N769" t="s">
        <v>25</v>
      </c>
      <c r="O769" t="s">
        <v>26</v>
      </c>
      <c r="P769" t="s">
        <v>70</v>
      </c>
      <c r="Q769" t="s">
        <v>161</v>
      </c>
      <c r="R769">
        <v>23390.44</v>
      </c>
      <c r="S769">
        <v>7</v>
      </c>
      <c r="T769">
        <v>0.2</v>
      </c>
      <c r="U769" t="str">
        <f>IF(Retail_data[[#This Row],[Sales]]&gt;30000,"High",IF(Retail_data[[#This Row],[Sales]]&gt;10000,"Medium","Low"))</f>
        <v>Medium</v>
      </c>
      <c r="V769" s="3">
        <f>Retail_data[[#This Row],[Profit]]/Retail_data[[#This Row],[Sales]]</f>
        <v>-1.2396090026523657E-2</v>
      </c>
      <c r="W769">
        <v>-289.95</v>
      </c>
      <c r="X769" t="s">
        <v>29</v>
      </c>
    </row>
    <row r="770" spans="1:24" ht="13.8" x14ac:dyDescent="0.25">
      <c r="A770" t="s">
        <v>2532</v>
      </c>
      <c r="B770">
        <f>YEAR(Retail_data[[#This Row],[Order Date]])</f>
        <v>2027</v>
      </c>
      <c r="C770" t="str">
        <f>TEXT(Retail_data[[#This Row],[Order Date]],"mmmm")</f>
        <v>October</v>
      </c>
      <c r="D770">
        <f>MONTH(Retail_data[[#This Row],[Order Date]])</f>
        <v>10</v>
      </c>
      <c r="E770" t="str">
        <f>"Q"&amp;ROUNDUP(MONTH(Retail_data[[#This Row],[Order Date]])/3,0)</f>
        <v>Q4</v>
      </c>
      <c r="F770" s="1">
        <v>46690</v>
      </c>
      <c r="G770" s="1">
        <v>46694</v>
      </c>
      <c r="H770" t="s">
        <v>2533</v>
      </c>
      <c r="I770" t="s">
        <v>2534</v>
      </c>
      <c r="J770" t="s">
        <v>33</v>
      </c>
      <c r="K770" t="s">
        <v>22</v>
      </c>
      <c r="L770" t="s">
        <v>23</v>
      </c>
      <c r="M770" t="s">
        <v>24</v>
      </c>
      <c r="N770" t="s">
        <v>25</v>
      </c>
      <c r="O770" t="s">
        <v>57</v>
      </c>
      <c r="P770" t="s">
        <v>149</v>
      </c>
      <c r="Q770" t="s">
        <v>453</v>
      </c>
      <c r="R770">
        <v>33891.65</v>
      </c>
      <c r="S770">
        <v>1</v>
      </c>
      <c r="T770">
        <v>0</v>
      </c>
      <c r="U770" t="str">
        <f>IF(Retail_data[[#This Row],[Sales]]&gt;30000,"High",IF(Retail_data[[#This Row],[Sales]]&gt;10000,"Medium","Low"))</f>
        <v>High</v>
      </c>
      <c r="V770" s="3">
        <f>Retail_data[[#This Row],[Profit]]/Retail_data[[#This Row],[Sales]]</f>
        <v>6.7022703232212072E-2</v>
      </c>
      <c r="W770">
        <v>2271.5100000000002</v>
      </c>
      <c r="X770" t="s">
        <v>29</v>
      </c>
    </row>
    <row r="771" spans="1:24" ht="13.8" x14ac:dyDescent="0.25">
      <c r="A771" t="s">
        <v>2535</v>
      </c>
      <c r="B771">
        <f>YEAR(Retail_data[[#This Row],[Order Date]])</f>
        <v>2027</v>
      </c>
      <c r="C771" t="str">
        <f>TEXT(Retail_data[[#This Row],[Order Date]],"mmmm")</f>
        <v>October</v>
      </c>
      <c r="D771">
        <f>MONTH(Retail_data[[#This Row],[Order Date]])</f>
        <v>10</v>
      </c>
      <c r="E771" t="str">
        <f>"Q"&amp;ROUNDUP(MONTH(Retail_data[[#This Row],[Order Date]])/3,0)</f>
        <v>Q4</v>
      </c>
      <c r="F771" s="1">
        <v>46691</v>
      </c>
      <c r="G771" s="1">
        <v>46695</v>
      </c>
      <c r="H771" t="s">
        <v>2536</v>
      </c>
      <c r="I771" t="s">
        <v>2537</v>
      </c>
      <c r="J771" t="s">
        <v>21</v>
      </c>
      <c r="K771" t="s">
        <v>22</v>
      </c>
      <c r="L771" t="s">
        <v>23</v>
      </c>
      <c r="M771" t="s">
        <v>24</v>
      </c>
      <c r="N771" t="s">
        <v>25</v>
      </c>
      <c r="O771" t="s">
        <v>37</v>
      </c>
      <c r="P771" t="s">
        <v>46</v>
      </c>
      <c r="Q771" t="s">
        <v>105</v>
      </c>
      <c r="R771">
        <v>683.59</v>
      </c>
      <c r="S771">
        <v>1</v>
      </c>
      <c r="T771">
        <v>0</v>
      </c>
      <c r="U771" t="str">
        <f>IF(Retail_data[[#This Row],[Sales]]&gt;30000,"High",IF(Retail_data[[#This Row],[Sales]]&gt;10000,"Medium","Low"))</f>
        <v>Low</v>
      </c>
      <c r="V771" s="3">
        <f>Retail_data[[#This Row],[Profit]]/Retail_data[[#This Row],[Sales]]</f>
        <v>6.8505975804210126E-2</v>
      </c>
      <c r="W771">
        <v>46.83</v>
      </c>
      <c r="X771" t="s">
        <v>81</v>
      </c>
    </row>
    <row r="772" spans="1:24" ht="13.8" x14ac:dyDescent="0.25">
      <c r="A772" t="s">
        <v>2538</v>
      </c>
      <c r="B772">
        <f>YEAR(Retail_data[[#This Row],[Order Date]])</f>
        <v>2027</v>
      </c>
      <c r="C772" t="str">
        <f>TEXT(Retail_data[[#This Row],[Order Date]],"mmmm")</f>
        <v>November</v>
      </c>
      <c r="D772">
        <f>MONTH(Retail_data[[#This Row],[Order Date]])</f>
        <v>11</v>
      </c>
      <c r="E772" t="str">
        <f>"Q"&amp;ROUNDUP(MONTH(Retail_data[[#This Row],[Order Date]])/3,0)</f>
        <v>Q4</v>
      </c>
      <c r="F772" s="1">
        <v>46692</v>
      </c>
      <c r="G772" s="1">
        <v>46696</v>
      </c>
      <c r="H772" t="s">
        <v>2539</v>
      </c>
      <c r="I772" t="s">
        <v>2540</v>
      </c>
      <c r="J772" t="s">
        <v>33</v>
      </c>
      <c r="K772" t="s">
        <v>22</v>
      </c>
      <c r="L772" t="s">
        <v>67</v>
      </c>
      <c r="M772" t="s">
        <v>68</v>
      </c>
      <c r="N772" t="s">
        <v>69</v>
      </c>
      <c r="O772" t="s">
        <v>26</v>
      </c>
      <c r="P772" t="s">
        <v>27</v>
      </c>
      <c r="Q772" t="s">
        <v>599</v>
      </c>
      <c r="R772">
        <v>41205.89</v>
      </c>
      <c r="S772">
        <v>7</v>
      </c>
      <c r="T772">
        <v>0.1</v>
      </c>
      <c r="U772" t="str">
        <f>IF(Retail_data[[#This Row],[Sales]]&gt;30000,"High",IF(Retail_data[[#This Row],[Sales]]&gt;10000,"Medium","Low"))</f>
        <v>High</v>
      </c>
      <c r="V772" s="3">
        <f>Retail_data[[#This Row],[Profit]]/Retail_data[[#This Row],[Sales]]</f>
        <v>0.17981142987082671</v>
      </c>
      <c r="W772">
        <v>7409.29</v>
      </c>
      <c r="X772" t="s">
        <v>48</v>
      </c>
    </row>
    <row r="773" spans="1:24" ht="13.8" x14ac:dyDescent="0.25">
      <c r="A773" t="s">
        <v>2541</v>
      </c>
      <c r="B773">
        <f>YEAR(Retail_data[[#This Row],[Order Date]])</f>
        <v>2027</v>
      </c>
      <c r="C773" t="str">
        <f>TEXT(Retail_data[[#This Row],[Order Date]],"mmmm")</f>
        <v>November</v>
      </c>
      <c r="D773">
        <f>MONTH(Retail_data[[#This Row],[Order Date]])</f>
        <v>11</v>
      </c>
      <c r="E773" t="str">
        <f>"Q"&amp;ROUNDUP(MONTH(Retail_data[[#This Row],[Order Date]])/3,0)</f>
        <v>Q4</v>
      </c>
      <c r="F773" s="1">
        <v>46693</v>
      </c>
      <c r="G773" s="1">
        <v>46697</v>
      </c>
      <c r="H773" t="s">
        <v>2542</v>
      </c>
      <c r="I773" t="s">
        <v>2543</v>
      </c>
      <c r="J773" t="s">
        <v>33</v>
      </c>
      <c r="K773" t="s">
        <v>22</v>
      </c>
      <c r="L773" t="s">
        <v>23</v>
      </c>
      <c r="M773" t="s">
        <v>24</v>
      </c>
      <c r="N773" t="s">
        <v>25</v>
      </c>
      <c r="O773" t="s">
        <v>37</v>
      </c>
      <c r="P773" t="s">
        <v>46</v>
      </c>
      <c r="Q773" t="s">
        <v>563</v>
      </c>
      <c r="R773">
        <v>14002.39</v>
      </c>
      <c r="S773">
        <v>4</v>
      </c>
      <c r="T773">
        <v>0.2</v>
      </c>
      <c r="U773" t="str">
        <f>IF(Retail_data[[#This Row],[Sales]]&gt;30000,"High",IF(Retail_data[[#This Row],[Sales]]&gt;10000,"Medium","Low"))</f>
        <v>Medium</v>
      </c>
      <c r="V773" s="3">
        <f>Retail_data[[#This Row],[Profit]]/Retail_data[[#This Row],[Sales]]</f>
        <v>8.4357027621713154E-2</v>
      </c>
      <c r="W773">
        <v>1181.2</v>
      </c>
      <c r="X773" t="s">
        <v>40</v>
      </c>
    </row>
    <row r="774" spans="1:24" ht="13.8" x14ac:dyDescent="0.25">
      <c r="A774" t="s">
        <v>2544</v>
      </c>
      <c r="B774">
        <f>YEAR(Retail_data[[#This Row],[Order Date]])</f>
        <v>2027</v>
      </c>
      <c r="C774" t="str">
        <f>TEXT(Retail_data[[#This Row],[Order Date]],"mmmm")</f>
        <v>November</v>
      </c>
      <c r="D774">
        <f>MONTH(Retail_data[[#This Row],[Order Date]])</f>
        <v>11</v>
      </c>
      <c r="E774" t="str">
        <f>"Q"&amp;ROUNDUP(MONTH(Retail_data[[#This Row],[Order Date]])/3,0)</f>
        <v>Q4</v>
      </c>
      <c r="F774" s="1">
        <v>46694</v>
      </c>
      <c r="G774" s="1">
        <v>46698</v>
      </c>
      <c r="H774" t="s">
        <v>2545</v>
      </c>
      <c r="I774" t="s">
        <v>2546</v>
      </c>
      <c r="J774" t="s">
        <v>21</v>
      </c>
      <c r="K774" t="s">
        <v>22</v>
      </c>
      <c r="L774" t="s">
        <v>67</v>
      </c>
      <c r="M774" t="s">
        <v>68</v>
      </c>
      <c r="N774" t="s">
        <v>69</v>
      </c>
      <c r="O774" t="s">
        <v>37</v>
      </c>
      <c r="P774" t="s">
        <v>52</v>
      </c>
      <c r="Q774" t="s">
        <v>763</v>
      </c>
      <c r="R774">
        <v>4726.91</v>
      </c>
      <c r="S774">
        <v>3</v>
      </c>
      <c r="T774">
        <v>0</v>
      </c>
      <c r="U774" t="str">
        <f>IF(Retail_data[[#This Row],[Sales]]&gt;30000,"High",IF(Retail_data[[#This Row],[Sales]]&gt;10000,"Medium","Low"))</f>
        <v>Low</v>
      </c>
      <c r="V774" s="3">
        <f>Retail_data[[#This Row],[Profit]]/Retail_data[[#This Row],[Sales]]</f>
        <v>0.17385776331683911</v>
      </c>
      <c r="W774">
        <v>821.81</v>
      </c>
      <c r="X774" t="s">
        <v>29</v>
      </c>
    </row>
    <row r="775" spans="1:24" ht="13.8" x14ac:dyDescent="0.25">
      <c r="A775" t="s">
        <v>2547</v>
      </c>
      <c r="B775">
        <f>YEAR(Retail_data[[#This Row],[Order Date]])</f>
        <v>2027</v>
      </c>
      <c r="C775" t="str">
        <f>TEXT(Retail_data[[#This Row],[Order Date]],"mmmm")</f>
        <v>November</v>
      </c>
      <c r="D775">
        <f>MONTH(Retail_data[[#This Row],[Order Date]])</f>
        <v>11</v>
      </c>
      <c r="E775" t="str">
        <f>"Q"&amp;ROUNDUP(MONTH(Retail_data[[#This Row],[Order Date]])/3,0)</f>
        <v>Q4</v>
      </c>
      <c r="F775" s="1">
        <v>46695</v>
      </c>
      <c r="G775" s="1">
        <v>46699</v>
      </c>
      <c r="H775" t="s">
        <v>2548</v>
      </c>
      <c r="I775" t="s">
        <v>2549</v>
      </c>
      <c r="J775" t="s">
        <v>44</v>
      </c>
      <c r="K775" t="s">
        <v>22</v>
      </c>
      <c r="L775" t="s">
        <v>67</v>
      </c>
      <c r="M775" t="s">
        <v>68</v>
      </c>
      <c r="N775" t="s">
        <v>69</v>
      </c>
      <c r="O775" t="s">
        <v>37</v>
      </c>
      <c r="P775" t="s">
        <v>52</v>
      </c>
      <c r="Q775" t="s">
        <v>641</v>
      </c>
      <c r="R775">
        <v>914.46</v>
      </c>
      <c r="S775">
        <v>7</v>
      </c>
      <c r="T775">
        <v>0.1</v>
      </c>
      <c r="U775" t="str">
        <f>IF(Retail_data[[#This Row],[Sales]]&gt;30000,"High",IF(Retail_data[[#This Row],[Sales]]&gt;10000,"Medium","Low"))</f>
        <v>Low</v>
      </c>
      <c r="V775" s="3">
        <f>Retail_data[[#This Row],[Profit]]/Retail_data[[#This Row],[Sales]]</f>
        <v>1.9213524921811779E-2</v>
      </c>
      <c r="W775">
        <v>17.57</v>
      </c>
      <c r="X775" t="s">
        <v>29</v>
      </c>
    </row>
    <row r="776" spans="1:24" ht="13.8" x14ac:dyDescent="0.25">
      <c r="A776" t="s">
        <v>2550</v>
      </c>
      <c r="B776">
        <f>YEAR(Retail_data[[#This Row],[Order Date]])</f>
        <v>2027</v>
      </c>
      <c r="C776" t="str">
        <f>TEXT(Retail_data[[#This Row],[Order Date]],"mmmm")</f>
        <v>November</v>
      </c>
      <c r="D776">
        <f>MONTH(Retail_data[[#This Row],[Order Date]])</f>
        <v>11</v>
      </c>
      <c r="E776" t="str">
        <f>"Q"&amp;ROUNDUP(MONTH(Retail_data[[#This Row],[Order Date]])/3,0)</f>
        <v>Q4</v>
      </c>
      <c r="F776" s="1">
        <v>46696</v>
      </c>
      <c r="G776" s="1">
        <v>46700</v>
      </c>
      <c r="H776" t="s">
        <v>2551</v>
      </c>
      <c r="I776" t="s">
        <v>2552</v>
      </c>
      <c r="J776" t="s">
        <v>21</v>
      </c>
      <c r="K776" t="s">
        <v>22</v>
      </c>
      <c r="L776" t="s">
        <v>67</v>
      </c>
      <c r="M776" t="s">
        <v>68</v>
      </c>
      <c r="N776" t="s">
        <v>69</v>
      </c>
      <c r="O776" t="s">
        <v>26</v>
      </c>
      <c r="P776" t="s">
        <v>27</v>
      </c>
      <c r="Q776" t="s">
        <v>449</v>
      </c>
      <c r="R776">
        <v>46276.57</v>
      </c>
      <c r="S776">
        <v>4</v>
      </c>
      <c r="T776">
        <v>0.3</v>
      </c>
      <c r="U776" t="str">
        <f>IF(Retail_data[[#This Row],[Sales]]&gt;30000,"High",IF(Retail_data[[#This Row],[Sales]]&gt;10000,"Medium","Low"))</f>
        <v>High</v>
      </c>
      <c r="V776" s="3">
        <f>Retail_data[[#This Row],[Profit]]/Retail_data[[#This Row],[Sales]]</f>
        <v>-1.7040372698322283E-2</v>
      </c>
      <c r="W776">
        <v>-788.57</v>
      </c>
      <c r="X776" t="s">
        <v>81</v>
      </c>
    </row>
    <row r="777" spans="1:24" ht="13.8" x14ac:dyDescent="0.25">
      <c r="A777" t="s">
        <v>2553</v>
      </c>
      <c r="B777">
        <f>YEAR(Retail_data[[#This Row],[Order Date]])</f>
        <v>2027</v>
      </c>
      <c r="C777" t="str">
        <f>TEXT(Retail_data[[#This Row],[Order Date]],"mmmm")</f>
        <v>November</v>
      </c>
      <c r="D777">
        <f>MONTH(Retail_data[[#This Row],[Order Date]])</f>
        <v>11</v>
      </c>
      <c r="E777" t="str">
        <f>"Q"&amp;ROUNDUP(MONTH(Retail_data[[#This Row],[Order Date]])/3,0)</f>
        <v>Q4</v>
      </c>
      <c r="F777" s="1">
        <v>46697</v>
      </c>
      <c r="G777" s="1">
        <v>46701</v>
      </c>
      <c r="H777" t="s">
        <v>2554</v>
      </c>
      <c r="I777" t="s">
        <v>2555</v>
      </c>
      <c r="J777" t="s">
        <v>21</v>
      </c>
      <c r="K777" t="s">
        <v>22</v>
      </c>
      <c r="L777" t="s">
        <v>85</v>
      </c>
      <c r="M777" t="s">
        <v>86</v>
      </c>
      <c r="N777" t="s">
        <v>87</v>
      </c>
      <c r="O777" t="s">
        <v>57</v>
      </c>
      <c r="P777" t="s">
        <v>58</v>
      </c>
      <c r="Q777" t="s">
        <v>1282</v>
      </c>
      <c r="R777">
        <v>27722.720000000001</v>
      </c>
      <c r="S777">
        <v>5</v>
      </c>
      <c r="T777">
        <v>0.2</v>
      </c>
      <c r="U777" t="str">
        <f>IF(Retail_data[[#This Row],[Sales]]&gt;30000,"High",IF(Retail_data[[#This Row],[Sales]]&gt;10000,"Medium","Low"))</f>
        <v>Medium</v>
      </c>
      <c r="V777" s="3">
        <f>Retail_data[[#This Row],[Profit]]/Retail_data[[#This Row],[Sales]]</f>
        <v>0.16798748463354243</v>
      </c>
      <c r="W777">
        <v>4657.07</v>
      </c>
      <c r="X777" t="s">
        <v>40</v>
      </c>
    </row>
    <row r="778" spans="1:24" ht="13.8" x14ac:dyDescent="0.25">
      <c r="A778" t="s">
        <v>2556</v>
      </c>
      <c r="B778">
        <f>YEAR(Retail_data[[#This Row],[Order Date]])</f>
        <v>2027</v>
      </c>
      <c r="C778" t="str">
        <f>TEXT(Retail_data[[#This Row],[Order Date]],"mmmm")</f>
        <v>November</v>
      </c>
      <c r="D778">
        <f>MONTH(Retail_data[[#This Row],[Order Date]])</f>
        <v>11</v>
      </c>
      <c r="E778" t="str">
        <f>"Q"&amp;ROUNDUP(MONTH(Retail_data[[#This Row],[Order Date]])/3,0)</f>
        <v>Q4</v>
      </c>
      <c r="F778" s="1">
        <v>46698</v>
      </c>
      <c r="G778" s="1">
        <v>46702</v>
      </c>
      <c r="H778" t="s">
        <v>2557</v>
      </c>
      <c r="I778" t="s">
        <v>2558</v>
      </c>
      <c r="J778" t="s">
        <v>21</v>
      </c>
      <c r="K778" t="s">
        <v>22</v>
      </c>
      <c r="L778" t="s">
        <v>45</v>
      </c>
      <c r="M778" t="s">
        <v>45</v>
      </c>
      <c r="N778" t="s">
        <v>25</v>
      </c>
      <c r="O778" t="s">
        <v>57</v>
      </c>
      <c r="P778" t="s">
        <v>58</v>
      </c>
      <c r="Q778" t="s">
        <v>387</v>
      </c>
      <c r="R778">
        <v>14093.5</v>
      </c>
      <c r="S778">
        <v>1</v>
      </c>
      <c r="T778">
        <v>0</v>
      </c>
      <c r="U778" t="str">
        <f>IF(Retail_data[[#This Row],[Sales]]&gt;30000,"High",IF(Retail_data[[#This Row],[Sales]]&gt;10000,"Medium","Low"))</f>
        <v>Medium</v>
      </c>
      <c r="V778" s="3">
        <f>Retail_data[[#This Row],[Profit]]/Retail_data[[#This Row],[Sales]]</f>
        <v>0.2816724021712137</v>
      </c>
      <c r="W778">
        <v>3969.75</v>
      </c>
      <c r="X778" t="s">
        <v>48</v>
      </c>
    </row>
    <row r="779" spans="1:24" ht="13.8" x14ac:dyDescent="0.25">
      <c r="A779" t="s">
        <v>2559</v>
      </c>
      <c r="B779">
        <f>YEAR(Retail_data[[#This Row],[Order Date]])</f>
        <v>2027</v>
      </c>
      <c r="C779" t="str">
        <f>TEXT(Retail_data[[#This Row],[Order Date]],"mmmm")</f>
        <v>November</v>
      </c>
      <c r="D779">
        <f>MONTH(Retail_data[[#This Row],[Order Date]])</f>
        <v>11</v>
      </c>
      <c r="E779" t="str">
        <f>"Q"&amp;ROUNDUP(MONTH(Retail_data[[#This Row],[Order Date]])/3,0)</f>
        <v>Q4</v>
      </c>
      <c r="F779" s="1">
        <v>46699</v>
      </c>
      <c r="G779" s="1">
        <v>46703</v>
      </c>
      <c r="H779" t="s">
        <v>2560</v>
      </c>
      <c r="I779" t="s">
        <v>2561</v>
      </c>
      <c r="J779" t="s">
        <v>21</v>
      </c>
      <c r="K779" t="s">
        <v>22</v>
      </c>
      <c r="L779" t="s">
        <v>67</v>
      </c>
      <c r="M779" t="s">
        <v>68</v>
      </c>
      <c r="N779" t="s">
        <v>69</v>
      </c>
      <c r="O779" t="s">
        <v>26</v>
      </c>
      <c r="P779" t="s">
        <v>92</v>
      </c>
      <c r="Q779" t="s">
        <v>2562</v>
      </c>
      <c r="R779">
        <v>32471.24</v>
      </c>
      <c r="S779">
        <v>7</v>
      </c>
      <c r="T779">
        <v>0.2</v>
      </c>
      <c r="U779" t="str">
        <f>IF(Retail_data[[#This Row],[Sales]]&gt;30000,"High",IF(Retail_data[[#This Row],[Sales]]&gt;10000,"Medium","Low"))</f>
        <v>High</v>
      </c>
      <c r="V779" s="3">
        <f>Retail_data[[#This Row],[Profit]]/Retail_data[[#This Row],[Sales]]</f>
        <v>4.052201271032458E-2</v>
      </c>
      <c r="W779">
        <v>1315.8</v>
      </c>
      <c r="X779" t="s">
        <v>48</v>
      </c>
    </row>
    <row r="780" spans="1:24" ht="13.8" x14ac:dyDescent="0.25">
      <c r="A780" t="s">
        <v>2563</v>
      </c>
      <c r="B780">
        <f>YEAR(Retail_data[[#This Row],[Order Date]])</f>
        <v>2027</v>
      </c>
      <c r="C780" t="str">
        <f>TEXT(Retail_data[[#This Row],[Order Date]],"mmmm")</f>
        <v>November</v>
      </c>
      <c r="D780">
        <f>MONTH(Retail_data[[#This Row],[Order Date]])</f>
        <v>11</v>
      </c>
      <c r="E780" t="str">
        <f>"Q"&amp;ROUNDUP(MONTH(Retail_data[[#This Row],[Order Date]])/3,0)</f>
        <v>Q4</v>
      </c>
      <c r="F780" s="1">
        <v>46700</v>
      </c>
      <c r="G780" s="1">
        <v>46704</v>
      </c>
      <c r="H780" t="s">
        <v>2564</v>
      </c>
      <c r="I780" t="s">
        <v>2565</v>
      </c>
      <c r="J780" t="s">
        <v>21</v>
      </c>
      <c r="K780" t="s">
        <v>22</v>
      </c>
      <c r="L780" t="s">
        <v>67</v>
      </c>
      <c r="M780" t="s">
        <v>68</v>
      </c>
      <c r="N780" t="s">
        <v>69</v>
      </c>
      <c r="O780" t="s">
        <v>37</v>
      </c>
      <c r="P780" t="s">
        <v>46</v>
      </c>
      <c r="Q780" t="s">
        <v>1651</v>
      </c>
      <c r="R780">
        <v>48820.79</v>
      </c>
      <c r="S780">
        <v>2</v>
      </c>
      <c r="T780">
        <v>0</v>
      </c>
      <c r="U780" t="str">
        <f>IF(Retail_data[[#This Row],[Sales]]&gt;30000,"High",IF(Retail_data[[#This Row],[Sales]]&gt;10000,"Medium","Low"))</f>
        <v>High</v>
      </c>
      <c r="V780" s="3">
        <f>Retail_data[[#This Row],[Profit]]/Retail_data[[#This Row],[Sales]]</f>
        <v>0.28209170724193527</v>
      </c>
      <c r="W780">
        <v>13771.94</v>
      </c>
      <c r="X780" t="s">
        <v>48</v>
      </c>
    </row>
    <row r="781" spans="1:24" ht="13.8" x14ac:dyDescent="0.25">
      <c r="A781" t="s">
        <v>2566</v>
      </c>
      <c r="B781">
        <f>YEAR(Retail_data[[#This Row],[Order Date]])</f>
        <v>2027</v>
      </c>
      <c r="C781" t="str">
        <f>TEXT(Retail_data[[#This Row],[Order Date]],"mmmm")</f>
        <v>November</v>
      </c>
      <c r="D781">
        <f>MONTH(Retail_data[[#This Row],[Order Date]])</f>
        <v>11</v>
      </c>
      <c r="E781" t="str">
        <f>"Q"&amp;ROUNDUP(MONTH(Retail_data[[#This Row],[Order Date]])/3,0)</f>
        <v>Q4</v>
      </c>
      <c r="F781" s="1">
        <v>46701</v>
      </c>
      <c r="G781" s="1">
        <v>46705</v>
      </c>
      <c r="H781" t="s">
        <v>2567</v>
      </c>
      <c r="I781" t="s">
        <v>2568</v>
      </c>
      <c r="J781" t="s">
        <v>21</v>
      </c>
      <c r="K781" t="s">
        <v>22</v>
      </c>
      <c r="L781" t="s">
        <v>45</v>
      </c>
      <c r="M781" t="s">
        <v>45</v>
      </c>
      <c r="N781" t="s">
        <v>25</v>
      </c>
      <c r="O781" t="s">
        <v>57</v>
      </c>
      <c r="P781" t="s">
        <v>149</v>
      </c>
      <c r="Q781" t="s">
        <v>1740</v>
      </c>
      <c r="R781">
        <v>44633.5</v>
      </c>
      <c r="S781">
        <v>6</v>
      </c>
      <c r="T781">
        <v>0.3</v>
      </c>
      <c r="U781" t="str">
        <f>IF(Retail_data[[#This Row],[Sales]]&gt;30000,"High",IF(Retail_data[[#This Row],[Sales]]&gt;10000,"Medium","Low"))</f>
        <v>High</v>
      </c>
      <c r="V781" s="3">
        <f>Retail_data[[#This Row],[Profit]]/Retail_data[[#This Row],[Sales]]</f>
        <v>-1.9326962931430429E-2</v>
      </c>
      <c r="W781">
        <v>-862.63</v>
      </c>
      <c r="X781" t="s">
        <v>40</v>
      </c>
    </row>
    <row r="782" spans="1:24" ht="13.8" x14ac:dyDescent="0.25">
      <c r="A782" t="s">
        <v>2569</v>
      </c>
      <c r="B782">
        <f>YEAR(Retail_data[[#This Row],[Order Date]])</f>
        <v>2027</v>
      </c>
      <c r="C782" t="str">
        <f>TEXT(Retail_data[[#This Row],[Order Date]],"mmmm")</f>
        <v>November</v>
      </c>
      <c r="D782">
        <f>MONTH(Retail_data[[#This Row],[Order Date]])</f>
        <v>11</v>
      </c>
      <c r="E782" t="str">
        <f>"Q"&amp;ROUNDUP(MONTH(Retail_data[[#This Row],[Order Date]])/3,0)</f>
        <v>Q4</v>
      </c>
      <c r="F782" s="1">
        <v>46702</v>
      </c>
      <c r="G782" s="1">
        <v>46706</v>
      </c>
      <c r="H782" t="s">
        <v>2570</v>
      </c>
      <c r="I782" t="s">
        <v>2571</v>
      </c>
      <c r="J782" t="s">
        <v>21</v>
      </c>
      <c r="K782" t="s">
        <v>22</v>
      </c>
      <c r="L782" t="s">
        <v>34</v>
      </c>
      <c r="M782" t="s">
        <v>35</v>
      </c>
      <c r="N782" t="s">
        <v>36</v>
      </c>
      <c r="O782" t="s">
        <v>37</v>
      </c>
      <c r="P782" t="s">
        <v>46</v>
      </c>
      <c r="Q782" t="s">
        <v>1441</v>
      </c>
      <c r="R782">
        <v>17366.64</v>
      </c>
      <c r="S782">
        <v>8</v>
      </c>
      <c r="T782">
        <v>0.3</v>
      </c>
      <c r="U782" t="str">
        <f>IF(Retail_data[[#This Row],[Sales]]&gt;30000,"High",IF(Retail_data[[#This Row],[Sales]]&gt;10000,"Medium","Low"))</f>
        <v>Medium</v>
      </c>
      <c r="V782" s="3">
        <f>Retail_data[[#This Row],[Profit]]/Retail_data[[#This Row],[Sales]]</f>
        <v>0.14878180235209576</v>
      </c>
      <c r="W782">
        <v>2583.84</v>
      </c>
      <c r="X782" t="s">
        <v>29</v>
      </c>
    </row>
    <row r="783" spans="1:24" ht="13.8" x14ac:dyDescent="0.25">
      <c r="A783" t="s">
        <v>2572</v>
      </c>
      <c r="B783">
        <f>YEAR(Retail_data[[#This Row],[Order Date]])</f>
        <v>2027</v>
      </c>
      <c r="C783" t="str">
        <f>TEXT(Retail_data[[#This Row],[Order Date]],"mmmm")</f>
        <v>November</v>
      </c>
      <c r="D783">
        <f>MONTH(Retail_data[[#This Row],[Order Date]])</f>
        <v>11</v>
      </c>
      <c r="E783" t="str">
        <f>"Q"&amp;ROUNDUP(MONTH(Retail_data[[#This Row],[Order Date]])/3,0)</f>
        <v>Q4</v>
      </c>
      <c r="F783" s="1">
        <v>46703</v>
      </c>
      <c r="G783" s="1">
        <v>46707</v>
      </c>
      <c r="H783" t="s">
        <v>2573</v>
      </c>
      <c r="I783" t="s">
        <v>2574</v>
      </c>
      <c r="J783" t="s">
        <v>21</v>
      </c>
      <c r="K783" t="s">
        <v>22</v>
      </c>
      <c r="L783" t="s">
        <v>34</v>
      </c>
      <c r="M783" t="s">
        <v>35</v>
      </c>
      <c r="N783" t="s">
        <v>36</v>
      </c>
      <c r="O783" t="s">
        <v>37</v>
      </c>
      <c r="P783" t="s">
        <v>52</v>
      </c>
      <c r="Q783" t="s">
        <v>358</v>
      </c>
      <c r="R783">
        <v>24270.31</v>
      </c>
      <c r="S783">
        <v>3</v>
      </c>
      <c r="T783">
        <v>0.1</v>
      </c>
      <c r="U783" t="str">
        <f>IF(Retail_data[[#This Row],[Sales]]&gt;30000,"High",IF(Retail_data[[#This Row],[Sales]]&gt;10000,"Medium","Low"))</f>
        <v>Medium</v>
      </c>
      <c r="V783" s="3">
        <f>Retail_data[[#This Row],[Profit]]/Retail_data[[#This Row],[Sales]]</f>
        <v>0.22877746514156597</v>
      </c>
      <c r="W783">
        <v>5552.5</v>
      </c>
      <c r="X783" t="s">
        <v>81</v>
      </c>
    </row>
    <row r="784" spans="1:24" ht="13.8" x14ac:dyDescent="0.25">
      <c r="A784" t="s">
        <v>2575</v>
      </c>
      <c r="B784">
        <f>YEAR(Retail_data[[#This Row],[Order Date]])</f>
        <v>2027</v>
      </c>
      <c r="C784" t="str">
        <f>TEXT(Retail_data[[#This Row],[Order Date]],"mmmm")</f>
        <v>November</v>
      </c>
      <c r="D784">
        <f>MONTH(Retail_data[[#This Row],[Order Date]])</f>
        <v>11</v>
      </c>
      <c r="E784" t="str">
        <f>"Q"&amp;ROUNDUP(MONTH(Retail_data[[#This Row],[Order Date]])/3,0)</f>
        <v>Q4</v>
      </c>
      <c r="F784" s="1">
        <v>46704</v>
      </c>
      <c r="G784" s="1">
        <v>46708</v>
      </c>
      <c r="H784" t="s">
        <v>2576</v>
      </c>
      <c r="I784" t="s">
        <v>2577</v>
      </c>
      <c r="J784" t="s">
        <v>44</v>
      </c>
      <c r="K784" t="s">
        <v>22</v>
      </c>
      <c r="L784" t="s">
        <v>34</v>
      </c>
      <c r="M784" t="s">
        <v>35</v>
      </c>
      <c r="N784" t="s">
        <v>36</v>
      </c>
      <c r="O784" t="s">
        <v>57</v>
      </c>
      <c r="P784" t="s">
        <v>79</v>
      </c>
      <c r="Q784" t="s">
        <v>866</v>
      </c>
      <c r="R784">
        <v>25099.89</v>
      </c>
      <c r="S784">
        <v>1</v>
      </c>
      <c r="T784">
        <v>0</v>
      </c>
      <c r="U784" t="str">
        <f>IF(Retail_data[[#This Row],[Sales]]&gt;30000,"High",IF(Retail_data[[#This Row],[Sales]]&gt;10000,"Medium","Low"))</f>
        <v>Medium</v>
      </c>
      <c r="V784" s="3">
        <f>Retail_data[[#This Row],[Profit]]/Retail_data[[#This Row],[Sales]]</f>
        <v>0.26301509687891061</v>
      </c>
      <c r="W784">
        <v>6601.65</v>
      </c>
      <c r="X784" t="s">
        <v>40</v>
      </c>
    </row>
    <row r="785" spans="1:24" ht="13.8" x14ac:dyDescent="0.25">
      <c r="A785" t="s">
        <v>2578</v>
      </c>
      <c r="B785">
        <f>YEAR(Retail_data[[#This Row],[Order Date]])</f>
        <v>2027</v>
      </c>
      <c r="C785" t="str">
        <f>TEXT(Retail_data[[#This Row],[Order Date]],"mmmm")</f>
        <v>November</v>
      </c>
      <c r="D785">
        <f>MONTH(Retail_data[[#This Row],[Order Date]])</f>
        <v>11</v>
      </c>
      <c r="E785" t="str">
        <f>"Q"&amp;ROUNDUP(MONTH(Retail_data[[#This Row],[Order Date]])/3,0)</f>
        <v>Q4</v>
      </c>
      <c r="F785" s="1">
        <v>46705</v>
      </c>
      <c r="G785" s="1">
        <v>46709</v>
      </c>
      <c r="H785" t="s">
        <v>2579</v>
      </c>
      <c r="I785" t="s">
        <v>2580</v>
      </c>
      <c r="J785" t="s">
        <v>33</v>
      </c>
      <c r="K785" t="s">
        <v>22</v>
      </c>
      <c r="L785" t="s">
        <v>23</v>
      </c>
      <c r="M785" t="s">
        <v>24</v>
      </c>
      <c r="N785" t="s">
        <v>25</v>
      </c>
      <c r="O785" t="s">
        <v>57</v>
      </c>
      <c r="P785" t="s">
        <v>58</v>
      </c>
      <c r="Q785" t="s">
        <v>387</v>
      </c>
      <c r="R785">
        <v>45245.74</v>
      </c>
      <c r="S785">
        <v>5</v>
      </c>
      <c r="T785">
        <v>0.1</v>
      </c>
      <c r="U785" t="str">
        <f>IF(Retail_data[[#This Row],[Sales]]&gt;30000,"High",IF(Retail_data[[#This Row],[Sales]]&gt;10000,"Medium","Low"))</f>
        <v>High</v>
      </c>
      <c r="V785" s="3">
        <f>Retail_data[[#This Row],[Profit]]/Retail_data[[#This Row],[Sales]]</f>
        <v>0.24560942090901819</v>
      </c>
      <c r="W785">
        <v>11112.78</v>
      </c>
      <c r="X785" t="s">
        <v>29</v>
      </c>
    </row>
    <row r="786" spans="1:24" ht="13.8" x14ac:dyDescent="0.25">
      <c r="A786" t="s">
        <v>2581</v>
      </c>
      <c r="B786">
        <f>YEAR(Retail_data[[#This Row],[Order Date]])</f>
        <v>2027</v>
      </c>
      <c r="C786" t="str">
        <f>TEXT(Retail_data[[#This Row],[Order Date]],"mmmm")</f>
        <v>November</v>
      </c>
      <c r="D786">
        <f>MONTH(Retail_data[[#This Row],[Order Date]])</f>
        <v>11</v>
      </c>
      <c r="E786" t="str">
        <f>"Q"&amp;ROUNDUP(MONTH(Retail_data[[#This Row],[Order Date]])/3,0)</f>
        <v>Q4</v>
      </c>
      <c r="F786" s="1">
        <v>46706</v>
      </c>
      <c r="G786" s="1">
        <v>46710</v>
      </c>
      <c r="H786" t="s">
        <v>2582</v>
      </c>
      <c r="I786" t="s">
        <v>2583</v>
      </c>
      <c r="J786" t="s">
        <v>44</v>
      </c>
      <c r="K786" t="s">
        <v>22</v>
      </c>
      <c r="L786" t="s">
        <v>85</v>
      </c>
      <c r="M786" t="s">
        <v>86</v>
      </c>
      <c r="N786" t="s">
        <v>87</v>
      </c>
      <c r="O786" t="s">
        <v>26</v>
      </c>
      <c r="P786" t="s">
        <v>92</v>
      </c>
      <c r="Q786" t="s">
        <v>503</v>
      </c>
      <c r="R786">
        <v>17749.29</v>
      </c>
      <c r="S786">
        <v>6</v>
      </c>
      <c r="T786">
        <v>0.1</v>
      </c>
      <c r="U786" t="str">
        <f>IF(Retail_data[[#This Row],[Sales]]&gt;30000,"High",IF(Retail_data[[#This Row],[Sales]]&gt;10000,"Medium","Low"))</f>
        <v>Medium</v>
      </c>
      <c r="V786" s="3">
        <f>Retail_data[[#This Row],[Profit]]/Retail_data[[#This Row],[Sales]]</f>
        <v>0.23776331334943537</v>
      </c>
      <c r="W786">
        <v>4220.13</v>
      </c>
      <c r="X786" t="s">
        <v>40</v>
      </c>
    </row>
    <row r="787" spans="1:24" ht="13.8" x14ac:dyDescent="0.25">
      <c r="A787" t="s">
        <v>2584</v>
      </c>
      <c r="B787">
        <f>YEAR(Retail_data[[#This Row],[Order Date]])</f>
        <v>2027</v>
      </c>
      <c r="C787" t="str">
        <f>TEXT(Retail_data[[#This Row],[Order Date]],"mmmm")</f>
        <v>November</v>
      </c>
      <c r="D787">
        <f>MONTH(Retail_data[[#This Row],[Order Date]])</f>
        <v>11</v>
      </c>
      <c r="E787" t="str">
        <f>"Q"&amp;ROUNDUP(MONTH(Retail_data[[#This Row],[Order Date]])/3,0)</f>
        <v>Q4</v>
      </c>
      <c r="F787" s="1">
        <v>46707</v>
      </c>
      <c r="G787" s="1">
        <v>46711</v>
      </c>
      <c r="H787" t="s">
        <v>2585</v>
      </c>
      <c r="I787" t="s">
        <v>2586</v>
      </c>
      <c r="J787" t="s">
        <v>44</v>
      </c>
      <c r="K787" t="s">
        <v>22</v>
      </c>
      <c r="L787" t="s">
        <v>23</v>
      </c>
      <c r="M787" t="s">
        <v>24</v>
      </c>
      <c r="N787" t="s">
        <v>25</v>
      </c>
      <c r="O787" t="s">
        <v>26</v>
      </c>
      <c r="P787" t="s">
        <v>92</v>
      </c>
      <c r="Q787" t="s">
        <v>570</v>
      </c>
      <c r="R787">
        <v>25860.99</v>
      </c>
      <c r="S787">
        <v>8</v>
      </c>
      <c r="T787">
        <v>0.1</v>
      </c>
      <c r="U787" t="str">
        <f>IF(Retail_data[[#This Row],[Sales]]&gt;30000,"High",IF(Retail_data[[#This Row],[Sales]]&gt;10000,"Medium","Low"))</f>
        <v>Medium</v>
      </c>
      <c r="V787" s="3">
        <f>Retail_data[[#This Row],[Profit]]/Retail_data[[#This Row],[Sales]]</f>
        <v>0.22036279353574631</v>
      </c>
      <c r="W787">
        <v>5698.8</v>
      </c>
      <c r="X787" t="s">
        <v>48</v>
      </c>
    </row>
    <row r="788" spans="1:24" ht="13.8" x14ac:dyDescent="0.25">
      <c r="A788" t="s">
        <v>2587</v>
      </c>
      <c r="B788">
        <f>YEAR(Retail_data[[#This Row],[Order Date]])</f>
        <v>2027</v>
      </c>
      <c r="C788" t="str">
        <f>TEXT(Retail_data[[#This Row],[Order Date]],"mmmm")</f>
        <v>November</v>
      </c>
      <c r="D788">
        <f>MONTH(Retail_data[[#This Row],[Order Date]])</f>
        <v>11</v>
      </c>
      <c r="E788" t="str">
        <f>"Q"&amp;ROUNDUP(MONTH(Retail_data[[#This Row],[Order Date]])/3,0)</f>
        <v>Q4</v>
      </c>
      <c r="F788" s="1">
        <v>46708</v>
      </c>
      <c r="G788" s="1">
        <v>46712</v>
      </c>
      <c r="H788" t="s">
        <v>2588</v>
      </c>
      <c r="I788" t="s">
        <v>2589</v>
      </c>
      <c r="J788" t="s">
        <v>33</v>
      </c>
      <c r="K788" t="s">
        <v>22</v>
      </c>
      <c r="L788" t="s">
        <v>85</v>
      </c>
      <c r="M788" t="s">
        <v>86</v>
      </c>
      <c r="N788" t="s">
        <v>87</v>
      </c>
      <c r="O788" t="s">
        <v>57</v>
      </c>
      <c r="P788" t="s">
        <v>149</v>
      </c>
      <c r="Q788" t="s">
        <v>681</v>
      </c>
      <c r="R788">
        <v>43491.39</v>
      </c>
      <c r="S788">
        <v>3</v>
      </c>
      <c r="T788">
        <v>0.1</v>
      </c>
      <c r="U788" t="str">
        <f>IF(Retail_data[[#This Row],[Sales]]&gt;30000,"High",IF(Retail_data[[#This Row],[Sales]]&gt;10000,"Medium","Low"))</f>
        <v>High</v>
      </c>
      <c r="V788" s="3">
        <f>Retail_data[[#This Row],[Profit]]/Retail_data[[#This Row],[Sales]]</f>
        <v>0.22828012625027619</v>
      </c>
      <c r="W788">
        <v>9928.2199999999993</v>
      </c>
      <c r="X788" t="s">
        <v>81</v>
      </c>
    </row>
    <row r="789" spans="1:24" ht="13.8" x14ac:dyDescent="0.25">
      <c r="A789" t="s">
        <v>2590</v>
      </c>
      <c r="B789">
        <f>YEAR(Retail_data[[#This Row],[Order Date]])</f>
        <v>2027</v>
      </c>
      <c r="C789" t="str">
        <f>TEXT(Retail_data[[#This Row],[Order Date]],"mmmm")</f>
        <v>November</v>
      </c>
      <c r="D789">
        <f>MONTH(Retail_data[[#This Row],[Order Date]])</f>
        <v>11</v>
      </c>
      <c r="E789" t="str">
        <f>"Q"&amp;ROUNDUP(MONTH(Retail_data[[#This Row],[Order Date]])/3,0)</f>
        <v>Q4</v>
      </c>
      <c r="F789" s="1">
        <v>46709</v>
      </c>
      <c r="G789" s="1">
        <v>46713</v>
      </c>
      <c r="H789" t="s">
        <v>2591</v>
      </c>
      <c r="I789" t="s">
        <v>2592</v>
      </c>
      <c r="J789" t="s">
        <v>21</v>
      </c>
      <c r="K789" t="s">
        <v>22</v>
      </c>
      <c r="L789" t="s">
        <v>34</v>
      </c>
      <c r="M789" t="s">
        <v>35</v>
      </c>
      <c r="N789" t="s">
        <v>36</v>
      </c>
      <c r="O789" t="s">
        <v>37</v>
      </c>
      <c r="P789" t="s">
        <v>46</v>
      </c>
      <c r="Q789" t="s">
        <v>320</v>
      </c>
      <c r="R789">
        <v>12073.65</v>
      </c>
      <c r="S789">
        <v>3</v>
      </c>
      <c r="T789">
        <v>0.1</v>
      </c>
      <c r="U789" t="str">
        <f>IF(Retail_data[[#This Row],[Sales]]&gt;30000,"High",IF(Retail_data[[#This Row],[Sales]]&gt;10000,"Medium","Low"))</f>
        <v>Medium</v>
      </c>
      <c r="V789" s="3">
        <f>Retail_data[[#This Row],[Profit]]/Retail_data[[#This Row],[Sales]]</f>
        <v>0.19443581684080624</v>
      </c>
      <c r="W789">
        <v>2347.5500000000002</v>
      </c>
      <c r="X789" t="s">
        <v>29</v>
      </c>
    </row>
    <row r="790" spans="1:24" ht="13.8" x14ac:dyDescent="0.25">
      <c r="A790" t="s">
        <v>2593</v>
      </c>
      <c r="B790">
        <f>YEAR(Retail_data[[#This Row],[Order Date]])</f>
        <v>2027</v>
      </c>
      <c r="C790" t="str">
        <f>TEXT(Retail_data[[#This Row],[Order Date]],"mmmm")</f>
        <v>November</v>
      </c>
      <c r="D790">
        <f>MONTH(Retail_data[[#This Row],[Order Date]])</f>
        <v>11</v>
      </c>
      <c r="E790" t="str">
        <f>"Q"&amp;ROUNDUP(MONTH(Retail_data[[#This Row],[Order Date]])/3,0)</f>
        <v>Q4</v>
      </c>
      <c r="F790" s="1">
        <v>46710</v>
      </c>
      <c r="G790" s="1">
        <v>46714</v>
      </c>
      <c r="H790" t="s">
        <v>2594</v>
      </c>
      <c r="I790" t="s">
        <v>2595</v>
      </c>
      <c r="J790" t="s">
        <v>44</v>
      </c>
      <c r="K790" t="s">
        <v>22</v>
      </c>
      <c r="L790" t="s">
        <v>85</v>
      </c>
      <c r="M790" t="s">
        <v>86</v>
      </c>
      <c r="N790" t="s">
        <v>87</v>
      </c>
      <c r="O790" t="s">
        <v>37</v>
      </c>
      <c r="P790" t="s">
        <v>46</v>
      </c>
      <c r="Q790" t="s">
        <v>978</v>
      </c>
      <c r="R790">
        <v>30208.92</v>
      </c>
      <c r="S790">
        <v>8</v>
      </c>
      <c r="T790">
        <v>0</v>
      </c>
      <c r="U790" t="str">
        <f>IF(Retail_data[[#This Row],[Sales]]&gt;30000,"High",IF(Retail_data[[#This Row],[Sales]]&gt;10000,"Medium","Low"))</f>
        <v>High</v>
      </c>
      <c r="V790" s="3">
        <f>Retail_data[[#This Row],[Profit]]/Retail_data[[#This Row],[Sales]]</f>
        <v>0.25978022385441124</v>
      </c>
      <c r="W790">
        <v>7847.68</v>
      </c>
      <c r="X790" t="s">
        <v>29</v>
      </c>
    </row>
    <row r="791" spans="1:24" ht="13.8" x14ac:dyDescent="0.25">
      <c r="A791" t="s">
        <v>2596</v>
      </c>
      <c r="B791">
        <f>YEAR(Retail_data[[#This Row],[Order Date]])</f>
        <v>2027</v>
      </c>
      <c r="C791" t="str">
        <f>TEXT(Retail_data[[#This Row],[Order Date]],"mmmm")</f>
        <v>November</v>
      </c>
      <c r="D791">
        <f>MONTH(Retail_data[[#This Row],[Order Date]])</f>
        <v>11</v>
      </c>
      <c r="E791" t="str">
        <f>"Q"&amp;ROUNDUP(MONTH(Retail_data[[#This Row],[Order Date]])/3,0)</f>
        <v>Q4</v>
      </c>
      <c r="F791" s="1">
        <v>46711</v>
      </c>
      <c r="G791" s="1">
        <v>46715</v>
      </c>
      <c r="H791" t="s">
        <v>2597</v>
      </c>
      <c r="I791" t="s">
        <v>2598</v>
      </c>
      <c r="J791" t="s">
        <v>44</v>
      </c>
      <c r="K791" t="s">
        <v>22</v>
      </c>
      <c r="L791" t="s">
        <v>45</v>
      </c>
      <c r="M791" t="s">
        <v>45</v>
      </c>
      <c r="N791" t="s">
        <v>25</v>
      </c>
      <c r="O791" t="s">
        <v>37</v>
      </c>
      <c r="P791" t="s">
        <v>38</v>
      </c>
      <c r="Q791" t="s">
        <v>649</v>
      </c>
      <c r="R791">
        <v>2129.5100000000002</v>
      </c>
      <c r="S791">
        <v>1</v>
      </c>
      <c r="T791">
        <v>0</v>
      </c>
      <c r="U791" t="str">
        <f>IF(Retail_data[[#This Row],[Sales]]&gt;30000,"High",IF(Retail_data[[#This Row],[Sales]]&gt;10000,"Medium","Low"))</f>
        <v>Low</v>
      </c>
      <c r="V791" s="3">
        <f>Retail_data[[#This Row],[Profit]]/Retail_data[[#This Row],[Sales]]</f>
        <v>0.13424684551845259</v>
      </c>
      <c r="W791">
        <v>285.88</v>
      </c>
      <c r="X791" t="s">
        <v>48</v>
      </c>
    </row>
    <row r="792" spans="1:24" ht="13.8" x14ac:dyDescent="0.25">
      <c r="A792" t="s">
        <v>2599</v>
      </c>
      <c r="B792">
        <f>YEAR(Retail_data[[#This Row],[Order Date]])</f>
        <v>2027</v>
      </c>
      <c r="C792" t="str">
        <f>TEXT(Retail_data[[#This Row],[Order Date]],"mmmm")</f>
        <v>November</v>
      </c>
      <c r="D792">
        <f>MONTH(Retail_data[[#This Row],[Order Date]])</f>
        <v>11</v>
      </c>
      <c r="E792" t="str">
        <f>"Q"&amp;ROUNDUP(MONTH(Retail_data[[#This Row],[Order Date]])/3,0)</f>
        <v>Q4</v>
      </c>
      <c r="F792" s="1">
        <v>46712</v>
      </c>
      <c r="G792" s="1">
        <v>46716</v>
      </c>
      <c r="H792" t="s">
        <v>2600</v>
      </c>
      <c r="I792" t="s">
        <v>2601</v>
      </c>
      <c r="J792" t="s">
        <v>21</v>
      </c>
      <c r="K792" t="s">
        <v>22</v>
      </c>
      <c r="L792" t="s">
        <v>85</v>
      </c>
      <c r="M792" t="s">
        <v>86</v>
      </c>
      <c r="N792" t="s">
        <v>87</v>
      </c>
      <c r="O792" t="s">
        <v>26</v>
      </c>
      <c r="P792" t="s">
        <v>27</v>
      </c>
      <c r="Q792" t="s">
        <v>889</v>
      </c>
      <c r="R792">
        <v>6891.7</v>
      </c>
      <c r="S792">
        <v>1</v>
      </c>
      <c r="T792">
        <v>0.3</v>
      </c>
      <c r="U792" t="str">
        <f>IF(Retail_data[[#This Row],[Sales]]&gt;30000,"High",IF(Retail_data[[#This Row],[Sales]]&gt;10000,"Medium","Low"))</f>
        <v>Low</v>
      </c>
      <c r="V792" s="3">
        <f>Retail_data[[#This Row],[Profit]]/Retail_data[[#This Row],[Sales]]</f>
        <v>9.9306412060884836E-2</v>
      </c>
      <c r="W792">
        <v>684.39</v>
      </c>
      <c r="X792" t="s">
        <v>48</v>
      </c>
    </row>
    <row r="793" spans="1:24" ht="13.8" x14ac:dyDescent="0.25">
      <c r="A793" t="s">
        <v>2602</v>
      </c>
      <c r="B793">
        <f>YEAR(Retail_data[[#This Row],[Order Date]])</f>
        <v>2027</v>
      </c>
      <c r="C793" t="str">
        <f>TEXT(Retail_data[[#This Row],[Order Date]],"mmmm")</f>
        <v>November</v>
      </c>
      <c r="D793">
        <f>MONTH(Retail_data[[#This Row],[Order Date]])</f>
        <v>11</v>
      </c>
      <c r="E793" t="str">
        <f>"Q"&amp;ROUNDUP(MONTH(Retail_data[[#This Row],[Order Date]])/3,0)</f>
        <v>Q4</v>
      </c>
      <c r="F793" s="1">
        <v>46713</v>
      </c>
      <c r="G793" s="1">
        <v>46717</v>
      </c>
      <c r="H793" t="s">
        <v>2603</v>
      </c>
      <c r="I793" t="s">
        <v>2604</v>
      </c>
      <c r="J793" t="s">
        <v>44</v>
      </c>
      <c r="K793" t="s">
        <v>22</v>
      </c>
      <c r="L793" t="s">
        <v>67</v>
      </c>
      <c r="M793" t="s">
        <v>68</v>
      </c>
      <c r="N793" t="s">
        <v>69</v>
      </c>
      <c r="O793" t="s">
        <v>37</v>
      </c>
      <c r="P793" t="s">
        <v>38</v>
      </c>
      <c r="Q793" t="s">
        <v>943</v>
      </c>
      <c r="R793">
        <v>37976.94</v>
      </c>
      <c r="S793">
        <v>4</v>
      </c>
      <c r="T793">
        <v>0.3</v>
      </c>
      <c r="U793" t="str">
        <f>IF(Retail_data[[#This Row],[Sales]]&gt;30000,"High",IF(Retail_data[[#This Row],[Sales]]&gt;10000,"Medium","Low"))</f>
        <v>High</v>
      </c>
      <c r="V793" s="3">
        <f>Retail_data[[#This Row],[Profit]]/Retail_data[[#This Row],[Sales]]</f>
        <v>9.8725700385549758E-2</v>
      </c>
      <c r="W793">
        <v>3749.3</v>
      </c>
      <c r="X793" t="s">
        <v>81</v>
      </c>
    </row>
    <row r="794" spans="1:24" ht="13.8" x14ac:dyDescent="0.25">
      <c r="A794" t="s">
        <v>2605</v>
      </c>
      <c r="B794">
        <f>YEAR(Retail_data[[#This Row],[Order Date]])</f>
        <v>2027</v>
      </c>
      <c r="C794" t="str">
        <f>TEXT(Retail_data[[#This Row],[Order Date]],"mmmm")</f>
        <v>November</v>
      </c>
      <c r="D794">
        <f>MONTH(Retail_data[[#This Row],[Order Date]])</f>
        <v>11</v>
      </c>
      <c r="E794" t="str">
        <f>"Q"&amp;ROUNDUP(MONTH(Retail_data[[#This Row],[Order Date]])/3,0)</f>
        <v>Q4</v>
      </c>
      <c r="F794" s="1">
        <v>46714</v>
      </c>
      <c r="G794" s="1">
        <v>46718</v>
      </c>
      <c r="H794" t="s">
        <v>2606</v>
      </c>
      <c r="I794" t="s">
        <v>2607</v>
      </c>
      <c r="J794" t="s">
        <v>21</v>
      </c>
      <c r="K794" t="s">
        <v>22</v>
      </c>
      <c r="L794" t="s">
        <v>85</v>
      </c>
      <c r="M794" t="s">
        <v>86</v>
      </c>
      <c r="N794" t="s">
        <v>87</v>
      </c>
      <c r="O794" t="s">
        <v>57</v>
      </c>
      <c r="P794" t="s">
        <v>79</v>
      </c>
      <c r="Q794" t="s">
        <v>489</v>
      </c>
      <c r="R794">
        <v>7911.81</v>
      </c>
      <c r="S794">
        <v>5</v>
      </c>
      <c r="T794">
        <v>0.3</v>
      </c>
      <c r="U794" t="str">
        <f>IF(Retail_data[[#This Row],[Sales]]&gt;30000,"High",IF(Retail_data[[#This Row],[Sales]]&gt;10000,"Medium","Low"))</f>
        <v>Low</v>
      </c>
      <c r="V794" s="3">
        <f>Retail_data[[#This Row],[Profit]]/Retail_data[[#This Row],[Sales]]</f>
        <v>-4.0019919588564434E-2</v>
      </c>
      <c r="W794">
        <v>-316.63</v>
      </c>
      <c r="X794" t="s">
        <v>29</v>
      </c>
    </row>
    <row r="795" spans="1:24" ht="13.8" x14ac:dyDescent="0.25">
      <c r="A795" t="s">
        <v>2608</v>
      </c>
      <c r="B795">
        <f>YEAR(Retail_data[[#This Row],[Order Date]])</f>
        <v>2027</v>
      </c>
      <c r="C795" t="str">
        <f>TEXT(Retail_data[[#This Row],[Order Date]],"mmmm")</f>
        <v>November</v>
      </c>
      <c r="D795">
        <f>MONTH(Retail_data[[#This Row],[Order Date]])</f>
        <v>11</v>
      </c>
      <c r="E795" t="str">
        <f>"Q"&amp;ROUNDUP(MONTH(Retail_data[[#This Row],[Order Date]])/3,0)</f>
        <v>Q4</v>
      </c>
      <c r="F795" s="1">
        <v>46715</v>
      </c>
      <c r="G795" s="1">
        <v>46719</v>
      </c>
      <c r="H795" t="s">
        <v>2609</v>
      </c>
      <c r="I795" t="s">
        <v>2610</v>
      </c>
      <c r="J795" t="s">
        <v>33</v>
      </c>
      <c r="K795" t="s">
        <v>22</v>
      </c>
      <c r="L795" t="s">
        <v>45</v>
      </c>
      <c r="M795" t="s">
        <v>45</v>
      </c>
      <c r="N795" t="s">
        <v>25</v>
      </c>
      <c r="O795" t="s">
        <v>26</v>
      </c>
      <c r="P795" t="s">
        <v>27</v>
      </c>
      <c r="Q795" t="s">
        <v>347</v>
      </c>
      <c r="R795">
        <v>49695.25</v>
      </c>
      <c r="S795">
        <v>1</v>
      </c>
      <c r="T795">
        <v>0</v>
      </c>
      <c r="U795" t="str">
        <f>IF(Retail_data[[#This Row],[Sales]]&gt;30000,"High",IF(Retail_data[[#This Row],[Sales]]&gt;10000,"Medium","Low"))</f>
        <v>High</v>
      </c>
      <c r="V795" s="3">
        <f>Retail_data[[#This Row],[Profit]]/Retail_data[[#This Row],[Sales]]</f>
        <v>0.19457352563876829</v>
      </c>
      <c r="W795">
        <v>9669.3799999999992</v>
      </c>
      <c r="X795" t="s">
        <v>81</v>
      </c>
    </row>
    <row r="796" spans="1:24" ht="13.8" x14ac:dyDescent="0.25">
      <c r="A796" t="s">
        <v>2611</v>
      </c>
      <c r="B796">
        <f>YEAR(Retail_data[[#This Row],[Order Date]])</f>
        <v>2027</v>
      </c>
      <c r="C796" t="str">
        <f>TEXT(Retail_data[[#This Row],[Order Date]],"mmmm")</f>
        <v>November</v>
      </c>
      <c r="D796">
        <f>MONTH(Retail_data[[#This Row],[Order Date]])</f>
        <v>11</v>
      </c>
      <c r="E796" t="str">
        <f>"Q"&amp;ROUNDUP(MONTH(Retail_data[[#This Row],[Order Date]])/3,0)</f>
        <v>Q4</v>
      </c>
      <c r="F796" s="1">
        <v>46716</v>
      </c>
      <c r="G796" s="1">
        <v>46720</v>
      </c>
      <c r="H796" t="s">
        <v>2612</v>
      </c>
      <c r="I796" t="s">
        <v>2613</v>
      </c>
      <c r="J796" t="s">
        <v>33</v>
      </c>
      <c r="K796" t="s">
        <v>22</v>
      </c>
      <c r="L796" t="s">
        <v>45</v>
      </c>
      <c r="M796" t="s">
        <v>45</v>
      </c>
      <c r="N796" t="s">
        <v>25</v>
      </c>
      <c r="O796" t="s">
        <v>57</v>
      </c>
      <c r="P796" t="s">
        <v>149</v>
      </c>
      <c r="Q796" t="s">
        <v>774</v>
      </c>
      <c r="R796">
        <v>49866.77</v>
      </c>
      <c r="S796">
        <v>5</v>
      </c>
      <c r="T796">
        <v>0.2</v>
      </c>
      <c r="U796" t="str">
        <f>IF(Retail_data[[#This Row],[Sales]]&gt;30000,"High",IF(Retail_data[[#This Row],[Sales]]&gt;10000,"Medium","Low"))</f>
        <v>High</v>
      </c>
      <c r="V796" s="3">
        <f>Retail_data[[#This Row],[Profit]]/Retail_data[[#This Row],[Sales]]</f>
        <v>6.9202396706263512E-3</v>
      </c>
      <c r="W796">
        <v>345.09</v>
      </c>
      <c r="X796" t="s">
        <v>29</v>
      </c>
    </row>
    <row r="797" spans="1:24" ht="13.8" x14ac:dyDescent="0.25">
      <c r="A797" t="s">
        <v>2614</v>
      </c>
      <c r="B797">
        <f>YEAR(Retail_data[[#This Row],[Order Date]])</f>
        <v>2027</v>
      </c>
      <c r="C797" t="str">
        <f>TEXT(Retail_data[[#This Row],[Order Date]],"mmmm")</f>
        <v>November</v>
      </c>
      <c r="D797">
        <f>MONTH(Retail_data[[#This Row],[Order Date]])</f>
        <v>11</v>
      </c>
      <c r="E797" t="str">
        <f>"Q"&amp;ROUNDUP(MONTH(Retail_data[[#This Row],[Order Date]])/3,0)</f>
        <v>Q4</v>
      </c>
      <c r="F797" s="1">
        <v>46717</v>
      </c>
      <c r="G797" s="1">
        <v>46721</v>
      </c>
      <c r="H797" t="s">
        <v>2615</v>
      </c>
      <c r="I797" t="s">
        <v>2616</v>
      </c>
      <c r="J797" t="s">
        <v>44</v>
      </c>
      <c r="K797" t="s">
        <v>22</v>
      </c>
      <c r="L797" t="s">
        <v>85</v>
      </c>
      <c r="M797" t="s">
        <v>86</v>
      </c>
      <c r="N797" t="s">
        <v>87</v>
      </c>
      <c r="O797" t="s">
        <v>57</v>
      </c>
      <c r="P797" t="s">
        <v>149</v>
      </c>
      <c r="Q797" t="s">
        <v>227</v>
      </c>
      <c r="R797">
        <v>5261.54</v>
      </c>
      <c r="S797">
        <v>8</v>
      </c>
      <c r="T797">
        <v>0.2</v>
      </c>
      <c r="U797" t="str">
        <f>IF(Retail_data[[#This Row],[Sales]]&gt;30000,"High",IF(Retail_data[[#This Row],[Sales]]&gt;10000,"Medium","Low"))</f>
        <v>Low</v>
      </c>
      <c r="V797" s="3">
        <f>Retail_data[[#This Row],[Profit]]/Retail_data[[#This Row],[Sales]]</f>
        <v>-1.0489324418326193E-2</v>
      </c>
      <c r="W797">
        <v>-55.19</v>
      </c>
      <c r="X797" t="s">
        <v>48</v>
      </c>
    </row>
    <row r="798" spans="1:24" ht="13.8" x14ac:dyDescent="0.25">
      <c r="A798" t="s">
        <v>2617</v>
      </c>
      <c r="B798">
        <f>YEAR(Retail_data[[#This Row],[Order Date]])</f>
        <v>2027</v>
      </c>
      <c r="C798" t="str">
        <f>TEXT(Retail_data[[#This Row],[Order Date]],"mmmm")</f>
        <v>November</v>
      </c>
      <c r="D798">
        <f>MONTH(Retail_data[[#This Row],[Order Date]])</f>
        <v>11</v>
      </c>
      <c r="E798" t="str">
        <f>"Q"&amp;ROUNDUP(MONTH(Retail_data[[#This Row],[Order Date]])/3,0)</f>
        <v>Q4</v>
      </c>
      <c r="F798" s="1">
        <v>46718</v>
      </c>
      <c r="G798" s="1">
        <v>46722</v>
      </c>
      <c r="H798" t="s">
        <v>2618</v>
      </c>
      <c r="I798" t="s">
        <v>2619</v>
      </c>
      <c r="J798" t="s">
        <v>44</v>
      </c>
      <c r="K798" t="s">
        <v>22</v>
      </c>
      <c r="L798" t="s">
        <v>45</v>
      </c>
      <c r="M798" t="s">
        <v>45</v>
      </c>
      <c r="N798" t="s">
        <v>25</v>
      </c>
      <c r="O798" t="s">
        <v>37</v>
      </c>
      <c r="P798" t="s">
        <v>46</v>
      </c>
      <c r="Q798" t="s">
        <v>320</v>
      </c>
      <c r="R798">
        <v>35582.74</v>
      </c>
      <c r="S798">
        <v>6</v>
      </c>
      <c r="T798">
        <v>0</v>
      </c>
      <c r="U798" t="str">
        <f>IF(Retail_data[[#This Row],[Sales]]&gt;30000,"High",IF(Retail_data[[#This Row],[Sales]]&gt;10000,"Medium","Low"))</f>
        <v>High</v>
      </c>
      <c r="V798" s="3">
        <f>Retail_data[[#This Row],[Profit]]/Retail_data[[#This Row],[Sales]]</f>
        <v>0.11041898403551835</v>
      </c>
      <c r="W798">
        <v>3929.01</v>
      </c>
      <c r="X798" t="s">
        <v>81</v>
      </c>
    </row>
    <row r="799" spans="1:24" ht="13.8" x14ac:dyDescent="0.25">
      <c r="A799" t="s">
        <v>2620</v>
      </c>
      <c r="B799">
        <f>YEAR(Retail_data[[#This Row],[Order Date]])</f>
        <v>2027</v>
      </c>
      <c r="C799" t="str">
        <f>TEXT(Retail_data[[#This Row],[Order Date]],"mmmm")</f>
        <v>November</v>
      </c>
      <c r="D799">
        <f>MONTH(Retail_data[[#This Row],[Order Date]])</f>
        <v>11</v>
      </c>
      <c r="E799" t="str">
        <f>"Q"&amp;ROUNDUP(MONTH(Retail_data[[#This Row],[Order Date]])/3,0)</f>
        <v>Q4</v>
      </c>
      <c r="F799" s="1">
        <v>46719</v>
      </c>
      <c r="G799" s="1">
        <v>46723</v>
      </c>
      <c r="H799" t="s">
        <v>2621</v>
      </c>
      <c r="I799" t="s">
        <v>2622</v>
      </c>
      <c r="J799" t="s">
        <v>33</v>
      </c>
      <c r="K799" t="s">
        <v>22</v>
      </c>
      <c r="L799" t="s">
        <v>85</v>
      </c>
      <c r="M799" t="s">
        <v>86</v>
      </c>
      <c r="N799" t="s">
        <v>87</v>
      </c>
      <c r="O799" t="s">
        <v>57</v>
      </c>
      <c r="P799" t="s">
        <v>58</v>
      </c>
      <c r="Q799" t="s">
        <v>814</v>
      </c>
      <c r="R799">
        <v>21921.78</v>
      </c>
      <c r="S799">
        <v>7</v>
      </c>
      <c r="T799">
        <v>0.1</v>
      </c>
      <c r="U799" t="str">
        <f>IF(Retail_data[[#This Row],[Sales]]&gt;30000,"High",IF(Retail_data[[#This Row],[Sales]]&gt;10000,"Medium","Low"))</f>
        <v>Medium</v>
      </c>
      <c r="V799" s="3">
        <f>Retail_data[[#This Row],[Profit]]/Retail_data[[#This Row],[Sales]]</f>
        <v>8.2947187682752041E-2</v>
      </c>
      <c r="W799">
        <v>1818.35</v>
      </c>
      <c r="X799" t="s">
        <v>48</v>
      </c>
    </row>
    <row r="800" spans="1:24" ht="13.8" x14ac:dyDescent="0.25">
      <c r="A800" t="s">
        <v>2623</v>
      </c>
      <c r="B800">
        <f>YEAR(Retail_data[[#This Row],[Order Date]])</f>
        <v>2027</v>
      </c>
      <c r="C800" t="str">
        <f>TEXT(Retail_data[[#This Row],[Order Date]],"mmmm")</f>
        <v>November</v>
      </c>
      <c r="D800">
        <f>MONTH(Retail_data[[#This Row],[Order Date]])</f>
        <v>11</v>
      </c>
      <c r="E800" t="str">
        <f>"Q"&amp;ROUNDUP(MONTH(Retail_data[[#This Row],[Order Date]])/3,0)</f>
        <v>Q4</v>
      </c>
      <c r="F800" s="1">
        <v>46720</v>
      </c>
      <c r="G800" s="1">
        <v>46724</v>
      </c>
      <c r="H800" t="s">
        <v>2624</v>
      </c>
      <c r="I800" t="s">
        <v>2625</v>
      </c>
      <c r="J800" t="s">
        <v>21</v>
      </c>
      <c r="K800" t="s">
        <v>22</v>
      </c>
      <c r="L800" t="s">
        <v>85</v>
      </c>
      <c r="M800" t="s">
        <v>86</v>
      </c>
      <c r="N800" t="s">
        <v>87</v>
      </c>
      <c r="O800" t="s">
        <v>37</v>
      </c>
      <c r="P800" t="s">
        <v>52</v>
      </c>
      <c r="Q800" t="s">
        <v>2030</v>
      </c>
      <c r="R800">
        <v>32113.99</v>
      </c>
      <c r="S800">
        <v>5</v>
      </c>
      <c r="T800">
        <v>0.3</v>
      </c>
      <c r="U800" t="str">
        <f>IF(Retail_data[[#This Row],[Sales]]&gt;30000,"High",IF(Retail_data[[#This Row],[Sales]]&gt;10000,"Medium","Low"))</f>
        <v>High</v>
      </c>
      <c r="V800" s="3">
        <f>Retail_data[[#This Row],[Profit]]/Retail_data[[#This Row],[Sales]]</f>
        <v>7.1519920134495901E-2</v>
      </c>
      <c r="W800">
        <v>2296.79</v>
      </c>
      <c r="X800" t="s">
        <v>29</v>
      </c>
    </row>
    <row r="801" spans="1:24" ht="13.8" x14ac:dyDescent="0.25">
      <c r="A801" t="s">
        <v>2626</v>
      </c>
      <c r="B801">
        <f>YEAR(Retail_data[[#This Row],[Order Date]])</f>
        <v>2027</v>
      </c>
      <c r="C801" t="str">
        <f>TEXT(Retail_data[[#This Row],[Order Date]],"mmmm")</f>
        <v>November</v>
      </c>
      <c r="D801">
        <f>MONTH(Retail_data[[#This Row],[Order Date]])</f>
        <v>11</v>
      </c>
      <c r="E801" t="str">
        <f>"Q"&amp;ROUNDUP(MONTH(Retail_data[[#This Row],[Order Date]])/3,0)</f>
        <v>Q4</v>
      </c>
      <c r="F801" s="1">
        <v>46721</v>
      </c>
      <c r="G801" s="1">
        <v>46725</v>
      </c>
      <c r="H801" t="s">
        <v>2627</v>
      </c>
      <c r="I801" t="s">
        <v>2628</v>
      </c>
      <c r="J801" t="s">
        <v>33</v>
      </c>
      <c r="K801" t="s">
        <v>22</v>
      </c>
      <c r="L801" t="s">
        <v>45</v>
      </c>
      <c r="M801" t="s">
        <v>45</v>
      </c>
      <c r="N801" t="s">
        <v>25</v>
      </c>
      <c r="O801" t="s">
        <v>57</v>
      </c>
      <c r="P801" t="s">
        <v>79</v>
      </c>
      <c r="Q801" t="s">
        <v>1106</v>
      </c>
      <c r="R801">
        <v>3938.72</v>
      </c>
      <c r="S801">
        <v>2</v>
      </c>
      <c r="T801">
        <v>0.3</v>
      </c>
      <c r="U801" t="str">
        <f>IF(Retail_data[[#This Row],[Sales]]&gt;30000,"High",IF(Retail_data[[#This Row],[Sales]]&gt;10000,"Medium","Low"))</f>
        <v>Low</v>
      </c>
      <c r="V801" s="3">
        <f>Retail_data[[#This Row],[Profit]]/Retail_data[[#This Row],[Sales]]</f>
        <v>9.6079436974448554E-2</v>
      </c>
      <c r="W801">
        <v>378.43</v>
      </c>
      <c r="X801" t="s">
        <v>29</v>
      </c>
    </row>
    <row r="802" spans="1:24" ht="13.8" x14ac:dyDescent="0.25">
      <c r="A802" t="s">
        <v>2629</v>
      </c>
      <c r="B802">
        <f>YEAR(Retail_data[[#This Row],[Order Date]])</f>
        <v>2027</v>
      </c>
      <c r="C802" t="str">
        <f>TEXT(Retail_data[[#This Row],[Order Date]],"mmmm")</f>
        <v>December</v>
      </c>
      <c r="D802">
        <f>MONTH(Retail_data[[#This Row],[Order Date]])</f>
        <v>12</v>
      </c>
      <c r="E802" t="str">
        <f>"Q"&amp;ROUNDUP(MONTH(Retail_data[[#This Row],[Order Date]])/3,0)</f>
        <v>Q4</v>
      </c>
      <c r="F802" s="1">
        <v>46722</v>
      </c>
      <c r="G802" s="1">
        <v>46726</v>
      </c>
      <c r="H802" t="s">
        <v>2630</v>
      </c>
      <c r="I802" t="s">
        <v>2631</v>
      </c>
      <c r="J802" t="s">
        <v>21</v>
      </c>
      <c r="K802" t="s">
        <v>22</v>
      </c>
      <c r="L802" t="s">
        <v>85</v>
      </c>
      <c r="M802" t="s">
        <v>86</v>
      </c>
      <c r="N802" t="s">
        <v>87</v>
      </c>
      <c r="O802" t="s">
        <v>37</v>
      </c>
      <c r="P802" t="s">
        <v>46</v>
      </c>
      <c r="Q802" t="s">
        <v>47</v>
      </c>
      <c r="R802">
        <v>10703.97</v>
      </c>
      <c r="S802">
        <v>1</v>
      </c>
      <c r="T802">
        <v>0</v>
      </c>
      <c r="U802" t="str">
        <f>IF(Retail_data[[#This Row],[Sales]]&gt;30000,"High",IF(Retail_data[[#This Row],[Sales]]&gt;10000,"Medium","Low"))</f>
        <v>Medium</v>
      </c>
      <c r="V802" s="3">
        <f>Retail_data[[#This Row],[Profit]]/Retail_data[[#This Row],[Sales]]</f>
        <v>0.2744561130122749</v>
      </c>
      <c r="W802">
        <v>2937.77</v>
      </c>
      <c r="X802" t="s">
        <v>29</v>
      </c>
    </row>
    <row r="803" spans="1:24" ht="13.8" x14ac:dyDescent="0.25">
      <c r="A803" t="s">
        <v>2632</v>
      </c>
      <c r="B803">
        <f>YEAR(Retail_data[[#This Row],[Order Date]])</f>
        <v>2027</v>
      </c>
      <c r="C803" t="str">
        <f>TEXT(Retail_data[[#This Row],[Order Date]],"mmmm")</f>
        <v>December</v>
      </c>
      <c r="D803">
        <f>MONTH(Retail_data[[#This Row],[Order Date]])</f>
        <v>12</v>
      </c>
      <c r="E803" t="str">
        <f>"Q"&amp;ROUNDUP(MONTH(Retail_data[[#This Row],[Order Date]])/3,0)</f>
        <v>Q4</v>
      </c>
      <c r="F803" s="1">
        <v>46723</v>
      </c>
      <c r="G803" s="1">
        <v>46727</v>
      </c>
      <c r="H803" t="s">
        <v>2633</v>
      </c>
      <c r="I803" t="s">
        <v>2634</v>
      </c>
      <c r="J803" t="s">
        <v>33</v>
      </c>
      <c r="K803" t="s">
        <v>22</v>
      </c>
      <c r="L803" t="s">
        <v>67</v>
      </c>
      <c r="M803" t="s">
        <v>68</v>
      </c>
      <c r="N803" t="s">
        <v>69</v>
      </c>
      <c r="O803" t="s">
        <v>37</v>
      </c>
      <c r="P803" t="s">
        <v>46</v>
      </c>
      <c r="Q803" t="s">
        <v>968</v>
      </c>
      <c r="R803">
        <v>31351.65</v>
      </c>
      <c r="S803">
        <v>5</v>
      </c>
      <c r="T803">
        <v>0.3</v>
      </c>
      <c r="U803" t="str">
        <f>IF(Retail_data[[#This Row],[Sales]]&gt;30000,"High",IF(Retail_data[[#This Row],[Sales]]&gt;10000,"Medium","Low"))</f>
        <v>High</v>
      </c>
      <c r="V803" s="3">
        <f>Retail_data[[#This Row],[Profit]]/Retail_data[[#This Row],[Sales]]</f>
        <v>0.14895739139726299</v>
      </c>
      <c r="W803">
        <v>4670.0600000000004</v>
      </c>
      <c r="X803" t="s">
        <v>29</v>
      </c>
    </row>
    <row r="804" spans="1:24" ht="13.8" x14ac:dyDescent="0.25">
      <c r="A804" t="s">
        <v>2635</v>
      </c>
      <c r="B804">
        <f>YEAR(Retail_data[[#This Row],[Order Date]])</f>
        <v>2027</v>
      </c>
      <c r="C804" t="str">
        <f>TEXT(Retail_data[[#This Row],[Order Date]],"mmmm")</f>
        <v>December</v>
      </c>
      <c r="D804">
        <f>MONTH(Retail_data[[#This Row],[Order Date]])</f>
        <v>12</v>
      </c>
      <c r="E804" t="str">
        <f>"Q"&amp;ROUNDUP(MONTH(Retail_data[[#This Row],[Order Date]])/3,0)</f>
        <v>Q4</v>
      </c>
      <c r="F804" s="1">
        <v>46724</v>
      </c>
      <c r="G804" s="1">
        <v>46728</v>
      </c>
      <c r="H804" t="s">
        <v>2636</v>
      </c>
      <c r="I804" t="s">
        <v>2637</v>
      </c>
      <c r="J804" t="s">
        <v>33</v>
      </c>
      <c r="K804" t="s">
        <v>22</v>
      </c>
      <c r="L804" t="s">
        <v>34</v>
      </c>
      <c r="M804" t="s">
        <v>35</v>
      </c>
      <c r="N804" t="s">
        <v>36</v>
      </c>
      <c r="O804" t="s">
        <v>26</v>
      </c>
      <c r="P804" t="s">
        <v>70</v>
      </c>
      <c r="Q804" t="s">
        <v>231</v>
      </c>
      <c r="R804">
        <v>27590.61</v>
      </c>
      <c r="S804">
        <v>4</v>
      </c>
      <c r="T804">
        <v>0.2</v>
      </c>
      <c r="U804" t="str">
        <f>IF(Retail_data[[#This Row],[Sales]]&gt;30000,"High",IF(Retail_data[[#This Row],[Sales]]&gt;10000,"Medium","Low"))</f>
        <v>Medium</v>
      </c>
      <c r="V804" s="3">
        <f>Retail_data[[#This Row],[Profit]]/Retail_data[[#This Row],[Sales]]</f>
        <v>6.1676055730554707E-2</v>
      </c>
      <c r="W804">
        <v>1701.68</v>
      </c>
      <c r="X804" t="s">
        <v>29</v>
      </c>
    </row>
    <row r="805" spans="1:24" ht="13.8" x14ac:dyDescent="0.25">
      <c r="A805" t="s">
        <v>2638</v>
      </c>
      <c r="B805">
        <f>YEAR(Retail_data[[#This Row],[Order Date]])</f>
        <v>2027</v>
      </c>
      <c r="C805" t="str">
        <f>TEXT(Retail_data[[#This Row],[Order Date]],"mmmm")</f>
        <v>December</v>
      </c>
      <c r="D805">
        <f>MONTH(Retail_data[[#This Row],[Order Date]])</f>
        <v>12</v>
      </c>
      <c r="E805" t="str">
        <f>"Q"&amp;ROUNDUP(MONTH(Retail_data[[#This Row],[Order Date]])/3,0)</f>
        <v>Q4</v>
      </c>
      <c r="F805" s="1">
        <v>46725</v>
      </c>
      <c r="G805" s="1">
        <v>46729</v>
      </c>
      <c r="H805" t="s">
        <v>2639</v>
      </c>
      <c r="I805" t="s">
        <v>2640</v>
      </c>
      <c r="J805" t="s">
        <v>33</v>
      </c>
      <c r="K805" t="s">
        <v>22</v>
      </c>
      <c r="L805" t="s">
        <v>85</v>
      </c>
      <c r="M805" t="s">
        <v>86</v>
      </c>
      <c r="N805" t="s">
        <v>87</v>
      </c>
      <c r="O805" t="s">
        <v>57</v>
      </c>
      <c r="P805" t="s">
        <v>79</v>
      </c>
      <c r="Q805" t="s">
        <v>113</v>
      </c>
      <c r="R805">
        <v>16547.240000000002</v>
      </c>
      <c r="S805">
        <v>1</v>
      </c>
      <c r="T805">
        <v>0.3</v>
      </c>
      <c r="U805" t="str">
        <f>IF(Retail_data[[#This Row],[Sales]]&gt;30000,"High",IF(Retail_data[[#This Row],[Sales]]&gt;10000,"Medium","Low"))</f>
        <v>Medium</v>
      </c>
      <c r="V805" s="3">
        <f>Retail_data[[#This Row],[Profit]]/Retail_data[[#This Row],[Sales]]</f>
        <v>0.15489350489870213</v>
      </c>
      <c r="W805">
        <v>2563.06</v>
      </c>
      <c r="X805" t="s">
        <v>40</v>
      </c>
    </row>
    <row r="806" spans="1:24" ht="13.8" x14ac:dyDescent="0.25">
      <c r="A806" t="s">
        <v>2641</v>
      </c>
      <c r="B806">
        <f>YEAR(Retail_data[[#This Row],[Order Date]])</f>
        <v>2027</v>
      </c>
      <c r="C806" t="str">
        <f>TEXT(Retail_data[[#This Row],[Order Date]],"mmmm")</f>
        <v>December</v>
      </c>
      <c r="D806">
        <f>MONTH(Retail_data[[#This Row],[Order Date]])</f>
        <v>12</v>
      </c>
      <c r="E806" t="str">
        <f>"Q"&amp;ROUNDUP(MONTH(Retail_data[[#This Row],[Order Date]])/3,0)</f>
        <v>Q4</v>
      </c>
      <c r="F806" s="1">
        <v>46726</v>
      </c>
      <c r="G806" s="1">
        <v>46730</v>
      </c>
      <c r="H806" t="s">
        <v>2642</v>
      </c>
      <c r="I806" t="s">
        <v>2643</v>
      </c>
      <c r="J806" t="s">
        <v>33</v>
      </c>
      <c r="K806" t="s">
        <v>22</v>
      </c>
      <c r="L806" t="s">
        <v>45</v>
      </c>
      <c r="M806" t="s">
        <v>45</v>
      </c>
      <c r="N806" t="s">
        <v>25</v>
      </c>
      <c r="O806" t="s">
        <v>57</v>
      </c>
      <c r="P806" t="s">
        <v>149</v>
      </c>
      <c r="Q806" t="s">
        <v>453</v>
      </c>
      <c r="R806">
        <v>35140.339999999997</v>
      </c>
      <c r="S806">
        <v>5</v>
      </c>
      <c r="T806">
        <v>0</v>
      </c>
      <c r="U806" t="str">
        <f>IF(Retail_data[[#This Row],[Sales]]&gt;30000,"High",IF(Retail_data[[#This Row],[Sales]]&gt;10000,"Medium","Low"))</f>
        <v>High</v>
      </c>
      <c r="V806" s="3">
        <f>Retail_data[[#This Row],[Profit]]/Retail_data[[#This Row],[Sales]]</f>
        <v>0.18982314912149401</v>
      </c>
      <c r="W806">
        <v>6670.45</v>
      </c>
      <c r="X806" t="s">
        <v>48</v>
      </c>
    </row>
    <row r="807" spans="1:24" ht="13.8" x14ac:dyDescent="0.25">
      <c r="A807" t="s">
        <v>2644</v>
      </c>
      <c r="B807">
        <f>YEAR(Retail_data[[#This Row],[Order Date]])</f>
        <v>2027</v>
      </c>
      <c r="C807" t="str">
        <f>TEXT(Retail_data[[#This Row],[Order Date]],"mmmm")</f>
        <v>December</v>
      </c>
      <c r="D807">
        <f>MONTH(Retail_data[[#This Row],[Order Date]])</f>
        <v>12</v>
      </c>
      <c r="E807" t="str">
        <f>"Q"&amp;ROUNDUP(MONTH(Retail_data[[#This Row],[Order Date]])/3,0)</f>
        <v>Q4</v>
      </c>
      <c r="F807" s="1">
        <v>46727</v>
      </c>
      <c r="G807" s="1">
        <v>46731</v>
      </c>
      <c r="H807" t="s">
        <v>2645</v>
      </c>
      <c r="I807" t="s">
        <v>2646</v>
      </c>
      <c r="J807" t="s">
        <v>33</v>
      </c>
      <c r="K807" t="s">
        <v>22</v>
      </c>
      <c r="L807" t="s">
        <v>85</v>
      </c>
      <c r="M807" t="s">
        <v>86</v>
      </c>
      <c r="N807" t="s">
        <v>87</v>
      </c>
      <c r="O807" t="s">
        <v>26</v>
      </c>
      <c r="P807" t="s">
        <v>92</v>
      </c>
      <c r="Q807" t="s">
        <v>415</v>
      </c>
      <c r="R807">
        <v>16138.99</v>
      </c>
      <c r="S807">
        <v>2</v>
      </c>
      <c r="T807">
        <v>0</v>
      </c>
      <c r="U807" t="str">
        <f>IF(Retail_data[[#This Row],[Sales]]&gt;30000,"High",IF(Retail_data[[#This Row],[Sales]]&gt;10000,"Medium","Low"))</f>
        <v>Medium</v>
      </c>
      <c r="V807" s="3">
        <f>Retail_data[[#This Row],[Profit]]/Retail_data[[#This Row],[Sales]]</f>
        <v>0.11458709621853659</v>
      </c>
      <c r="W807">
        <v>1849.32</v>
      </c>
      <c r="X807" t="s">
        <v>48</v>
      </c>
    </row>
    <row r="808" spans="1:24" ht="13.8" x14ac:dyDescent="0.25">
      <c r="A808" t="s">
        <v>2647</v>
      </c>
      <c r="B808">
        <f>YEAR(Retail_data[[#This Row],[Order Date]])</f>
        <v>2027</v>
      </c>
      <c r="C808" t="str">
        <f>TEXT(Retail_data[[#This Row],[Order Date]],"mmmm")</f>
        <v>December</v>
      </c>
      <c r="D808">
        <f>MONTH(Retail_data[[#This Row],[Order Date]])</f>
        <v>12</v>
      </c>
      <c r="E808" t="str">
        <f>"Q"&amp;ROUNDUP(MONTH(Retail_data[[#This Row],[Order Date]])/3,0)</f>
        <v>Q4</v>
      </c>
      <c r="F808" s="1">
        <v>46728</v>
      </c>
      <c r="G808" s="1">
        <v>46732</v>
      </c>
      <c r="H808" t="s">
        <v>2648</v>
      </c>
      <c r="I808" t="s">
        <v>2649</v>
      </c>
      <c r="J808" t="s">
        <v>33</v>
      </c>
      <c r="K808" t="s">
        <v>22</v>
      </c>
      <c r="L808" t="s">
        <v>23</v>
      </c>
      <c r="M808" t="s">
        <v>24</v>
      </c>
      <c r="N808" t="s">
        <v>25</v>
      </c>
      <c r="O808" t="s">
        <v>57</v>
      </c>
      <c r="P808" t="s">
        <v>58</v>
      </c>
      <c r="Q808" t="s">
        <v>1282</v>
      </c>
      <c r="R808">
        <v>44655.99</v>
      </c>
      <c r="S808">
        <v>1</v>
      </c>
      <c r="T808">
        <v>0.2</v>
      </c>
      <c r="U808" t="str">
        <f>IF(Retail_data[[#This Row],[Sales]]&gt;30000,"High",IF(Retail_data[[#This Row],[Sales]]&gt;10000,"Medium","Low"))</f>
        <v>High</v>
      </c>
      <c r="V808" s="3">
        <f>Retail_data[[#This Row],[Profit]]/Retail_data[[#This Row],[Sales]]</f>
        <v>8.0657264568538292E-2</v>
      </c>
      <c r="W808">
        <v>3601.83</v>
      </c>
      <c r="X808" t="s">
        <v>48</v>
      </c>
    </row>
    <row r="809" spans="1:24" ht="13.8" x14ac:dyDescent="0.25">
      <c r="A809" t="s">
        <v>2650</v>
      </c>
      <c r="B809">
        <f>YEAR(Retail_data[[#This Row],[Order Date]])</f>
        <v>2027</v>
      </c>
      <c r="C809" t="str">
        <f>TEXT(Retail_data[[#This Row],[Order Date]],"mmmm")</f>
        <v>December</v>
      </c>
      <c r="D809">
        <f>MONTH(Retail_data[[#This Row],[Order Date]])</f>
        <v>12</v>
      </c>
      <c r="E809" t="str">
        <f>"Q"&amp;ROUNDUP(MONTH(Retail_data[[#This Row],[Order Date]])/3,0)</f>
        <v>Q4</v>
      </c>
      <c r="F809" s="1">
        <v>46729</v>
      </c>
      <c r="G809" s="1">
        <v>46733</v>
      </c>
      <c r="H809" t="s">
        <v>2651</v>
      </c>
      <c r="I809" t="s">
        <v>2652</v>
      </c>
      <c r="J809" t="s">
        <v>44</v>
      </c>
      <c r="K809" t="s">
        <v>22</v>
      </c>
      <c r="L809" t="s">
        <v>67</v>
      </c>
      <c r="M809" t="s">
        <v>68</v>
      </c>
      <c r="N809" t="s">
        <v>69</v>
      </c>
      <c r="O809" t="s">
        <v>26</v>
      </c>
      <c r="P809" t="s">
        <v>92</v>
      </c>
      <c r="Q809" t="s">
        <v>631</v>
      </c>
      <c r="R809">
        <v>8732.9500000000007</v>
      </c>
      <c r="S809">
        <v>5</v>
      </c>
      <c r="T809">
        <v>0</v>
      </c>
      <c r="U809" t="str">
        <f>IF(Retail_data[[#This Row],[Sales]]&gt;30000,"High",IF(Retail_data[[#This Row],[Sales]]&gt;10000,"Medium","Low"))</f>
        <v>Low</v>
      </c>
      <c r="V809" s="3">
        <f>Retail_data[[#This Row],[Profit]]/Retail_data[[#This Row],[Sales]]</f>
        <v>0.15693551434509528</v>
      </c>
      <c r="W809">
        <v>1370.51</v>
      </c>
      <c r="X809" t="s">
        <v>40</v>
      </c>
    </row>
    <row r="810" spans="1:24" ht="13.8" x14ac:dyDescent="0.25">
      <c r="A810" t="s">
        <v>2653</v>
      </c>
      <c r="B810">
        <f>YEAR(Retail_data[[#This Row],[Order Date]])</f>
        <v>2027</v>
      </c>
      <c r="C810" t="str">
        <f>TEXT(Retail_data[[#This Row],[Order Date]],"mmmm")</f>
        <v>December</v>
      </c>
      <c r="D810">
        <f>MONTH(Retail_data[[#This Row],[Order Date]])</f>
        <v>12</v>
      </c>
      <c r="E810" t="str">
        <f>"Q"&amp;ROUNDUP(MONTH(Retail_data[[#This Row],[Order Date]])/3,0)</f>
        <v>Q4</v>
      </c>
      <c r="F810" s="1">
        <v>46730</v>
      </c>
      <c r="G810" s="1">
        <v>46734</v>
      </c>
      <c r="H810" t="s">
        <v>2654</v>
      </c>
      <c r="I810" t="s">
        <v>2655</v>
      </c>
      <c r="J810" t="s">
        <v>44</v>
      </c>
      <c r="K810" t="s">
        <v>22</v>
      </c>
      <c r="L810" t="s">
        <v>34</v>
      </c>
      <c r="M810" t="s">
        <v>35</v>
      </c>
      <c r="N810" t="s">
        <v>36</v>
      </c>
      <c r="O810" t="s">
        <v>26</v>
      </c>
      <c r="P810" t="s">
        <v>70</v>
      </c>
      <c r="Q810" t="s">
        <v>778</v>
      </c>
      <c r="R810">
        <v>9847.57</v>
      </c>
      <c r="S810">
        <v>5</v>
      </c>
      <c r="T810">
        <v>0.2</v>
      </c>
      <c r="U810" t="str">
        <f>IF(Retail_data[[#This Row],[Sales]]&gt;30000,"High",IF(Retail_data[[#This Row],[Sales]]&gt;10000,"Medium","Low"))</f>
        <v>Low</v>
      </c>
      <c r="V810" s="3">
        <f>Retail_data[[#This Row],[Profit]]/Retail_data[[#This Row],[Sales]]</f>
        <v>0.21273776170161773</v>
      </c>
      <c r="W810">
        <v>2094.9499999999998</v>
      </c>
      <c r="X810" t="s">
        <v>48</v>
      </c>
    </row>
    <row r="811" spans="1:24" ht="13.8" x14ac:dyDescent="0.25">
      <c r="A811" t="s">
        <v>2656</v>
      </c>
      <c r="B811">
        <f>YEAR(Retail_data[[#This Row],[Order Date]])</f>
        <v>2027</v>
      </c>
      <c r="C811" t="str">
        <f>TEXT(Retail_data[[#This Row],[Order Date]],"mmmm")</f>
        <v>December</v>
      </c>
      <c r="D811">
        <f>MONTH(Retail_data[[#This Row],[Order Date]])</f>
        <v>12</v>
      </c>
      <c r="E811" t="str">
        <f>"Q"&amp;ROUNDUP(MONTH(Retail_data[[#This Row],[Order Date]])/3,0)</f>
        <v>Q4</v>
      </c>
      <c r="F811" s="1">
        <v>46731</v>
      </c>
      <c r="G811" s="1">
        <v>46735</v>
      </c>
      <c r="H811" t="s">
        <v>2657</v>
      </c>
      <c r="I811" t="s">
        <v>2658</v>
      </c>
      <c r="J811" t="s">
        <v>33</v>
      </c>
      <c r="K811" t="s">
        <v>22</v>
      </c>
      <c r="L811" t="s">
        <v>34</v>
      </c>
      <c r="M811" t="s">
        <v>35</v>
      </c>
      <c r="N811" t="s">
        <v>36</v>
      </c>
      <c r="O811" t="s">
        <v>57</v>
      </c>
      <c r="P811" t="s">
        <v>149</v>
      </c>
      <c r="Q811" t="s">
        <v>2659</v>
      </c>
      <c r="R811">
        <v>35260.79</v>
      </c>
      <c r="S811">
        <v>2</v>
      </c>
      <c r="T811">
        <v>0.2</v>
      </c>
      <c r="U811" t="str">
        <f>IF(Retail_data[[#This Row],[Sales]]&gt;30000,"High",IF(Retail_data[[#This Row],[Sales]]&gt;10000,"Medium","Low"))</f>
        <v>High</v>
      </c>
      <c r="V811" s="3">
        <f>Retail_data[[#This Row],[Profit]]/Retail_data[[#This Row],[Sales]]</f>
        <v>0.13956749125586806</v>
      </c>
      <c r="W811">
        <v>4921.26</v>
      </c>
      <c r="X811" t="s">
        <v>48</v>
      </c>
    </row>
    <row r="812" spans="1:24" ht="13.8" x14ac:dyDescent="0.25">
      <c r="A812" t="s">
        <v>2660</v>
      </c>
      <c r="B812">
        <f>YEAR(Retail_data[[#This Row],[Order Date]])</f>
        <v>2027</v>
      </c>
      <c r="C812" t="str">
        <f>TEXT(Retail_data[[#This Row],[Order Date]],"mmmm")</f>
        <v>December</v>
      </c>
      <c r="D812">
        <f>MONTH(Retail_data[[#This Row],[Order Date]])</f>
        <v>12</v>
      </c>
      <c r="E812" t="str">
        <f>"Q"&amp;ROUNDUP(MONTH(Retail_data[[#This Row],[Order Date]])/3,0)</f>
        <v>Q4</v>
      </c>
      <c r="F812" s="1">
        <v>46732</v>
      </c>
      <c r="G812" s="1">
        <v>46736</v>
      </c>
      <c r="H812" t="s">
        <v>2661</v>
      </c>
      <c r="I812" t="s">
        <v>2662</v>
      </c>
      <c r="J812" t="s">
        <v>44</v>
      </c>
      <c r="K812" t="s">
        <v>22</v>
      </c>
      <c r="L812" t="s">
        <v>45</v>
      </c>
      <c r="M812" t="s">
        <v>45</v>
      </c>
      <c r="N812" t="s">
        <v>25</v>
      </c>
      <c r="O812" t="s">
        <v>26</v>
      </c>
      <c r="P812" t="s">
        <v>92</v>
      </c>
      <c r="Q812" t="s">
        <v>343</v>
      </c>
      <c r="R812">
        <v>4604.63</v>
      </c>
      <c r="S812">
        <v>6</v>
      </c>
      <c r="T812">
        <v>0</v>
      </c>
      <c r="U812" t="str">
        <f>IF(Retail_data[[#This Row],[Sales]]&gt;30000,"High",IF(Retail_data[[#This Row],[Sales]]&gt;10000,"Medium","Low"))</f>
        <v>Low</v>
      </c>
      <c r="V812" s="3">
        <f>Retail_data[[#This Row],[Profit]]/Retail_data[[#This Row],[Sales]]</f>
        <v>0.22499744822059534</v>
      </c>
      <c r="W812">
        <v>1036.03</v>
      </c>
      <c r="X812" t="s">
        <v>29</v>
      </c>
    </row>
    <row r="813" spans="1:24" ht="13.8" x14ac:dyDescent="0.25">
      <c r="A813" t="s">
        <v>2663</v>
      </c>
      <c r="B813">
        <f>YEAR(Retail_data[[#This Row],[Order Date]])</f>
        <v>2027</v>
      </c>
      <c r="C813" t="str">
        <f>TEXT(Retail_data[[#This Row],[Order Date]],"mmmm")</f>
        <v>December</v>
      </c>
      <c r="D813">
        <f>MONTH(Retail_data[[#This Row],[Order Date]])</f>
        <v>12</v>
      </c>
      <c r="E813" t="str">
        <f>"Q"&amp;ROUNDUP(MONTH(Retail_data[[#This Row],[Order Date]])/3,0)</f>
        <v>Q4</v>
      </c>
      <c r="F813" s="1">
        <v>46733</v>
      </c>
      <c r="G813" s="1">
        <v>46737</v>
      </c>
      <c r="H813" t="s">
        <v>2664</v>
      </c>
      <c r="I813" t="s">
        <v>2665</v>
      </c>
      <c r="J813" t="s">
        <v>21</v>
      </c>
      <c r="K813" t="s">
        <v>22</v>
      </c>
      <c r="L813" t="s">
        <v>23</v>
      </c>
      <c r="M813" t="s">
        <v>24</v>
      </c>
      <c r="N813" t="s">
        <v>25</v>
      </c>
      <c r="O813" t="s">
        <v>26</v>
      </c>
      <c r="P813" t="s">
        <v>92</v>
      </c>
      <c r="Q813" t="s">
        <v>343</v>
      </c>
      <c r="R813">
        <v>18322.8</v>
      </c>
      <c r="S813">
        <v>8</v>
      </c>
      <c r="T813">
        <v>0.1</v>
      </c>
      <c r="U813" t="str">
        <f>IF(Retail_data[[#This Row],[Sales]]&gt;30000,"High",IF(Retail_data[[#This Row],[Sales]]&gt;10000,"Medium","Low"))</f>
        <v>Medium</v>
      </c>
      <c r="V813" s="3">
        <f>Retail_data[[#This Row],[Profit]]/Retail_data[[#This Row],[Sales]]</f>
        <v>0.23416399240290786</v>
      </c>
      <c r="W813">
        <v>4290.54</v>
      </c>
      <c r="X813" t="s">
        <v>48</v>
      </c>
    </row>
    <row r="814" spans="1:24" ht="13.8" x14ac:dyDescent="0.25">
      <c r="A814" t="s">
        <v>2666</v>
      </c>
      <c r="B814">
        <f>YEAR(Retail_data[[#This Row],[Order Date]])</f>
        <v>2027</v>
      </c>
      <c r="C814" t="str">
        <f>TEXT(Retail_data[[#This Row],[Order Date]],"mmmm")</f>
        <v>December</v>
      </c>
      <c r="D814">
        <f>MONTH(Retail_data[[#This Row],[Order Date]])</f>
        <v>12</v>
      </c>
      <c r="E814" t="str">
        <f>"Q"&amp;ROUNDUP(MONTH(Retail_data[[#This Row],[Order Date]])/3,0)</f>
        <v>Q4</v>
      </c>
      <c r="F814" s="1">
        <v>46734</v>
      </c>
      <c r="G814" s="1">
        <v>46738</v>
      </c>
      <c r="H814" t="s">
        <v>2667</v>
      </c>
      <c r="I814" t="s">
        <v>2668</v>
      </c>
      <c r="J814" t="s">
        <v>44</v>
      </c>
      <c r="K814" t="s">
        <v>22</v>
      </c>
      <c r="L814" t="s">
        <v>85</v>
      </c>
      <c r="M814" t="s">
        <v>86</v>
      </c>
      <c r="N814" t="s">
        <v>87</v>
      </c>
      <c r="O814" t="s">
        <v>57</v>
      </c>
      <c r="P814" t="s">
        <v>58</v>
      </c>
      <c r="Q814" t="s">
        <v>63</v>
      </c>
      <c r="R814">
        <v>27937.88</v>
      </c>
      <c r="S814">
        <v>4</v>
      </c>
      <c r="T814">
        <v>0.2</v>
      </c>
      <c r="U814" t="str">
        <f>IF(Retail_data[[#This Row],[Sales]]&gt;30000,"High",IF(Retail_data[[#This Row],[Sales]]&gt;10000,"Medium","Low"))</f>
        <v>Medium</v>
      </c>
      <c r="V814" s="3">
        <f>Retail_data[[#This Row],[Profit]]/Retail_data[[#This Row],[Sales]]</f>
        <v>5.2249848592663434E-2</v>
      </c>
      <c r="W814">
        <v>1459.75</v>
      </c>
      <c r="X814" t="s">
        <v>81</v>
      </c>
    </row>
    <row r="815" spans="1:24" ht="13.8" x14ac:dyDescent="0.25">
      <c r="A815" t="s">
        <v>2669</v>
      </c>
      <c r="B815">
        <f>YEAR(Retail_data[[#This Row],[Order Date]])</f>
        <v>2027</v>
      </c>
      <c r="C815" t="str">
        <f>TEXT(Retail_data[[#This Row],[Order Date]],"mmmm")</f>
        <v>December</v>
      </c>
      <c r="D815">
        <f>MONTH(Retail_data[[#This Row],[Order Date]])</f>
        <v>12</v>
      </c>
      <c r="E815" t="str">
        <f>"Q"&amp;ROUNDUP(MONTH(Retail_data[[#This Row],[Order Date]])/3,0)</f>
        <v>Q4</v>
      </c>
      <c r="F815" s="1">
        <v>46735</v>
      </c>
      <c r="G815" s="1">
        <v>46739</v>
      </c>
      <c r="H815" t="s">
        <v>2670</v>
      </c>
      <c r="I815" t="s">
        <v>2671</v>
      </c>
      <c r="J815" t="s">
        <v>21</v>
      </c>
      <c r="K815" t="s">
        <v>22</v>
      </c>
      <c r="L815" t="s">
        <v>34</v>
      </c>
      <c r="M815" t="s">
        <v>35</v>
      </c>
      <c r="N815" t="s">
        <v>36</v>
      </c>
      <c r="O815" t="s">
        <v>37</v>
      </c>
      <c r="P815" t="s">
        <v>38</v>
      </c>
      <c r="Q815" t="s">
        <v>411</v>
      </c>
      <c r="R815">
        <v>48605.21</v>
      </c>
      <c r="S815">
        <v>1</v>
      </c>
      <c r="T815">
        <v>0.2</v>
      </c>
      <c r="U815" t="str">
        <f>IF(Retail_data[[#This Row],[Sales]]&gt;30000,"High",IF(Retail_data[[#This Row],[Sales]]&gt;10000,"Medium","Low"))</f>
        <v>High</v>
      </c>
      <c r="V815" s="3">
        <f>Retail_data[[#This Row],[Profit]]/Retail_data[[#This Row],[Sales]]</f>
        <v>2.241549825625689E-2</v>
      </c>
      <c r="W815">
        <v>1089.51</v>
      </c>
      <c r="X815" t="s">
        <v>29</v>
      </c>
    </row>
    <row r="816" spans="1:24" ht="13.8" x14ac:dyDescent="0.25">
      <c r="A816" t="s">
        <v>2672</v>
      </c>
      <c r="B816">
        <f>YEAR(Retail_data[[#This Row],[Order Date]])</f>
        <v>2027</v>
      </c>
      <c r="C816" t="str">
        <f>TEXT(Retail_data[[#This Row],[Order Date]],"mmmm")</f>
        <v>December</v>
      </c>
      <c r="D816">
        <f>MONTH(Retail_data[[#This Row],[Order Date]])</f>
        <v>12</v>
      </c>
      <c r="E816" t="str">
        <f>"Q"&amp;ROUNDUP(MONTH(Retail_data[[#This Row],[Order Date]])/3,0)</f>
        <v>Q4</v>
      </c>
      <c r="F816" s="1">
        <v>46736</v>
      </c>
      <c r="G816" s="1">
        <v>46740</v>
      </c>
      <c r="H816" t="s">
        <v>2673</v>
      </c>
      <c r="I816" t="s">
        <v>2674</v>
      </c>
      <c r="J816" t="s">
        <v>21</v>
      </c>
      <c r="K816" t="s">
        <v>22</v>
      </c>
      <c r="L816" t="s">
        <v>45</v>
      </c>
      <c r="M816" t="s">
        <v>45</v>
      </c>
      <c r="N816" t="s">
        <v>25</v>
      </c>
      <c r="O816" t="s">
        <v>37</v>
      </c>
      <c r="P816" t="s">
        <v>52</v>
      </c>
      <c r="Q816" t="s">
        <v>591</v>
      </c>
      <c r="R816">
        <v>28393.9</v>
      </c>
      <c r="S816">
        <v>8</v>
      </c>
      <c r="T816">
        <v>0.3</v>
      </c>
      <c r="U816" t="str">
        <f>IF(Retail_data[[#This Row],[Sales]]&gt;30000,"High",IF(Retail_data[[#This Row],[Sales]]&gt;10000,"Medium","Low"))</f>
        <v>Medium</v>
      </c>
      <c r="V816" s="3">
        <f>Retail_data[[#This Row],[Profit]]/Retail_data[[#This Row],[Sales]]</f>
        <v>0.15297581522791867</v>
      </c>
      <c r="W816">
        <v>4343.58</v>
      </c>
      <c r="X816" t="s">
        <v>81</v>
      </c>
    </row>
    <row r="817" spans="1:24" ht="13.8" x14ac:dyDescent="0.25">
      <c r="A817" t="s">
        <v>2675</v>
      </c>
      <c r="B817">
        <f>YEAR(Retail_data[[#This Row],[Order Date]])</f>
        <v>2027</v>
      </c>
      <c r="C817" t="str">
        <f>TEXT(Retail_data[[#This Row],[Order Date]],"mmmm")</f>
        <v>December</v>
      </c>
      <c r="D817">
        <f>MONTH(Retail_data[[#This Row],[Order Date]])</f>
        <v>12</v>
      </c>
      <c r="E817" t="str">
        <f>"Q"&amp;ROUNDUP(MONTH(Retail_data[[#This Row],[Order Date]])/3,0)</f>
        <v>Q4</v>
      </c>
      <c r="F817" s="1">
        <v>46737</v>
      </c>
      <c r="G817" s="1">
        <v>46741</v>
      </c>
      <c r="H817" t="s">
        <v>2676</v>
      </c>
      <c r="I817" t="s">
        <v>2677</v>
      </c>
      <c r="J817" t="s">
        <v>33</v>
      </c>
      <c r="K817" t="s">
        <v>22</v>
      </c>
      <c r="L817" t="s">
        <v>34</v>
      </c>
      <c r="M817" t="s">
        <v>35</v>
      </c>
      <c r="N817" t="s">
        <v>36</v>
      </c>
      <c r="O817" t="s">
        <v>37</v>
      </c>
      <c r="P817" t="s">
        <v>46</v>
      </c>
      <c r="Q817" t="s">
        <v>685</v>
      </c>
      <c r="R817">
        <v>40245.089999999997</v>
      </c>
      <c r="S817">
        <v>6</v>
      </c>
      <c r="T817">
        <v>0.3</v>
      </c>
      <c r="U817" t="str">
        <f>IF(Retail_data[[#This Row],[Sales]]&gt;30000,"High",IF(Retail_data[[#This Row],[Sales]]&gt;10000,"Medium","Low"))</f>
        <v>High</v>
      </c>
      <c r="V817" s="3">
        <f>Retail_data[[#This Row],[Profit]]/Retail_data[[#This Row],[Sales]]</f>
        <v>-4.0741118978737535E-2</v>
      </c>
      <c r="W817">
        <v>-1639.63</v>
      </c>
      <c r="X817" t="s">
        <v>29</v>
      </c>
    </row>
    <row r="818" spans="1:24" ht="13.8" x14ac:dyDescent="0.25">
      <c r="A818" t="s">
        <v>2678</v>
      </c>
      <c r="B818">
        <f>YEAR(Retail_data[[#This Row],[Order Date]])</f>
        <v>2027</v>
      </c>
      <c r="C818" t="str">
        <f>TEXT(Retail_data[[#This Row],[Order Date]],"mmmm")</f>
        <v>December</v>
      </c>
      <c r="D818">
        <f>MONTH(Retail_data[[#This Row],[Order Date]])</f>
        <v>12</v>
      </c>
      <c r="E818" t="str">
        <f>"Q"&amp;ROUNDUP(MONTH(Retail_data[[#This Row],[Order Date]])/3,0)</f>
        <v>Q4</v>
      </c>
      <c r="F818" s="1">
        <v>46738</v>
      </c>
      <c r="G818" s="1">
        <v>46742</v>
      </c>
      <c r="H818" t="s">
        <v>2679</v>
      </c>
      <c r="I818" t="s">
        <v>2680</v>
      </c>
      <c r="J818" t="s">
        <v>33</v>
      </c>
      <c r="K818" t="s">
        <v>22</v>
      </c>
      <c r="L818" t="s">
        <v>23</v>
      </c>
      <c r="M818" t="s">
        <v>24</v>
      </c>
      <c r="N818" t="s">
        <v>25</v>
      </c>
      <c r="O818" t="s">
        <v>26</v>
      </c>
      <c r="P818" t="s">
        <v>27</v>
      </c>
      <c r="Q818" t="s">
        <v>612</v>
      </c>
      <c r="R818">
        <v>28684.6</v>
      </c>
      <c r="S818">
        <v>8</v>
      </c>
      <c r="T818">
        <v>0</v>
      </c>
      <c r="U818" t="str">
        <f>IF(Retail_data[[#This Row],[Sales]]&gt;30000,"High",IF(Retail_data[[#This Row],[Sales]]&gt;10000,"Medium","Low"))</f>
        <v>Medium</v>
      </c>
      <c r="V818" s="3">
        <f>Retail_data[[#This Row],[Profit]]/Retail_data[[#This Row],[Sales]]</f>
        <v>9.6446176694114621E-2</v>
      </c>
      <c r="W818">
        <v>2766.52</v>
      </c>
      <c r="X818" t="s">
        <v>40</v>
      </c>
    </row>
    <row r="819" spans="1:24" ht="13.8" x14ac:dyDescent="0.25">
      <c r="A819" t="s">
        <v>2681</v>
      </c>
      <c r="B819">
        <f>YEAR(Retail_data[[#This Row],[Order Date]])</f>
        <v>2027</v>
      </c>
      <c r="C819" t="str">
        <f>TEXT(Retail_data[[#This Row],[Order Date]],"mmmm")</f>
        <v>December</v>
      </c>
      <c r="D819">
        <f>MONTH(Retail_data[[#This Row],[Order Date]])</f>
        <v>12</v>
      </c>
      <c r="E819" t="str">
        <f>"Q"&amp;ROUNDUP(MONTH(Retail_data[[#This Row],[Order Date]])/3,0)</f>
        <v>Q4</v>
      </c>
      <c r="F819" s="1">
        <v>46739</v>
      </c>
      <c r="G819" s="1">
        <v>46743</v>
      </c>
      <c r="H819" t="s">
        <v>2682</v>
      </c>
      <c r="I819" t="s">
        <v>2683</v>
      </c>
      <c r="J819" t="s">
        <v>21</v>
      </c>
      <c r="K819" t="s">
        <v>22</v>
      </c>
      <c r="L819" t="s">
        <v>23</v>
      </c>
      <c r="M819" t="s">
        <v>24</v>
      </c>
      <c r="N819" t="s">
        <v>25</v>
      </c>
      <c r="O819" t="s">
        <v>37</v>
      </c>
      <c r="P819" t="s">
        <v>46</v>
      </c>
      <c r="Q819" t="s">
        <v>129</v>
      </c>
      <c r="R819">
        <v>32918.019999999997</v>
      </c>
      <c r="S819">
        <v>6</v>
      </c>
      <c r="T819">
        <v>0.3</v>
      </c>
      <c r="U819" t="str">
        <f>IF(Retail_data[[#This Row],[Sales]]&gt;30000,"High",IF(Retail_data[[#This Row],[Sales]]&gt;10000,"Medium","Low"))</f>
        <v>High</v>
      </c>
      <c r="V819" s="3">
        <f>Retail_data[[#This Row],[Profit]]/Retail_data[[#This Row],[Sales]]</f>
        <v>-4.0463855359465735E-2</v>
      </c>
      <c r="W819">
        <v>-1331.99</v>
      </c>
      <c r="X819" t="s">
        <v>48</v>
      </c>
    </row>
    <row r="820" spans="1:24" ht="13.8" x14ac:dyDescent="0.25">
      <c r="A820" t="s">
        <v>2684</v>
      </c>
      <c r="B820">
        <f>YEAR(Retail_data[[#This Row],[Order Date]])</f>
        <v>2027</v>
      </c>
      <c r="C820" t="str">
        <f>TEXT(Retail_data[[#This Row],[Order Date]],"mmmm")</f>
        <v>December</v>
      </c>
      <c r="D820">
        <f>MONTH(Retail_data[[#This Row],[Order Date]])</f>
        <v>12</v>
      </c>
      <c r="E820" t="str">
        <f>"Q"&amp;ROUNDUP(MONTH(Retail_data[[#This Row],[Order Date]])/3,0)</f>
        <v>Q4</v>
      </c>
      <c r="F820" s="1">
        <v>46740</v>
      </c>
      <c r="G820" s="1">
        <v>46744</v>
      </c>
      <c r="H820" t="s">
        <v>2685</v>
      </c>
      <c r="I820" t="s">
        <v>2686</v>
      </c>
      <c r="J820" t="s">
        <v>21</v>
      </c>
      <c r="K820" t="s">
        <v>22</v>
      </c>
      <c r="L820" t="s">
        <v>85</v>
      </c>
      <c r="M820" t="s">
        <v>86</v>
      </c>
      <c r="N820" t="s">
        <v>87</v>
      </c>
      <c r="O820" t="s">
        <v>37</v>
      </c>
      <c r="P820" t="s">
        <v>38</v>
      </c>
      <c r="Q820" t="s">
        <v>460</v>
      </c>
      <c r="R820">
        <v>24839.200000000001</v>
      </c>
      <c r="S820">
        <v>6</v>
      </c>
      <c r="T820">
        <v>0.2</v>
      </c>
      <c r="U820" t="str">
        <f>IF(Retail_data[[#This Row],[Sales]]&gt;30000,"High",IF(Retail_data[[#This Row],[Sales]]&gt;10000,"Medium","Low"))</f>
        <v>Medium</v>
      </c>
      <c r="V820" s="3">
        <f>Retail_data[[#This Row],[Profit]]/Retail_data[[#This Row],[Sales]]</f>
        <v>0.19052344680988115</v>
      </c>
      <c r="W820">
        <v>4732.45</v>
      </c>
      <c r="X820" t="s">
        <v>29</v>
      </c>
    </row>
    <row r="821" spans="1:24" ht="13.8" x14ac:dyDescent="0.25">
      <c r="A821" t="s">
        <v>2687</v>
      </c>
      <c r="B821">
        <f>YEAR(Retail_data[[#This Row],[Order Date]])</f>
        <v>2027</v>
      </c>
      <c r="C821" t="str">
        <f>TEXT(Retail_data[[#This Row],[Order Date]],"mmmm")</f>
        <v>December</v>
      </c>
      <c r="D821">
        <f>MONTH(Retail_data[[#This Row],[Order Date]])</f>
        <v>12</v>
      </c>
      <c r="E821" t="str">
        <f>"Q"&amp;ROUNDUP(MONTH(Retail_data[[#This Row],[Order Date]])/3,0)</f>
        <v>Q4</v>
      </c>
      <c r="F821" s="1">
        <v>46741</v>
      </c>
      <c r="G821" s="1">
        <v>46745</v>
      </c>
      <c r="H821" t="s">
        <v>2688</v>
      </c>
      <c r="I821" t="s">
        <v>2689</v>
      </c>
      <c r="J821" t="s">
        <v>21</v>
      </c>
      <c r="K821" t="s">
        <v>22</v>
      </c>
      <c r="L821" t="s">
        <v>34</v>
      </c>
      <c r="M821" t="s">
        <v>35</v>
      </c>
      <c r="N821" t="s">
        <v>36</v>
      </c>
      <c r="O821" t="s">
        <v>57</v>
      </c>
      <c r="P821" t="s">
        <v>79</v>
      </c>
      <c r="Q821" t="s">
        <v>824</v>
      </c>
      <c r="R821">
        <v>4441.71</v>
      </c>
      <c r="S821">
        <v>6</v>
      </c>
      <c r="T821">
        <v>0.2</v>
      </c>
      <c r="U821" t="str">
        <f>IF(Retail_data[[#This Row],[Sales]]&gt;30000,"High",IF(Retail_data[[#This Row],[Sales]]&gt;10000,"Medium","Low"))</f>
        <v>Low</v>
      </c>
      <c r="V821" s="3">
        <f>Retail_data[[#This Row],[Profit]]/Retail_data[[#This Row],[Sales]]</f>
        <v>0.20328882344862678</v>
      </c>
      <c r="W821">
        <v>902.95</v>
      </c>
      <c r="X821" t="s">
        <v>29</v>
      </c>
    </row>
    <row r="822" spans="1:24" ht="13.8" x14ac:dyDescent="0.25">
      <c r="A822" t="s">
        <v>2690</v>
      </c>
      <c r="B822">
        <f>YEAR(Retail_data[[#This Row],[Order Date]])</f>
        <v>2027</v>
      </c>
      <c r="C822" t="str">
        <f>TEXT(Retail_data[[#This Row],[Order Date]],"mmmm")</f>
        <v>December</v>
      </c>
      <c r="D822">
        <f>MONTH(Retail_data[[#This Row],[Order Date]])</f>
        <v>12</v>
      </c>
      <c r="E822" t="str">
        <f>"Q"&amp;ROUNDUP(MONTH(Retail_data[[#This Row],[Order Date]])/3,0)</f>
        <v>Q4</v>
      </c>
      <c r="F822" s="1">
        <v>46742</v>
      </c>
      <c r="G822" s="1">
        <v>46746</v>
      </c>
      <c r="H822" t="s">
        <v>2691</v>
      </c>
      <c r="I822" t="s">
        <v>2692</v>
      </c>
      <c r="J822" t="s">
        <v>33</v>
      </c>
      <c r="K822" t="s">
        <v>22</v>
      </c>
      <c r="L822" t="s">
        <v>34</v>
      </c>
      <c r="M822" t="s">
        <v>35</v>
      </c>
      <c r="N822" t="s">
        <v>36</v>
      </c>
      <c r="O822" t="s">
        <v>57</v>
      </c>
      <c r="P822" t="s">
        <v>58</v>
      </c>
      <c r="Q822" t="s">
        <v>1093</v>
      </c>
      <c r="R822">
        <v>42945.86</v>
      </c>
      <c r="S822">
        <v>2</v>
      </c>
      <c r="T822">
        <v>0</v>
      </c>
      <c r="U822" t="str">
        <f>IF(Retail_data[[#This Row],[Sales]]&gt;30000,"High",IF(Retail_data[[#This Row],[Sales]]&gt;10000,"Medium","Low"))</f>
        <v>High</v>
      </c>
      <c r="V822" s="3">
        <f>Retail_data[[#This Row],[Profit]]/Retail_data[[#This Row],[Sales]]</f>
        <v>0.29192616005361172</v>
      </c>
      <c r="W822">
        <v>12537.02</v>
      </c>
      <c r="X822" t="s">
        <v>81</v>
      </c>
    </row>
    <row r="823" spans="1:24" ht="13.8" x14ac:dyDescent="0.25">
      <c r="A823" t="s">
        <v>2693</v>
      </c>
      <c r="B823">
        <f>YEAR(Retail_data[[#This Row],[Order Date]])</f>
        <v>2027</v>
      </c>
      <c r="C823" t="str">
        <f>TEXT(Retail_data[[#This Row],[Order Date]],"mmmm")</f>
        <v>December</v>
      </c>
      <c r="D823">
        <f>MONTH(Retail_data[[#This Row],[Order Date]])</f>
        <v>12</v>
      </c>
      <c r="E823" t="str">
        <f>"Q"&amp;ROUNDUP(MONTH(Retail_data[[#This Row],[Order Date]])/3,0)</f>
        <v>Q4</v>
      </c>
      <c r="F823" s="1">
        <v>46743</v>
      </c>
      <c r="G823" s="1">
        <v>46747</v>
      </c>
      <c r="H823" t="s">
        <v>2694</v>
      </c>
      <c r="I823" t="s">
        <v>2695</v>
      </c>
      <c r="J823" t="s">
        <v>33</v>
      </c>
      <c r="K823" t="s">
        <v>22</v>
      </c>
      <c r="L823" t="s">
        <v>23</v>
      </c>
      <c r="M823" t="s">
        <v>24</v>
      </c>
      <c r="N823" t="s">
        <v>25</v>
      </c>
      <c r="O823" t="s">
        <v>37</v>
      </c>
      <c r="P823" t="s">
        <v>38</v>
      </c>
      <c r="Q823" t="s">
        <v>715</v>
      </c>
      <c r="R823">
        <v>3974.4</v>
      </c>
      <c r="S823">
        <v>8</v>
      </c>
      <c r="T823">
        <v>0</v>
      </c>
      <c r="U823" t="str">
        <f>IF(Retail_data[[#This Row],[Sales]]&gt;30000,"High",IF(Retail_data[[#This Row],[Sales]]&gt;10000,"Medium","Low"))</f>
        <v>Low</v>
      </c>
      <c r="V823" s="3">
        <f>Retail_data[[#This Row],[Profit]]/Retail_data[[#This Row],[Sales]]</f>
        <v>0.28743458132045091</v>
      </c>
      <c r="W823">
        <v>1142.3800000000001</v>
      </c>
      <c r="X823" t="s">
        <v>48</v>
      </c>
    </row>
    <row r="824" spans="1:24" ht="13.8" x14ac:dyDescent="0.25">
      <c r="A824" t="s">
        <v>2696</v>
      </c>
      <c r="B824">
        <f>YEAR(Retail_data[[#This Row],[Order Date]])</f>
        <v>2027</v>
      </c>
      <c r="C824" t="str">
        <f>TEXT(Retail_data[[#This Row],[Order Date]],"mmmm")</f>
        <v>December</v>
      </c>
      <c r="D824">
        <f>MONTH(Retail_data[[#This Row],[Order Date]])</f>
        <v>12</v>
      </c>
      <c r="E824" t="str">
        <f>"Q"&amp;ROUNDUP(MONTH(Retail_data[[#This Row],[Order Date]])/3,0)</f>
        <v>Q4</v>
      </c>
      <c r="F824" s="1">
        <v>46744</v>
      </c>
      <c r="G824" s="1">
        <v>46748</v>
      </c>
      <c r="H824" t="s">
        <v>2697</v>
      </c>
      <c r="I824" t="s">
        <v>2698</v>
      </c>
      <c r="J824" t="s">
        <v>21</v>
      </c>
      <c r="K824" t="s">
        <v>22</v>
      </c>
      <c r="L824" t="s">
        <v>45</v>
      </c>
      <c r="M824" t="s">
        <v>45</v>
      </c>
      <c r="N824" t="s">
        <v>25</v>
      </c>
      <c r="O824" t="s">
        <v>57</v>
      </c>
      <c r="P824" t="s">
        <v>58</v>
      </c>
      <c r="Q824" t="s">
        <v>97</v>
      </c>
      <c r="R824">
        <v>9207.0499999999993</v>
      </c>
      <c r="S824">
        <v>8</v>
      </c>
      <c r="T824">
        <v>0.1</v>
      </c>
      <c r="U824" t="str">
        <f>IF(Retail_data[[#This Row],[Sales]]&gt;30000,"High",IF(Retail_data[[#This Row],[Sales]]&gt;10000,"Medium","Low"))</f>
        <v>Low</v>
      </c>
      <c r="V824" s="3">
        <f>Retail_data[[#This Row],[Profit]]/Retail_data[[#This Row],[Sales]]</f>
        <v>8.670095198787886E-2</v>
      </c>
      <c r="W824">
        <v>798.26</v>
      </c>
      <c r="X824" t="s">
        <v>40</v>
      </c>
    </row>
    <row r="825" spans="1:24" ht="13.8" x14ac:dyDescent="0.25">
      <c r="A825" t="s">
        <v>2699</v>
      </c>
      <c r="B825">
        <f>YEAR(Retail_data[[#This Row],[Order Date]])</f>
        <v>2027</v>
      </c>
      <c r="C825" t="str">
        <f>TEXT(Retail_data[[#This Row],[Order Date]],"mmmm")</f>
        <v>December</v>
      </c>
      <c r="D825">
        <f>MONTH(Retail_data[[#This Row],[Order Date]])</f>
        <v>12</v>
      </c>
      <c r="E825" t="str">
        <f>"Q"&amp;ROUNDUP(MONTH(Retail_data[[#This Row],[Order Date]])/3,0)</f>
        <v>Q4</v>
      </c>
      <c r="F825" s="1">
        <v>46745</v>
      </c>
      <c r="G825" s="1">
        <v>46749</v>
      </c>
      <c r="H825" t="s">
        <v>2700</v>
      </c>
      <c r="I825" t="s">
        <v>2701</v>
      </c>
      <c r="J825" t="s">
        <v>33</v>
      </c>
      <c r="K825" t="s">
        <v>22</v>
      </c>
      <c r="L825" t="s">
        <v>67</v>
      </c>
      <c r="M825" t="s">
        <v>68</v>
      </c>
      <c r="N825" t="s">
        <v>69</v>
      </c>
      <c r="O825" t="s">
        <v>57</v>
      </c>
      <c r="P825" t="s">
        <v>58</v>
      </c>
      <c r="Q825" t="s">
        <v>278</v>
      </c>
      <c r="R825">
        <v>28953.74</v>
      </c>
      <c r="S825">
        <v>6</v>
      </c>
      <c r="T825">
        <v>0.1</v>
      </c>
      <c r="U825" t="str">
        <f>IF(Retail_data[[#This Row],[Sales]]&gt;30000,"High",IF(Retail_data[[#This Row],[Sales]]&gt;10000,"Medium","Low"))</f>
        <v>Medium</v>
      </c>
      <c r="V825" s="3">
        <f>Retail_data[[#This Row],[Profit]]/Retail_data[[#This Row],[Sales]]</f>
        <v>0.13648495841987943</v>
      </c>
      <c r="W825">
        <v>3951.75</v>
      </c>
      <c r="X825" t="s">
        <v>48</v>
      </c>
    </row>
    <row r="826" spans="1:24" ht="13.8" x14ac:dyDescent="0.25">
      <c r="A826" t="s">
        <v>2702</v>
      </c>
      <c r="B826">
        <f>YEAR(Retail_data[[#This Row],[Order Date]])</f>
        <v>2027</v>
      </c>
      <c r="C826" t="str">
        <f>TEXT(Retail_data[[#This Row],[Order Date]],"mmmm")</f>
        <v>December</v>
      </c>
      <c r="D826">
        <f>MONTH(Retail_data[[#This Row],[Order Date]])</f>
        <v>12</v>
      </c>
      <c r="E826" t="str">
        <f>"Q"&amp;ROUNDUP(MONTH(Retail_data[[#This Row],[Order Date]])/3,0)</f>
        <v>Q4</v>
      </c>
      <c r="F826" s="1">
        <v>46746</v>
      </c>
      <c r="G826" s="1">
        <v>46750</v>
      </c>
      <c r="H826" t="s">
        <v>2703</v>
      </c>
      <c r="I826" t="s">
        <v>2704</v>
      </c>
      <c r="J826" t="s">
        <v>44</v>
      </c>
      <c r="K826" t="s">
        <v>22</v>
      </c>
      <c r="L826" t="s">
        <v>45</v>
      </c>
      <c r="M826" t="s">
        <v>45</v>
      </c>
      <c r="N826" t="s">
        <v>25</v>
      </c>
      <c r="O826" t="s">
        <v>37</v>
      </c>
      <c r="P826" t="s">
        <v>38</v>
      </c>
      <c r="Q826" t="s">
        <v>1027</v>
      </c>
      <c r="R826">
        <v>1666.7</v>
      </c>
      <c r="S826">
        <v>7</v>
      </c>
      <c r="T826">
        <v>0.3</v>
      </c>
      <c r="U826" t="str">
        <f>IF(Retail_data[[#This Row],[Sales]]&gt;30000,"High",IF(Retail_data[[#This Row],[Sales]]&gt;10000,"Medium","Low"))</f>
        <v>Low</v>
      </c>
      <c r="V826" s="3">
        <f>Retail_data[[#This Row],[Profit]]/Retail_data[[#This Row],[Sales]]</f>
        <v>0.15953680926381469</v>
      </c>
      <c r="W826">
        <v>265.89999999999998</v>
      </c>
      <c r="X826" t="s">
        <v>29</v>
      </c>
    </row>
    <row r="827" spans="1:24" ht="13.8" x14ac:dyDescent="0.25">
      <c r="A827" t="s">
        <v>2705</v>
      </c>
      <c r="B827">
        <f>YEAR(Retail_data[[#This Row],[Order Date]])</f>
        <v>2027</v>
      </c>
      <c r="C827" t="str">
        <f>TEXT(Retail_data[[#This Row],[Order Date]],"mmmm")</f>
        <v>December</v>
      </c>
      <c r="D827">
        <f>MONTH(Retail_data[[#This Row],[Order Date]])</f>
        <v>12</v>
      </c>
      <c r="E827" t="str">
        <f>"Q"&amp;ROUNDUP(MONTH(Retail_data[[#This Row],[Order Date]])/3,0)</f>
        <v>Q4</v>
      </c>
      <c r="F827" s="1">
        <v>46747</v>
      </c>
      <c r="G827" s="1">
        <v>46751</v>
      </c>
      <c r="H827" t="s">
        <v>2706</v>
      </c>
      <c r="I827" t="s">
        <v>2707</v>
      </c>
      <c r="J827" t="s">
        <v>44</v>
      </c>
      <c r="K827" t="s">
        <v>22</v>
      </c>
      <c r="L827" t="s">
        <v>67</v>
      </c>
      <c r="M827" t="s">
        <v>68</v>
      </c>
      <c r="N827" t="s">
        <v>69</v>
      </c>
      <c r="O827" t="s">
        <v>37</v>
      </c>
      <c r="P827" t="s">
        <v>52</v>
      </c>
      <c r="Q827" t="s">
        <v>358</v>
      </c>
      <c r="R827">
        <v>44612.06</v>
      </c>
      <c r="S827">
        <v>8</v>
      </c>
      <c r="T827">
        <v>0.3</v>
      </c>
      <c r="U827" t="str">
        <f>IF(Retail_data[[#This Row],[Sales]]&gt;30000,"High",IF(Retail_data[[#This Row],[Sales]]&gt;10000,"Medium","Low"))</f>
        <v>High</v>
      </c>
      <c r="V827" s="3">
        <f>Retail_data[[#This Row],[Profit]]/Retail_data[[#This Row],[Sales]]</f>
        <v>8.333822737618482E-2</v>
      </c>
      <c r="W827">
        <v>3717.89</v>
      </c>
      <c r="X827" t="s">
        <v>40</v>
      </c>
    </row>
    <row r="828" spans="1:24" ht="13.8" x14ac:dyDescent="0.25">
      <c r="A828" t="s">
        <v>2708</v>
      </c>
      <c r="B828">
        <f>YEAR(Retail_data[[#This Row],[Order Date]])</f>
        <v>2027</v>
      </c>
      <c r="C828" t="str">
        <f>TEXT(Retail_data[[#This Row],[Order Date]],"mmmm")</f>
        <v>December</v>
      </c>
      <c r="D828">
        <f>MONTH(Retail_data[[#This Row],[Order Date]])</f>
        <v>12</v>
      </c>
      <c r="E828" t="str">
        <f>"Q"&amp;ROUNDUP(MONTH(Retail_data[[#This Row],[Order Date]])/3,0)</f>
        <v>Q4</v>
      </c>
      <c r="F828" s="1">
        <v>46748</v>
      </c>
      <c r="G828" s="1">
        <v>46752</v>
      </c>
      <c r="H828" t="s">
        <v>2709</v>
      </c>
      <c r="I828" t="s">
        <v>2710</v>
      </c>
      <c r="J828" t="s">
        <v>44</v>
      </c>
      <c r="K828" t="s">
        <v>22</v>
      </c>
      <c r="L828" t="s">
        <v>34</v>
      </c>
      <c r="M828" t="s">
        <v>35</v>
      </c>
      <c r="N828" t="s">
        <v>36</v>
      </c>
      <c r="O828" t="s">
        <v>37</v>
      </c>
      <c r="P828" t="s">
        <v>52</v>
      </c>
      <c r="Q828" t="s">
        <v>358</v>
      </c>
      <c r="R828">
        <v>5675.81</v>
      </c>
      <c r="S828">
        <v>6</v>
      </c>
      <c r="T828">
        <v>0</v>
      </c>
      <c r="U828" t="str">
        <f>IF(Retail_data[[#This Row],[Sales]]&gt;30000,"High",IF(Retail_data[[#This Row],[Sales]]&gt;10000,"Medium","Low"))</f>
        <v>Low</v>
      </c>
      <c r="V828" s="3">
        <f>Retail_data[[#This Row],[Profit]]/Retail_data[[#This Row],[Sales]]</f>
        <v>7.504655723147885E-2</v>
      </c>
      <c r="W828">
        <v>425.95</v>
      </c>
      <c r="X828" t="s">
        <v>40</v>
      </c>
    </row>
    <row r="829" spans="1:24" ht="13.8" x14ac:dyDescent="0.25">
      <c r="A829" t="s">
        <v>2711</v>
      </c>
      <c r="B829">
        <f>YEAR(Retail_data[[#This Row],[Order Date]])</f>
        <v>2027</v>
      </c>
      <c r="C829" t="str">
        <f>TEXT(Retail_data[[#This Row],[Order Date]],"mmmm")</f>
        <v>December</v>
      </c>
      <c r="D829">
        <f>MONTH(Retail_data[[#This Row],[Order Date]])</f>
        <v>12</v>
      </c>
      <c r="E829" t="str">
        <f>"Q"&amp;ROUNDUP(MONTH(Retail_data[[#This Row],[Order Date]])/3,0)</f>
        <v>Q4</v>
      </c>
      <c r="F829" s="1">
        <v>46749</v>
      </c>
      <c r="G829" s="1">
        <v>46753</v>
      </c>
      <c r="H829" t="s">
        <v>2712</v>
      </c>
      <c r="I829" t="s">
        <v>2713</v>
      </c>
      <c r="J829" t="s">
        <v>33</v>
      </c>
      <c r="K829" t="s">
        <v>22</v>
      </c>
      <c r="L829" t="s">
        <v>34</v>
      </c>
      <c r="M829" t="s">
        <v>35</v>
      </c>
      <c r="N829" t="s">
        <v>36</v>
      </c>
      <c r="O829" t="s">
        <v>57</v>
      </c>
      <c r="P829" t="s">
        <v>79</v>
      </c>
      <c r="Q829" t="s">
        <v>80</v>
      </c>
      <c r="R829">
        <v>31722.68</v>
      </c>
      <c r="S829">
        <v>3</v>
      </c>
      <c r="T829">
        <v>0.2</v>
      </c>
      <c r="U829" t="str">
        <f>IF(Retail_data[[#This Row],[Sales]]&gt;30000,"High",IF(Retail_data[[#This Row],[Sales]]&gt;10000,"Medium","Low"))</f>
        <v>High</v>
      </c>
      <c r="V829" s="3">
        <f>Retail_data[[#This Row],[Profit]]/Retail_data[[#This Row],[Sales]]</f>
        <v>0.17179538424874571</v>
      </c>
      <c r="W829">
        <v>5449.81</v>
      </c>
      <c r="X829" t="s">
        <v>81</v>
      </c>
    </row>
    <row r="830" spans="1:24" ht="13.8" x14ac:dyDescent="0.25">
      <c r="A830" t="s">
        <v>2714</v>
      </c>
      <c r="B830">
        <f>YEAR(Retail_data[[#This Row],[Order Date]])</f>
        <v>2027</v>
      </c>
      <c r="C830" t="str">
        <f>TEXT(Retail_data[[#This Row],[Order Date]],"mmmm")</f>
        <v>December</v>
      </c>
      <c r="D830">
        <f>MONTH(Retail_data[[#This Row],[Order Date]])</f>
        <v>12</v>
      </c>
      <c r="E830" t="str">
        <f>"Q"&amp;ROUNDUP(MONTH(Retail_data[[#This Row],[Order Date]])/3,0)</f>
        <v>Q4</v>
      </c>
      <c r="F830" s="1">
        <v>46750</v>
      </c>
      <c r="G830" s="1">
        <v>46754</v>
      </c>
      <c r="H830" t="s">
        <v>2715</v>
      </c>
      <c r="I830" t="s">
        <v>2716</v>
      </c>
      <c r="J830" t="s">
        <v>33</v>
      </c>
      <c r="K830" t="s">
        <v>22</v>
      </c>
      <c r="L830" t="s">
        <v>45</v>
      </c>
      <c r="M830" t="s">
        <v>45</v>
      </c>
      <c r="N830" t="s">
        <v>25</v>
      </c>
      <c r="O830" t="s">
        <v>57</v>
      </c>
      <c r="P830" t="s">
        <v>79</v>
      </c>
      <c r="Q830" t="s">
        <v>80</v>
      </c>
      <c r="R830">
        <v>39723.93</v>
      </c>
      <c r="S830">
        <v>5</v>
      </c>
      <c r="T830">
        <v>0.2</v>
      </c>
      <c r="U830" t="str">
        <f>IF(Retail_data[[#This Row],[Sales]]&gt;30000,"High",IF(Retail_data[[#This Row],[Sales]]&gt;10000,"Medium","Low"))</f>
        <v>High</v>
      </c>
      <c r="V830" s="3">
        <f>Retail_data[[#This Row],[Profit]]/Retail_data[[#This Row],[Sales]]</f>
        <v>0.14763972245445001</v>
      </c>
      <c r="W830">
        <v>5864.83</v>
      </c>
      <c r="X830" t="s">
        <v>81</v>
      </c>
    </row>
    <row r="831" spans="1:24" ht="13.8" x14ac:dyDescent="0.25">
      <c r="A831" t="s">
        <v>2717</v>
      </c>
      <c r="B831">
        <f>YEAR(Retail_data[[#This Row],[Order Date]])</f>
        <v>2027</v>
      </c>
      <c r="C831" t="str">
        <f>TEXT(Retail_data[[#This Row],[Order Date]],"mmmm")</f>
        <v>December</v>
      </c>
      <c r="D831">
        <f>MONTH(Retail_data[[#This Row],[Order Date]])</f>
        <v>12</v>
      </c>
      <c r="E831" t="str">
        <f>"Q"&amp;ROUNDUP(MONTH(Retail_data[[#This Row],[Order Date]])/3,0)</f>
        <v>Q4</v>
      </c>
      <c r="F831" s="1">
        <v>46751</v>
      </c>
      <c r="G831" s="1">
        <v>46755</v>
      </c>
      <c r="H831" t="s">
        <v>2718</v>
      </c>
      <c r="I831" t="s">
        <v>2719</v>
      </c>
      <c r="J831" t="s">
        <v>21</v>
      </c>
      <c r="K831" t="s">
        <v>22</v>
      </c>
      <c r="L831" t="s">
        <v>85</v>
      </c>
      <c r="M831" t="s">
        <v>86</v>
      </c>
      <c r="N831" t="s">
        <v>87</v>
      </c>
      <c r="O831" t="s">
        <v>26</v>
      </c>
      <c r="P831" t="s">
        <v>27</v>
      </c>
      <c r="Q831" t="s">
        <v>660</v>
      </c>
      <c r="R831">
        <v>26381.81</v>
      </c>
      <c r="S831">
        <v>4</v>
      </c>
      <c r="T831">
        <v>0.1</v>
      </c>
      <c r="U831" t="str">
        <f>IF(Retail_data[[#This Row],[Sales]]&gt;30000,"High",IF(Retail_data[[#This Row],[Sales]]&gt;10000,"Medium","Low"))</f>
        <v>Medium</v>
      </c>
      <c r="V831" s="3">
        <f>Retail_data[[#This Row],[Profit]]/Retail_data[[#This Row],[Sales]]</f>
        <v>0.13454611340162029</v>
      </c>
      <c r="W831">
        <v>3549.57</v>
      </c>
      <c r="X831" t="s">
        <v>48</v>
      </c>
    </row>
    <row r="832" spans="1:24" ht="13.8" x14ac:dyDescent="0.25">
      <c r="A832" t="s">
        <v>2720</v>
      </c>
      <c r="B832">
        <f>YEAR(Retail_data[[#This Row],[Order Date]])</f>
        <v>2027</v>
      </c>
      <c r="C832" t="str">
        <f>TEXT(Retail_data[[#This Row],[Order Date]],"mmmm")</f>
        <v>December</v>
      </c>
      <c r="D832">
        <f>MONTH(Retail_data[[#This Row],[Order Date]])</f>
        <v>12</v>
      </c>
      <c r="E832" t="str">
        <f>"Q"&amp;ROUNDUP(MONTH(Retail_data[[#This Row],[Order Date]])/3,0)</f>
        <v>Q4</v>
      </c>
      <c r="F832" s="1">
        <v>46752</v>
      </c>
      <c r="G832" s="1">
        <v>46756</v>
      </c>
      <c r="H832" t="s">
        <v>2721</v>
      </c>
      <c r="I832" t="s">
        <v>2722</v>
      </c>
      <c r="J832" t="s">
        <v>44</v>
      </c>
      <c r="K832" t="s">
        <v>22</v>
      </c>
      <c r="L832" t="s">
        <v>34</v>
      </c>
      <c r="M832" t="s">
        <v>35</v>
      </c>
      <c r="N832" t="s">
        <v>36</v>
      </c>
      <c r="O832" t="s">
        <v>57</v>
      </c>
      <c r="P832" t="s">
        <v>149</v>
      </c>
      <c r="Q832" t="s">
        <v>2206</v>
      </c>
      <c r="R832">
        <v>47379.42</v>
      </c>
      <c r="S832">
        <v>5</v>
      </c>
      <c r="T832">
        <v>0.2</v>
      </c>
      <c r="U832" t="str">
        <f>IF(Retail_data[[#This Row],[Sales]]&gt;30000,"High",IF(Retail_data[[#This Row],[Sales]]&gt;10000,"Medium","Low"))</f>
        <v>High</v>
      </c>
      <c r="V832" s="3">
        <f>Retail_data[[#This Row],[Profit]]/Retail_data[[#This Row],[Sales]]</f>
        <v>1.0723010117050822E-2</v>
      </c>
      <c r="W832">
        <v>508.05</v>
      </c>
      <c r="X832" t="s">
        <v>29</v>
      </c>
    </row>
    <row r="833" spans="1:24" ht="13.8" x14ac:dyDescent="0.25">
      <c r="A833" t="s">
        <v>2723</v>
      </c>
      <c r="B833">
        <f>YEAR(Retail_data[[#This Row],[Order Date]])</f>
        <v>2028</v>
      </c>
      <c r="C833" t="str">
        <f>TEXT(Retail_data[[#This Row],[Order Date]],"mmmm")</f>
        <v>January</v>
      </c>
      <c r="D833">
        <f>MONTH(Retail_data[[#This Row],[Order Date]])</f>
        <v>1</v>
      </c>
      <c r="E833" t="str">
        <f>"Q"&amp;ROUNDUP(MONTH(Retail_data[[#This Row],[Order Date]])/3,0)</f>
        <v>Q1</v>
      </c>
      <c r="F833" s="1">
        <v>46753</v>
      </c>
      <c r="G833" s="1">
        <v>46757</v>
      </c>
      <c r="H833" t="s">
        <v>2724</v>
      </c>
      <c r="I833" t="s">
        <v>2725</v>
      </c>
      <c r="J833" t="s">
        <v>33</v>
      </c>
      <c r="K833" t="s">
        <v>22</v>
      </c>
      <c r="L833" t="s">
        <v>34</v>
      </c>
      <c r="M833" t="s">
        <v>35</v>
      </c>
      <c r="N833" t="s">
        <v>36</v>
      </c>
      <c r="O833" t="s">
        <v>37</v>
      </c>
      <c r="P833" t="s">
        <v>46</v>
      </c>
      <c r="Q833" t="s">
        <v>391</v>
      </c>
      <c r="R833">
        <v>34399.74</v>
      </c>
      <c r="S833">
        <v>7</v>
      </c>
      <c r="T833">
        <v>0.3</v>
      </c>
      <c r="U833" t="str">
        <f>IF(Retail_data[[#This Row],[Sales]]&gt;30000,"High",IF(Retail_data[[#This Row],[Sales]]&gt;10000,"Medium","Low"))</f>
        <v>High</v>
      </c>
      <c r="V833" s="3">
        <f>Retail_data[[#This Row],[Profit]]/Retail_data[[#This Row],[Sales]]</f>
        <v>-6.1040868332144373E-2</v>
      </c>
      <c r="W833">
        <v>-2099.79</v>
      </c>
      <c r="X833" t="s">
        <v>40</v>
      </c>
    </row>
    <row r="834" spans="1:24" ht="13.8" x14ac:dyDescent="0.25">
      <c r="A834" t="s">
        <v>2726</v>
      </c>
      <c r="B834">
        <f>YEAR(Retail_data[[#This Row],[Order Date]])</f>
        <v>2028</v>
      </c>
      <c r="C834" t="str">
        <f>TEXT(Retail_data[[#This Row],[Order Date]],"mmmm")</f>
        <v>January</v>
      </c>
      <c r="D834">
        <f>MONTH(Retail_data[[#This Row],[Order Date]])</f>
        <v>1</v>
      </c>
      <c r="E834" t="str">
        <f>"Q"&amp;ROUNDUP(MONTH(Retail_data[[#This Row],[Order Date]])/3,0)</f>
        <v>Q1</v>
      </c>
      <c r="F834" s="1">
        <v>46754</v>
      </c>
      <c r="G834" s="1">
        <v>46758</v>
      </c>
      <c r="H834" t="s">
        <v>2727</v>
      </c>
      <c r="I834" t="s">
        <v>2728</v>
      </c>
      <c r="J834" t="s">
        <v>44</v>
      </c>
      <c r="K834" t="s">
        <v>22</v>
      </c>
      <c r="L834" t="s">
        <v>85</v>
      </c>
      <c r="M834" t="s">
        <v>86</v>
      </c>
      <c r="N834" t="s">
        <v>87</v>
      </c>
      <c r="O834" t="s">
        <v>57</v>
      </c>
      <c r="P834" t="s">
        <v>58</v>
      </c>
      <c r="Q834" t="s">
        <v>59</v>
      </c>
      <c r="R834">
        <v>7305.4</v>
      </c>
      <c r="S834">
        <v>4</v>
      </c>
      <c r="T834">
        <v>0.3</v>
      </c>
      <c r="U834" t="str">
        <f>IF(Retail_data[[#This Row],[Sales]]&gt;30000,"High",IF(Retail_data[[#This Row],[Sales]]&gt;10000,"Medium","Low"))</f>
        <v>Low</v>
      </c>
      <c r="V834" s="3">
        <f>Retail_data[[#This Row],[Profit]]/Retail_data[[#This Row],[Sales]]</f>
        <v>0.13193528075122513</v>
      </c>
      <c r="W834">
        <v>963.84</v>
      </c>
      <c r="X834" t="s">
        <v>29</v>
      </c>
    </row>
    <row r="835" spans="1:24" ht="13.8" x14ac:dyDescent="0.25">
      <c r="A835" t="s">
        <v>2729</v>
      </c>
      <c r="B835">
        <f>YEAR(Retail_data[[#This Row],[Order Date]])</f>
        <v>2028</v>
      </c>
      <c r="C835" t="str">
        <f>TEXT(Retail_data[[#This Row],[Order Date]],"mmmm")</f>
        <v>January</v>
      </c>
      <c r="D835">
        <f>MONTH(Retail_data[[#This Row],[Order Date]])</f>
        <v>1</v>
      </c>
      <c r="E835" t="str">
        <f>"Q"&amp;ROUNDUP(MONTH(Retail_data[[#This Row],[Order Date]])/3,0)</f>
        <v>Q1</v>
      </c>
      <c r="F835" s="1">
        <v>46755</v>
      </c>
      <c r="G835" s="1">
        <v>46759</v>
      </c>
      <c r="H835" t="s">
        <v>2730</v>
      </c>
      <c r="I835" t="s">
        <v>2731</v>
      </c>
      <c r="J835" t="s">
        <v>44</v>
      </c>
      <c r="K835" t="s">
        <v>22</v>
      </c>
      <c r="L835" t="s">
        <v>67</v>
      </c>
      <c r="M835" t="s">
        <v>68</v>
      </c>
      <c r="N835" t="s">
        <v>69</v>
      </c>
      <c r="O835" t="s">
        <v>37</v>
      </c>
      <c r="P835" t="s">
        <v>46</v>
      </c>
      <c r="Q835" t="s">
        <v>685</v>
      </c>
      <c r="R835">
        <v>48033.59</v>
      </c>
      <c r="S835">
        <v>1</v>
      </c>
      <c r="T835">
        <v>0</v>
      </c>
      <c r="U835" t="str">
        <f>IF(Retail_data[[#This Row],[Sales]]&gt;30000,"High",IF(Retail_data[[#This Row],[Sales]]&gt;10000,"Medium","Low"))</f>
        <v>High</v>
      </c>
      <c r="V835" s="3">
        <f>Retail_data[[#This Row],[Profit]]/Retail_data[[#This Row],[Sales]]</f>
        <v>0.19842447753748993</v>
      </c>
      <c r="W835">
        <v>9531.0400000000009</v>
      </c>
      <c r="X835" t="s">
        <v>40</v>
      </c>
    </row>
    <row r="836" spans="1:24" ht="13.8" x14ac:dyDescent="0.25">
      <c r="A836" t="s">
        <v>2732</v>
      </c>
      <c r="B836">
        <f>YEAR(Retail_data[[#This Row],[Order Date]])</f>
        <v>2028</v>
      </c>
      <c r="C836" t="str">
        <f>TEXT(Retail_data[[#This Row],[Order Date]],"mmmm")</f>
        <v>January</v>
      </c>
      <c r="D836">
        <f>MONTH(Retail_data[[#This Row],[Order Date]])</f>
        <v>1</v>
      </c>
      <c r="E836" t="str">
        <f>"Q"&amp;ROUNDUP(MONTH(Retail_data[[#This Row],[Order Date]])/3,0)</f>
        <v>Q1</v>
      </c>
      <c r="F836" s="1">
        <v>46756</v>
      </c>
      <c r="G836" s="1">
        <v>46760</v>
      </c>
      <c r="H836" t="s">
        <v>2733</v>
      </c>
      <c r="I836" t="s">
        <v>2734</v>
      </c>
      <c r="J836" t="s">
        <v>33</v>
      </c>
      <c r="K836" t="s">
        <v>22</v>
      </c>
      <c r="L836" t="s">
        <v>67</v>
      </c>
      <c r="M836" t="s">
        <v>68</v>
      </c>
      <c r="N836" t="s">
        <v>69</v>
      </c>
      <c r="O836" t="s">
        <v>57</v>
      </c>
      <c r="P836" t="s">
        <v>58</v>
      </c>
      <c r="Q836" t="s">
        <v>387</v>
      </c>
      <c r="R836">
        <v>13778.98</v>
      </c>
      <c r="S836">
        <v>3</v>
      </c>
      <c r="T836">
        <v>0.1</v>
      </c>
      <c r="U836" t="str">
        <f>IF(Retail_data[[#This Row],[Sales]]&gt;30000,"High",IF(Retail_data[[#This Row],[Sales]]&gt;10000,"Medium","Low"))</f>
        <v>Medium</v>
      </c>
      <c r="V836" s="3">
        <f>Retail_data[[#This Row],[Profit]]/Retail_data[[#This Row],[Sales]]</f>
        <v>0.18201855289723914</v>
      </c>
      <c r="W836">
        <v>2508.0300000000002</v>
      </c>
      <c r="X836" t="s">
        <v>29</v>
      </c>
    </row>
    <row r="837" spans="1:24" ht="13.8" x14ac:dyDescent="0.25">
      <c r="A837" t="s">
        <v>2735</v>
      </c>
      <c r="B837">
        <f>YEAR(Retail_data[[#This Row],[Order Date]])</f>
        <v>2028</v>
      </c>
      <c r="C837" t="str">
        <f>TEXT(Retail_data[[#This Row],[Order Date]],"mmmm")</f>
        <v>January</v>
      </c>
      <c r="D837">
        <f>MONTH(Retail_data[[#This Row],[Order Date]])</f>
        <v>1</v>
      </c>
      <c r="E837" t="str">
        <f>"Q"&amp;ROUNDUP(MONTH(Retail_data[[#This Row],[Order Date]])/3,0)</f>
        <v>Q1</v>
      </c>
      <c r="F837" s="1">
        <v>46757</v>
      </c>
      <c r="G837" s="1">
        <v>46761</v>
      </c>
      <c r="H837" t="s">
        <v>2736</v>
      </c>
      <c r="I837" t="s">
        <v>2737</v>
      </c>
      <c r="J837" t="s">
        <v>21</v>
      </c>
      <c r="K837" t="s">
        <v>22</v>
      </c>
      <c r="L837" t="s">
        <v>45</v>
      </c>
      <c r="M837" t="s">
        <v>45</v>
      </c>
      <c r="N837" t="s">
        <v>25</v>
      </c>
      <c r="O837" t="s">
        <v>57</v>
      </c>
      <c r="P837" t="s">
        <v>79</v>
      </c>
      <c r="Q837" t="s">
        <v>1727</v>
      </c>
      <c r="R837">
        <v>1633.61</v>
      </c>
      <c r="S837">
        <v>4</v>
      </c>
      <c r="T837">
        <v>0.1</v>
      </c>
      <c r="U837" t="str">
        <f>IF(Retail_data[[#This Row],[Sales]]&gt;30000,"High",IF(Retail_data[[#This Row],[Sales]]&gt;10000,"Medium","Low"))</f>
        <v>Low</v>
      </c>
      <c r="V837" s="3">
        <f>Retail_data[[#This Row],[Profit]]/Retail_data[[#This Row],[Sales]]</f>
        <v>0.10293154424862729</v>
      </c>
      <c r="W837">
        <v>168.15</v>
      </c>
      <c r="X837" t="s">
        <v>29</v>
      </c>
    </row>
    <row r="838" spans="1:24" ht="13.8" x14ac:dyDescent="0.25">
      <c r="A838" t="s">
        <v>2738</v>
      </c>
      <c r="B838">
        <f>YEAR(Retail_data[[#This Row],[Order Date]])</f>
        <v>2028</v>
      </c>
      <c r="C838" t="str">
        <f>TEXT(Retail_data[[#This Row],[Order Date]],"mmmm")</f>
        <v>January</v>
      </c>
      <c r="D838">
        <f>MONTH(Retail_data[[#This Row],[Order Date]])</f>
        <v>1</v>
      </c>
      <c r="E838" t="str">
        <f>"Q"&amp;ROUNDUP(MONTH(Retail_data[[#This Row],[Order Date]])/3,0)</f>
        <v>Q1</v>
      </c>
      <c r="F838" s="1">
        <v>46758</v>
      </c>
      <c r="G838" s="1">
        <v>46762</v>
      </c>
      <c r="H838" t="s">
        <v>2739</v>
      </c>
      <c r="I838" t="s">
        <v>2740</v>
      </c>
      <c r="J838" t="s">
        <v>33</v>
      </c>
      <c r="K838" t="s">
        <v>22</v>
      </c>
      <c r="L838" t="s">
        <v>45</v>
      </c>
      <c r="M838" t="s">
        <v>45</v>
      </c>
      <c r="N838" t="s">
        <v>25</v>
      </c>
      <c r="O838" t="s">
        <v>37</v>
      </c>
      <c r="P838" t="s">
        <v>52</v>
      </c>
      <c r="Q838" t="s">
        <v>1344</v>
      </c>
      <c r="R838">
        <v>28928.04</v>
      </c>
      <c r="S838">
        <v>6</v>
      </c>
      <c r="T838">
        <v>0.3</v>
      </c>
      <c r="U838" t="str">
        <f>IF(Retail_data[[#This Row],[Sales]]&gt;30000,"High",IF(Retail_data[[#This Row],[Sales]]&gt;10000,"Medium","Low"))</f>
        <v>Medium</v>
      </c>
      <c r="V838" s="3">
        <f>Retail_data[[#This Row],[Profit]]/Retail_data[[#This Row],[Sales]]</f>
        <v>-3.389203001655141E-2</v>
      </c>
      <c r="W838">
        <v>-980.43</v>
      </c>
      <c r="X838" t="s">
        <v>48</v>
      </c>
    </row>
    <row r="839" spans="1:24" ht="13.8" x14ac:dyDescent="0.25">
      <c r="A839" t="s">
        <v>2741</v>
      </c>
      <c r="B839">
        <f>YEAR(Retail_data[[#This Row],[Order Date]])</f>
        <v>2028</v>
      </c>
      <c r="C839" t="str">
        <f>TEXT(Retail_data[[#This Row],[Order Date]],"mmmm")</f>
        <v>January</v>
      </c>
      <c r="D839">
        <f>MONTH(Retail_data[[#This Row],[Order Date]])</f>
        <v>1</v>
      </c>
      <c r="E839" t="str">
        <f>"Q"&amp;ROUNDUP(MONTH(Retail_data[[#This Row],[Order Date]])/3,0)</f>
        <v>Q1</v>
      </c>
      <c r="F839" s="1">
        <v>46759</v>
      </c>
      <c r="G839" s="1">
        <v>46763</v>
      </c>
      <c r="H839" t="s">
        <v>2742</v>
      </c>
      <c r="I839" t="s">
        <v>2743</v>
      </c>
      <c r="J839" t="s">
        <v>44</v>
      </c>
      <c r="K839" t="s">
        <v>22</v>
      </c>
      <c r="L839" t="s">
        <v>34</v>
      </c>
      <c r="M839" t="s">
        <v>35</v>
      </c>
      <c r="N839" t="s">
        <v>36</v>
      </c>
      <c r="O839" t="s">
        <v>57</v>
      </c>
      <c r="P839" t="s">
        <v>58</v>
      </c>
      <c r="Q839" t="s">
        <v>896</v>
      </c>
      <c r="R839">
        <v>25146.19</v>
      </c>
      <c r="S839">
        <v>1</v>
      </c>
      <c r="T839">
        <v>0.3</v>
      </c>
      <c r="U839" t="str">
        <f>IF(Retail_data[[#This Row],[Sales]]&gt;30000,"High",IF(Retail_data[[#This Row],[Sales]]&gt;10000,"Medium","Low"))</f>
        <v>Medium</v>
      </c>
      <c r="V839" s="3">
        <f>Retail_data[[#This Row],[Profit]]/Retail_data[[#This Row],[Sales]]</f>
        <v>8.6678737415091509E-2</v>
      </c>
      <c r="W839">
        <v>2179.64</v>
      </c>
      <c r="X839" t="s">
        <v>40</v>
      </c>
    </row>
    <row r="840" spans="1:24" ht="13.8" x14ac:dyDescent="0.25">
      <c r="A840" t="s">
        <v>2744</v>
      </c>
      <c r="B840">
        <f>YEAR(Retail_data[[#This Row],[Order Date]])</f>
        <v>2028</v>
      </c>
      <c r="C840" t="str">
        <f>TEXT(Retail_data[[#This Row],[Order Date]],"mmmm")</f>
        <v>January</v>
      </c>
      <c r="D840">
        <f>MONTH(Retail_data[[#This Row],[Order Date]])</f>
        <v>1</v>
      </c>
      <c r="E840" t="str">
        <f>"Q"&amp;ROUNDUP(MONTH(Retail_data[[#This Row],[Order Date]])/3,0)</f>
        <v>Q1</v>
      </c>
      <c r="F840" s="1">
        <v>46760</v>
      </c>
      <c r="G840" s="1">
        <v>46764</v>
      </c>
      <c r="H840" t="s">
        <v>2745</v>
      </c>
      <c r="I840" t="s">
        <v>2746</v>
      </c>
      <c r="J840" t="s">
        <v>44</v>
      </c>
      <c r="K840" t="s">
        <v>22</v>
      </c>
      <c r="L840" t="s">
        <v>67</v>
      </c>
      <c r="M840" t="s">
        <v>68</v>
      </c>
      <c r="N840" t="s">
        <v>69</v>
      </c>
      <c r="O840" t="s">
        <v>37</v>
      </c>
      <c r="P840" t="s">
        <v>38</v>
      </c>
      <c r="Q840" t="s">
        <v>715</v>
      </c>
      <c r="R840">
        <v>42085.88</v>
      </c>
      <c r="S840">
        <v>7</v>
      </c>
      <c r="T840">
        <v>0.1</v>
      </c>
      <c r="U840" t="str">
        <f>IF(Retail_data[[#This Row],[Sales]]&gt;30000,"High",IF(Retail_data[[#This Row],[Sales]]&gt;10000,"Medium","Low"))</f>
        <v>High</v>
      </c>
      <c r="V840" s="3">
        <f>Retail_data[[#This Row],[Profit]]/Retail_data[[#This Row],[Sales]]</f>
        <v>0.12283573493057529</v>
      </c>
      <c r="W840">
        <v>5169.6499999999996</v>
      </c>
      <c r="X840" t="s">
        <v>40</v>
      </c>
    </row>
    <row r="841" spans="1:24" ht="13.8" x14ac:dyDescent="0.25">
      <c r="A841" t="s">
        <v>2747</v>
      </c>
      <c r="B841">
        <f>YEAR(Retail_data[[#This Row],[Order Date]])</f>
        <v>2028</v>
      </c>
      <c r="C841" t="str">
        <f>TEXT(Retail_data[[#This Row],[Order Date]],"mmmm")</f>
        <v>January</v>
      </c>
      <c r="D841">
        <f>MONTH(Retail_data[[#This Row],[Order Date]])</f>
        <v>1</v>
      </c>
      <c r="E841" t="str">
        <f>"Q"&amp;ROUNDUP(MONTH(Retail_data[[#This Row],[Order Date]])/3,0)</f>
        <v>Q1</v>
      </c>
      <c r="F841" s="1">
        <v>46761</v>
      </c>
      <c r="G841" s="1">
        <v>46765</v>
      </c>
      <c r="H841" t="s">
        <v>2748</v>
      </c>
      <c r="I841" t="s">
        <v>2749</v>
      </c>
      <c r="J841" t="s">
        <v>21</v>
      </c>
      <c r="K841" t="s">
        <v>22</v>
      </c>
      <c r="L841" t="s">
        <v>45</v>
      </c>
      <c r="M841" t="s">
        <v>45</v>
      </c>
      <c r="N841" t="s">
        <v>25</v>
      </c>
      <c r="O841" t="s">
        <v>26</v>
      </c>
      <c r="P841" t="s">
        <v>70</v>
      </c>
      <c r="Q841" t="s">
        <v>1451</v>
      </c>
      <c r="R841">
        <v>20433.189999999999</v>
      </c>
      <c r="S841">
        <v>2</v>
      </c>
      <c r="T841">
        <v>0.2</v>
      </c>
      <c r="U841" t="str">
        <f>IF(Retail_data[[#This Row],[Sales]]&gt;30000,"High",IF(Retail_data[[#This Row],[Sales]]&gt;10000,"Medium","Low"))</f>
        <v>Medium</v>
      </c>
      <c r="V841" s="3">
        <f>Retail_data[[#This Row],[Profit]]/Retail_data[[#This Row],[Sales]]</f>
        <v>-2.2829034526669602E-2</v>
      </c>
      <c r="W841">
        <v>-466.47</v>
      </c>
      <c r="X841" t="s">
        <v>48</v>
      </c>
    </row>
    <row r="842" spans="1:24" ht="13.8" x14ac:dyDescent="0.25">
      <c r="A842" t="s">
        <v>2750</v>
      </c>
      <c r="B842">
        <f>YEAR(Retail_data[[#This Row],[Order Date]])</f>
        <v>2028</v>
      </c>
      <c r="C842" t="str">
        <f>TEXT(Retail_data[[#This Row],[Order Date]],"mmmm")</f>
        <v>January</v>
      </c>
      <c r="D842">
        <f>MONTH(Retail_data[[#This Row],[Order Date]])</f>
        <v>1</v>
      </c>
      <c r="E842" t="str">
        <f>"Q"&amp;ROUNDUP(MONTH(Retail_data[[#This Row],[Order Date]])/3,0)</f>
        <v>Q1</v>
      </c>
      <c r="F842" s="1">
        <v>46762</v>
      </c>
      <c r="G842" s="1">
        <v>46766</v>
      </c>
      <c r="H842" t="s">
        <v>2751</v>
      </c>
      <c r="I842" t="s">
        <v>2752</v>
      </c>
      <c r="J842" t="s">
        <v>33</v>
      </c>
      <c r="K842" t="s">
        <v>22</v>
      </c>
      <c r="L842" t="s">
        <v>67</v>
      </c>
      <c r="M842" t="s">
        <v>68</v>
      </c>
      <c r="N842" t="s">
        <v>69</v>
      </c>
      <c r="O842" t="s">
        <v>57</v>
      </c>
      <c r="P842" t="s">
        <v>149</v>
      </c>
      <c r="Q842" t="s">
        <v>262</v>
      </c>
      <c r="R842">
        <v>38947.760000000002</v>
      </c>
      <c r="S842">
        <v>4</v>
      </c>
      <c r="T842">
        <v>0</v>
      </c>
      <c r="U842" t="str">
        <f>IF(Retail_data[[#This Row],[Sales]]&gt;30000,"High",IF(Retail_data[[#This Row],[Sales]]&gt;10000,"Medium","Low"))</f>
        <v>High</v>
      </c>
      <c r="V842" s="3">
        <f>Retail_data[[#This Row],[Profit]]/Retail_data[[#This Row],[Sales]]</f>
        <v>0.13961778546442721</v>
      </c>
      <c r="W842">
        <v>5437.8</v>
      </c>
      <c r="X842" t="s">
        <v>48</v>
      </c>
    </row>
    <row r="843" spans="1:24" ht="13.8" x14ac:dyDescent="0.25">
      <c r="A843" t="s">
        <v>2753</v>
      </c>
      <c r="B843">
        <f>YEAR(Retail_data[[#This Row],[Order Date]])</f>
        <v>2028</v>
      </c>
      <c r="C843" t="str">
        <f>TEXT(Retail_data[[#This Row],[Order Date]],"mmmm")</f>
        <v>January</v>
      </c>
      <c r="D843">
        <f>MONTH(Retail_data[[#This Row],[Order Date]])</f>
        <v>1</v>
      </c>
      <c r="E843" t="str">
        <f>"Q"&amp;ROUNDUP(MONTH(Retail_data[[#This Row],[Order Date]])/3,0)</f>
        <v>Q1</v>
      </c>
      <c r="F843" s="1">
        <v>46763</v>
      </c>
      <c r="G843" s="1">
        <v>46767</v>
      </c>
      <c r="H843" t="s">
        <v>2754</v>
      </c>
      <c r="I843" t="s">
        <v>2755</v>
      </c>
      <c r="J843" t="s">
        <v>21</v>
      </c>
      <c r="K843" t="s">
        <v>22</v>
      </c>
      <c r="L843" t="s">
        <v>23</v>
      </c>
      <c r="M843" t="s">
        <v>24</v>
      </c>
      <c r="N843" t="s">
        <v>25</v>
      </c>
      <c r="O843" t="s">
        <v>26</v>
      </c>
      <c r="P843" t="s">
        <v>27</v>
      </c>
      <c r="Q843" t="s">
        <v>403</v>
      </c>
      <c r="R843">
        <v>29997.599999999999</v>
      </c>
      <c r="S843">
        <v>2</v>
      </c>
      <c r="T843">
        <v>0</v>
      </c>
      <c r="U843" t="str">
        <f>IF(Retail_data[[#This Row],[Sales]]&gt;30000,"High",IF(Retail_data[[#This Row],[Sales]]&gt;10000,"Medium","Low"))</f>
        <v>Medium</v>
      </c>
      <c r="V843" s="3">
        <f>Retail_data[[#This Row],[Profit]]/Retail_data[[#This Row],[Sales]]</f>
        <v>6.288303064245139E-2</v>
      </c>
      <c r="W843">
        <v>1886.34</v>
      </c>
      <c r="X843" t="s">
        <v>29</v>
      </c>
    </row>
    <row r="844" spans="1:24" ht="13.8" x14ac:dyDescent="0.25">
      <c r="A844" t="s">
        <v>2756</v>
      </c>
      <c r="B844">
        <f>YEAR(Retail_data[[#This Row],[Order Date]])</f>
        <v>2028</v>
      </c>
      <c r="C844" t="str">
        <f>TEXT(Retail_data[[#This Row],[Order Date]],"mmmm")</f>
        <v>January</v>
      </c>
      <c r="D844">
        <f>MONTH(Retail_data[[#This Row],[Order Date]])</f>
        <v>1</v>
      </c>
      <c r="E844" t="str">
        <f>"Q"&amp;ROUNDUP(MONTH(Retail_data[[#This Row],[Order Date]])/3,0)</f>
        <v>Q1</v>
      </c>
      <c r="F844" s="1">
        <v>46764</v>
      </c>
      <c r="G844" s="1">
        <v>46768</v>
      </c>
      <c r="H844" t="s">
        <v>2757</v>
      </c>
      <c r="I844" t="s">
        <v>2758</v>
      </c>
      <c r="J844" t="s">
        <v>33</v>
      </c>
      <c r="K844" t="s">
        <v>22</v>
      </c>
      <c r="L844" t="s">
        <v>67</v>
      </c>
      <c r="M844" t="s">
        <v>68</v>
      </c>
      <c r="N844" t="s">
        <v>69</v>
      </c>
      <c r="O844" t="s">
        <v>26</v>
      </c>
      <c r="P844" t="s">
        <v>92</v>
      </c>
      <c r="Q844" t="s">
        <v>1014</v>
      </c>
      <c r="R844">
        <v>40623.33</v>
      </c>
      <c r="S844">
        <v>3</v>
      </c>
      <c r="T844">
        <v>0.2</v>
      </c>
      <c r="U844" t="str">
        <f>IF(Retail_data[[#This Row],[Sales]]&gt;30000,"High",IF(Retail_data[[#This Row],[Sales]]&gt;10000,"Medium","Low"))</f>
        <v>High</v>
      </c>
      <c r="V844" s="3">
        <f>Retail_data[[#This Row],[Profit]]/Retail_data[[#This Row],[Sales]]</f>
        <v>7.1279237817283812E-3</v>
      </c>
      <c r="W844">
        <v>289.56</v>
      </c>
      <c r="X844" t="s">
        <v>40</v>
      </c>
    </row>
    <row r="845" spans="1:24" ht="13.8" x14ac:dyDescent="0.25">
      <c r="A845" t="s">
        <v>2759</v>
      </c>
      <c r="B845">
        <f>YEAR(Retail_data[[#This Row],[Order Date]])</f>
        <v>2028</v>
      </c>
      <c r="C845" t="str">
        <f>TEXT(Retail_data[[#This Row],[Order Date]],"mmmm")</f>
        <v>January</v>
      </c>
      <c r="D845">
        <f>MONTH(Retail_data[[#This Row],[Order Date]])</f>
        <v>1</v>
      </c>
      <c r="E845" t="str">
        <f>"Q"&amp;ROUNDUP(MONTH(Retail_data[[#This Row],[Order Date]])/3,0)</f>
        <v>Q1</v>
      </c>
      <c r="F845" s="1">
        <v>46765</v>
      </c>
      <c r="G845" s="1">
        <v>46769</v>
      </c>
      <c r="H845" t="s">
        <v>2760</v>
      </c>
      <c r="I845" t="s">
        <v>2761</v>
      </c>
      <c r="J845" t="s">
        <v>44</v>
      </c>
      <c r="K845" t="s">
        <v>22</v>
      </c>
      <c r="L845" t="s">
        <v>85</v>
      </c>
      <c r="M845" t="s">
        <v>86</v>
      </c>
      <c r="N845" t="s">
        <v>87</v>
      </c>
      <c r="O845" t="s">
        <v>26</v>
      </c>
      <c r="P845" t="s">
        <v>70</v>
      </c>
      <c r="Q845" t="s">
        <v>117</v>
      </c>
      <c r="R845">
        <v>12537.37</v>
      </c>
      <c r="S845">
        <v>1</v>
      </c>
      <c r="T845">
        <v>0.2</v>
      </c>
      <c r="U845" t="str">
        <f>IF(Retail_data[[#This Row],[Sales]]&gt;30000,"High",IF(Retail_data[[#This Row],[Sales]]&gt;10000,"Medium","Low"))</f>
        <v>Medium</v>
      </c>
      <c r="V845" s="3">
        <f>Retail_data[[#This Row],[Profit]]/Retail_data[[#This Row],[Sales]]</f>
        <v>-2.4399056580447092E-2</v>
      </c>
      <c r="W845">
        <v>-305.89999999999998</v>
      </c>
      <c r="X845" t="s">
        <v>29</v>
      </c>
    </row>
    <row r="846" spans="1:24" ht="13.8" x14ac:dyDescent="0.25">
      <c r="A846" t="s">
        <v>2762</v>
      </c>
      <c r="B846">
        <f>YEAR(Retail_data[[#This Row],[Order Date]])</f>
        <v>2028</v>
      </c>
      <c r="C846" t="str">
        <f>TEXT(Retail_data[[#This Row],[Order Date]],"mmmm")</f>
        <v>January</v>
      </c>
      <c r="D846">
        <f>MONTH(Retail_data[[#This Row],[Order Date]])</f>
        <v>1</v>
      </c>
      <c r="E846" t="str">
        <f>"Q"&amp;ROUNDUP(MONTH(Retail_data[[#This Row],[Order Date]])/3,0)</f>
        <v>Q1</v>
      </c>
      <c r="F846" s="1">
        <v>46766</v>
      </c>
      <c r="G846" s="1">
        <v>46770</v>
      </c>
      <c r="H846" t="s">
        <v>2763</v>
      </c>
      <c r="I846" t="s">
        <v>2764</v>
      </c>
      <c r="J846" t="s">
        <v>44</v>
      </c>
      <c r="K846" t="s">
        <v>22</v>
      </c>
      <c r="L846" t="s">
        <v>45</v>
      </c>
      <c r="M846" t="s">
        <v>45</v>
      </c>
      <c r="N846" t="s">
        <v>25</v>
      </c>
      <c r="O846" t="s">
        <v>57</v>
      </c>
      <c r="P846" t="s">
        <v>149</v>
      </c>
      <c r="Q846" t="s">
        <v>362</v>
      </c>
      <c r="R846">
        <v>14619.67</v>
      </c>
      <c r="S846">
        <v>8</v>
      </c>
      <c r="T846">
        <v>0.1</v>
      </c>
      <c r="U846" t="str">
        <f>IF(Retail_data[[#This Row],[Sales]]&gt;30000,"High",IF(Retail_data[[#This Row],[Sales]]&gt;10000,"Medium","Low"))</f>
        <v>Medium</v>
      </c>
      <c r="V846" s="3">
        <f>Retail_data[[#This Row],[Profit]]/Retail_data[[#This Row],[Sales]]</f>
        <v>0.15811095599285074</v>
      </c>
      <c r="W846">
        <v>2311.5300000000002</v>
      </c>
      <c r="X846" t="s">
        <v>40</v>
      </c>
    </row>
    <row r="847" spans="1:24" ht="13.8" x14ac:dyDescent="0.25">
      <c r="A847" t="s">
        <v>2765</v>
      </c>
      <c r="B847">
        <f>YEAR(Retail_data[[#This Row],[Order Date]])</f>
        <v>2028</v>
      </c>
      <c r="C847" t="str">
        <f>TEXT(Retail_data[[#This Row],[Order Date]],"mmmm")</f>
        <v>January</v>
      </c>
      <c r="D847">
        <f>MONTH(Retail_data[[#This Row],[Order Date]])</f>
        <v>1</v>
      </c>
      <c r="E847" t="str">
        <f>"Q"&amp;ROUNDUP(MONTH(Retail_data[[#This Row],[Order Date]])/3,0)</f>
        <v>Q1</v>
      </c>
      <c r="F847" s="1">
        <v>46767</v>
      </c>
      <c r="G847" s="1">
        <v>46771</v>
      </c>
      <c r="H847" t="s">
        <v>2766</v>
      </c>
      <c r="I847" t="s">
        <v>2767</v>
      </c>
      <c r="J847" t="s">
        <v>33</v>
      </c>
      <c r="K847" t="s">
        <v>22</v>
      </c>
      <c r="L847" t="s">
        <v>85</v>
      </c>
      <c r="M847" t="s">
        <v>86</v>
      </c>
      <c r="N847" t="s">
        <v>87</v>
      </c>
      <c r="O847" t="s">
        <v>37</v>
      </c>
      <c r="P847" t="s">
        <v>38</v>
      </c>
      <c r="Q847" t="s">
        <v>145</v>
      </c>
      <c r="R847">
        <v>33147.339999999997</v>
      </c>
      <c r="S847">
        <v>6</v>
      </c>
      <c r="T847">
        <v>0.1</v>
      </c>
      <c r="U847" t="str">
        <f>IF(Retail_data[[#This Row],[Sales]]&gt;30000,"High",IF(Retail_data[[#This Row],[Sales]]&gt;10000,"Medium","Low"))</f>
        <v>High</v>
      </c>
      <c r="V847" s="3">
        <f>Retail_data[[#This Row],[Profit]]/Retail_data[[#This Row],[Sales]]</f>
        <v>0.23384862857773808</v>
      </c>
      <c r="W847">
        <v>7751.46</v>
      </c>
      <c r="X847" t="s">
        <v>48</v>
      </c>
    </row>
    <row r="848" spans="1:24" ht="13.8" x14ac:dyDescent="0.25">
      <c r="A848" t="s">
        <v>2768</v>
      </c>
      <c r="B848">
        <f>YEAR(Retail_data[[#This Row],[Order Date]])</f>
        <v>2028</v>
      </c>
      <c r="C848" t="str">
        <f>TEXT(Retail_data[[#This Row],[Order Date]],"mmmm")</f>
        <v>January</v>
      </c>
      <c r="D848">
        <f>MONTH(Retail_data[[#This Row],[Order Date]])</f>
        <v>1</v>
      </c>
      <c r="E848" t="str">
        <f>"Q"&amp;ROUNDUP(MONTH(Retail_data[[#This Row],[Order Date]])/3,0)</f>
        <v>Q1</v>
      </c>
      <c r="F848" s="1">
        <v>46768</v>
      </c>
      <c r="G848" s="1">
        <v>46772</v>
      </c>
      <c r="H848" t="s">
        <v>2769</v>
      </c>
      <c r="I848" t="s">
        <v>2770</v>
      </c>
      <c r="J848" t="s">
        <v>21</v>
      </c>
      <c r="K848" t="s">
        <v>22</v>
      </c>
      <c r="L848" t="s">
        <v>23</v>
      </c>
      <c r="M848" t="s">
        <v>24</v>
      </c>
      <c r="N848" t="s">
        <v>25</v>
      </c>
      <c r="O848" t="s">
        <v>37</v>
      </c>
      <c r="P848" t="s">
        <v>38</v>
      </c>
      <c r="Q848" t="s">
        <v>460</v>
      </c>
      <c r="R848">
        <v>590.23</v>
      </c>
      <c r="S848">
        <v>7</v>
      </c>
      <c r="T848">
        <v>0.2</v>
      </c>
      <c r="U848" t="str">
        <f>IF(Retail_data[[#This Row],[Sales]]&gt;30000,"High",IF(Retail_data[[#This Row],[Sales]]&gt;10000,"Medium","Low"))</f>
        <v>Low</v>
      </c>
      <c r="V848" s="3">
        <f>Retail_data[[#This Row],[Profit]]/Retail_data[[#This Row],[Sales]]</f>
        <v>0.11520932517832032</v>
      </c>
      <c r="W848">
        <v>68</v>
      </c>
      <c r="X848" t="s">
        <v>40</v>
      </c>
    </row>
    <row r="849" spans="1:24" ht="13.8" x14ac:dyDescent="0.25">
      <c r="A849" t="s">
        <v>2771</v>
      </c>
      <c r="B849">
        <f>YEAR(Retail_data[[#This Row],[Order Date]])</f>
        <v>2028</v>
      </c>
      <c r="C849" t="str">
        <f>TEXT(Retail_data[[#This Row],[Order Date]],"mmmm")</f>
        <v>January</v>
      </c>
      <c r="D849">
        <f>MONTH(Retail_data[[#This Row],[Order Date]])</f>
        <v>1</v>
      </c>
      <c r="E849" t="str">
        <f>"Q"&amp;ROUNDUP(MONTH(Retail_data[[#This Row],[Order Date]])/3,0)</f>
        <v>Q1</v>
      </c>
      <c r="F849" s="1">
        <v>46769</v>
      </c>
      <c r="G849" s="1">
        <v>46773</v>
      </c>
      <c r="H849" t="s">
        <v>2772</v>
      </c>
      <c r="I849" t="s">
        <v>2773</v>
      </c>
      <c r="J849" t="s">
        <v>44</v>
      </c>
      <c r="K849" t="s">
        <v>22</v>
      </c>
      <c r="L849" t="s">
        <v>85</v>
      </c>
      <c r="M849" t="s">
        <v>86</v>
      </c>
      <c r="N849" t="s">
        <v>87</v>
      </c>
      <c r="O849" t="s">
        <v>37</v>
      </c>
      <c r="P849" t="s">
        <v>38</v>
      </c>
      <c r="Q849" t="s">
        <v>39</v>
      </c>
      <c r="R849">
        <v>40689.49</v>
      </c>
      <c r="S849">
        <v>5</v>
      </c>
      <c r="T849">
        <v>0</v>
      </c>
      <c r="U849" t="str">
        <f>IF(Retail_data[[#This Row],[Sales]]&gt;30000,"High",IF(Retail_data[[#This Row],[Sales]]&gt;10000,"Medium","Low"))</f>
        <v>High</v>
      </c>
      <c r="V849" s="3">
        <f>Retail_data[[#This Row],[Profit]]/Retail_data[[#This Row],[Sales]]</f>
        <v>7.6549005652319549E-2</v>
      </c>
      <c r="W849">
        <v>3114.74</v>
      </c>
      <c r="X849" t="s">
        <v>81</v>
      </c>
    </row>
    <row r="850" spans="1:24" ht="13.8" x14ac:dyDescent="0.25">
      <c r="A850" t="s">
        <v>2774</v>
      </c>
      <c r="B850">
        <f>YEAR(Retail_data[[#This Row],[Order Date]])</f>
        <v>2028</v>
      </c>
      <c r="C850" t="str">
        <f>TEXT(Retail_data[[#This Row],[Order Date]],"mmmm")</f>
        <v>January</v>
      </c>
      <c r="D850">
        <f>MONTH(Retail_data[[#This Row],[Order Date]])</f>
        <v>1</v>
      </c>
      <c r="E850" t="str">
        <f>"Q"&amp;ROUNDUP(MONTH(Retail_data[[#This Row],[Order Date]])/3,0)</f>
        <v>Q1</v>
      </c>
      <c r="F850" s="1">
        <v>46770</v>
      </c>
      <c r="G850" s="1">
        <v>46774</v>
      </c>
      <c r="H850" t="s">
        <v>2775</v>
      </c>
      <c r="I850" t="s">
        <v>2776</v>
      </c>
      <c r="J850" t="s">
        <v>21</v>
      </c>
      <c r="K850" t="s">
        <v>22</v>
      </c>
      <c r="L850" t="s">
        <v>85</v>
      </c>
      <c r="M850" t="s">
        <v>86</v>
      </c>
      <c r="N850" t="s">
        <v>87</v>
      </c>
      <c r="O850" t="s">
        <v>37</v>
      </c>
      <c r="P850" t="s">
        <v>46</v>
      </c>
      <c r="Q850" t="s">
        <v>794</v>
      </c>
      <c r="R850">
        <v>32044.97</v>
      </c>
      <c r="S850">
        <v>4</v>
      </c>
      <c r="T850">
        <v>0</v>
      </c>
      <c r="U850" t="str">
        <f>IF(Retail_data[[#This Row],[Sales]]&gt;30000,"High",IF(Retail_data[[#This Row],[Sales]]&gt;10000,"Medium","Low"))</f>
        <v>High</v>
      </c>
      <c r="V850" s="3">
        <f>Retail_data[[#This Row],[Profit]]/Retail_data[[#This Row],[Sales]]</f>
        <v>0.11079492350905618</v>
      </c>
      <c r="W850">
        <v>3550.42</v>
      </c>
      <c r="X850" t="s">
        <v>81</v>
      </c>
    </row>
    <row r="851" spans="1:24" ht="13.8" x14ac:dyDescent="0.25">
      <c r="A851" t="s">
        <v>2777</v>
      </c>
      <c r="B851">
        <f>YEAR(Retail_data[[#This Row],[Order Date]])</f>
        <v>2028</v>
      </c>
      <c r="C851" t="str">
        <f>TEXT(Retail_data[[#This Row],[Order Date]],"mmmm")</f>
        <v>January</v>
      </c>
      <c r="D851">
        <f>MONTH(Retail_data[[#This Row],[Order Date]])</f>
        <v>1</v>
      </c>
      <c r="E851" t="str">
        <f>"Q"&amp;ROUNDUP(MONTH(Retail_data[[#This Row],[Order Date]])/3,0)</f>
        <v>Q1</v>
      </c>
      <c r="F851" s="1">
        <v>46771</v>
      </c>
      <c r="G851" s="1">
        <v>46775</v>
      </c>
      <c r="H851" t="s">
        <v>2778</v>
      </c>
      <c r="I851" t="s">
        <v>2779</v>
      </c>
      <c r="J851" t="s">
        <v>44</v>
      </c>
      <c r="K851" t="s">
        <v>22</v>
      </c>
      <c r="L851" t="s">
        <v>34</v>
      </c>
      <c r="M851" t="s">
        <v>35</v>
      </c>
      <c r="N851" t="s">
        <v>36</v>
      </c>
      <c r="O851" t="s">
        <v>57</v>
      </c>
      <c r="P851" t="s">
        <v>149</v>
      </c>
      <c r="Q851" t="s">
        <v>527</v>
      </c>
      <c r="R851">
        <v>12119.65</v>
      </c>
      <c r="S851">
        <v>7</v>
      </c>
      <c r="T851">
        <v>0</v>
      </c>
      <c r="U851" t="str">
        <f>IF(Retail_data[[#This Row],[Sales]]&gt;30000,"High",IF(Retail_data[[#This Row],[Sales]]&gt;10000,"Medium","Low"))</f>
        <v>Medium</v>
      </c>
      <c r="V851" s="3">
        <f>Retail_data[[#This Row],[Profit]]/Retail_data[[#This Row],[Sales]]</f>
        <v>9.6089408522523331E-2</v>
      </c>
      <c r="W851">
        <v>1164.57</v>
      </c>
      <c r="X851" t="s">
        <v>29</v>
      </c>
    </row>
    <row r="852" spans="1:24" ht="13.8" x14ac:dyDescent="0.25">
      <c r="A852" t="s">
        <v>2780</v>
      </c>
      <c r="B852">
        <f>YEAR(Retail_data[[#This Row],[Order Date]])</f>
        <v>2028</v>
      </c>
      <c r="C852" t="str">
        <f>TEXT(Retail_data[[#This Row],[Order Date]],"mmmm")</f>
        <v>January</v>
      </c>
      <c r="D852">
        <f>MONTH(Retail_data[[#This Row],[Order Date]])</f>
        <v>1</v>
      </c>
      <c r="E852" t="str">
        <f>"Q"&amp;ROUNDUP(MONTH(Retail_data[[#This Row],[Order Date]])/3,0)</f>
        <v>Q1</v>
      </c>
      <c r="F852" s="1">
        <v>46772</v>
      </c>
      <c r="G852" s="1">
        <v>46776</v>
      </c>
      <c r="H852" t="s">
        <v>2781</v>
      </c>
      <c r="I852" t="s">
        <v>2782</v>
      </c>
      <c r="J852" t="s">
        <v>44</v>
      </c>
      <c r="K852" t="s">
        <v>22</v>
      </c>
      <c r="L852" t="s">
        <v>85</v>
      </c>
      <c r="M852" t="s">
        <v>86</v>
      </c>
      <c r="N852" t="s">
        <v>87</v>
      </c>
      <c r="O852" t="s">
        <v>26</v>
      </c>
      <c r="P852" t="s">
        <v>92</v>
      </c>
      <c r="Q852" t="s">
        <v>296</v>
      </c>
      <c r="R852">
        <v>11425.44</v>
      </c>
      <c r="S852">
        <v>3</v>
      </c>
      <c r="T852">
        <v>0</v>
      </c>
      <c r="U852" t="str">
        <f>IF(Retail_data[[#This Row],[Sales]]&gt;30000,"High",IF(Retail_data[[#This Row],[Sales]]&gt;10000,"Medium","Low"))</f>
        <v>Medium</v>
      </c>
      <c r="V852" s="3">
        <f>Retail_data[[#This Row],[Profit]]/Retail_data[[#This Row],[Sales]]</f>
        <v>0.26066392191460458</v>
      </c>
      <c r="W852">
        <v>2978.2</v>
      </c>
      <c r="X852" t="s">
        <v>81</v>
      </c>
    </row>
    <row r="853" spans="1:24" ht="13.8" x14ac:dyDescent="0.25">
      <c r="A853" t="s">
        <v>2783</v>
      </c>
      <c r="B853">
        <f>YEAR(Retail_data[[#This Row],[Order Date]])</f>
        <v>2028</v>
      </c>
      <c r="C853" t="str">
        <f>TEXT(Retail_data[[#This Row],[Order Date]],"mmmm")</f>
        <v>January</v>
      </c>
      <c r="D853">
        <f>MONTH(Retail_data[[#This Row],[Order Date]])</f>
        <v>1</v>
      </c>
      <c r="E853" t="str">
        <f>"Q"&amp;ROUNDUP(MONTH(Retail_data[[#This Row],[Order Date]])/3,0)</f>
        <v>Q1</v>
      </c>
      <c r="F853" s="1">
        <v>46773</v>
      </c>
      <c r="G853" s="1">
        <v>46777</v>
      </c>
      <c r="H853" t="s">
        <v>2784</v>
      </c>
      <c r="I853" t="s">
        <v>2785</v>
      </c>
      <c r="J853" t="s">
        <v>21</v>
      </c>
      <c r="K853" t="s">
        <v>22</v>
      </c>
      <c r="L853" t="s">
        <v>23</v>
      </c>
      <c r="M853" t="s">
        <v>24</v>
      </c>
      <c r="N853" t="s">
        <v>25</v>
      </c>
      <c r="O853" t="s">
        <v>26</v>
      </c>
      <c r="P853" t="s">
        <v>70</v>
      </c>
      <c r="Q853" t="s">
        <v>231</v>
      </c>
      <c r="R853">
        <v>24331.47</v>
      </c>
      <c r="S853">
        <v>2</v>
      </c>
      <c r="T853">
        <v>0</v>
      </c>
      <c r="U853" t="str">
        <f>IF(Retail_data[[#This Row],[Sales]]&gt;30000,"High",IF(Retail_data[[#This Row],[Sales]]&gt;10000,"Medium","Low"))</f>
        <v>Medium</v>
      </c>
      <c r="V853" s="3">
        <f>Retail_data[[#This Row],[Profit]]/Retail_data[[#This Row],[Sales]]</f>
        <v>0.27740946190263061</v>
      </c>
      <c r="W853">
        <v>6749.78</v>
      </c>
      <c r="X853" t="s">
        <v>29</v>
      </c>
    </row>
    <row r="854" spans="1:24" ht="13.8" x14ac:dyDescent="0.25">
      <c r="A854" t="s">
        <v>2786</v>
      </c>
      <c r="B854">
        <f>YEAR(Retail_data[[#This Row],[Order Date]])</f>
        <v>2028</v>
      </c>
      <c r="C854" t="str">
        <f>TEXT(Retail_data[[#This Row],[Order Date]],"mmmm")</f>
        <v>January</v>
      </c>
      <c r="D854">
        <f>MONTH(Retail_data[[#This Row],[Order Date]])</f>
        <v>1</v>
      </c>
      <c r="E854" t="str">
        <f>"Q"&amp;ROUNDUP(MONTH(Retail_data[[#This Row],[Order Date]])/3,0)</f>
        <v>Q1</v>
      </c>
      <c r="F854" s="1">
        <v>46774</v>
      </c>
      <c r="G854" s="1">
        <v>46778</v>
      </c>
      <c r="H854" t="s">
        <v>2787</v>
      </c>
      <c r="I854" t="s">
        <v>2788</v>
      </c>
      <c r="J854" t="s">
        <v>44</v>
      </c>
      <c r="K854" t="s">
        <v>22</v>
      </c>
      <c r="L854" t="s">
        <v>45</v>
      </c>
      <c r="M854" t="s">
        <v>45</v>
      </c>
      <c r="N854" t="s">
        <v>25</v>
      </c>
      <c r="O854" t="s">
        <v>57</v>
      </c>
      <c r="P854" t="s">
        <v>149</v>
      </c>
      <c r="Q854" t="s">
        <v>681</v>
      </c>
      <c r="R854">
        <v>13102.68</v>
      </c>
      <c r="S854">
        <v>7</v>
      </c>
      <c r="T854">
        <v>0</v>
      </c>
      <c r="U854" t="str">
        <f>IF(Retail_data[[#This Row],[Sales]]&gt;30000,"High",IF(Retail_data[[#This Row],[Sales]]&gt;10000,"Medium","Low"))</f>
        <v>Medium</v>
      </c>
      <c r="V854" s="3">
        <f>Retail_data[[#This Row],[Profit]]/Retail_data[[#This Row],[Sales]]</f>
        <v>0.26161518101640274</v>
      </c>
      <c r="W854">
        <v>3427.86</v>
      </c>
      <c r="X854" t="s">
        <v>81</v>
      </c>
    </row>
    <row r="855" spans="1:24" ht="13.8" x14ac:dyDescent="0.25">
      <c r="A855" t="s">
        <v>2789</v>
      </c>
      <c r="B855">
        <f>YEAR(Retail_data[[#This Row],[Order Date]])</f>
        <v>2028</v>
      </c>
      <c r="C855" t="str">
        <f>TEXT(Retail_data[[#This Row],[Order Date]],"mmmm")</f>
        <v>January</v>
      </c>
      <c r="D855">
        <f>MONTH(Retail_data[[#This Row],[Order Date]])</f>
        <v>1</v>
      </c>
      <c r="E855" t="str">
        <f>"Q"&amp;ROUNDUP(MONTH(Retail_data[[#This Row],[Order Date]])/3,0)</f>
        <v>Q1</v>
      </c>
      <c r="F855" s="1">
        <v>46775</v>
      </c>
      <c r="G855" s="1">
        <v>46779</v>
      </c>
      <c r="H855" t="s">
        <v>2790</v>
      </c>
      <c r="I855" t="s">
        <v>2791</v>
      </c>
      <c r="J855" t="s">
        <v>33</v>
      </c>
      <c r="K855" t="s">
        <v>22</v>
      </c>
      <c r="L855" t="s">
        <v>23</v>
      </c>
      <c r="M855" t="s">
        <v>24</v>
      </c>
      <c r="N855" t="s">
        <v>25</v>
      </c>
      <c r="O855" t="s">
        <v>37</v>
      </c>
      <c r="P855" t="s">
        <v>52</v>
      </c>
      <c r="Q855" t="s">
        <v>198</v>
      </c>
      <c r="R855">
        <v>30518.78</v>
      </c>
      <c r="S855">
        <v>7</v>
      </c>
      <c r="T855">
        <v>0.3</v>
      </c>
      <c r="U855" t="str">
        <f>IF(Retail_data[[#This Row],[Sales]]&gt;30000,"High",IF(Retail_data[[#This Row],[Sales]]&gt;10000,"Medium","Low"))</f>
        <v>High</v>
      </c>
      <c r="V855" s="3">
        <f>Retail_data[[#This Row],[Profit]]/Retail_data[[#This Row],[Sales]]</f>
        <v>0.13221137935395844</v>
      </c>
      <c r="W855">
        <v>4034.93</v>
      </c>
      <c r="X855" t="s">
        <v>29</v>
      </c>
    </row>
    <row r="856" spans="1:24" ht="13.8" x14ac:dyDescent="0.25">
      <c r="A856" t="s">
        <v>2792</v>
      </c>
      <c r="B856">
        <f>YEAR(Retail_data[[#This Row],[Order Date]])</f>
        <v>2028</v>
      </c>
      <c r="C856" t="str">
        <f>TEXT(Retail_data[[#This Row],[Order Date]],"mmmm")</f>
        <v>January</v>
      </c>
      <c r="D856">
        <f>MONTH(Retail_data[[#This Row],[Order Date]])</f>
        <v>1</v>
      </c>
      <c r="E856" t="str">
        <f>"Q"&amp;ROUNDUP(MONTH(Retail_data[[#This Row],[Order Date]])/3,0)</f>
        <v>Q1</v>
      </c>
      <c r="F856" s="1">
        <v>46776</v>
      </c>
      <c r="G856" s="1">
        <v>46780</v>
      </c>
      <c r="H856" t="s">
        <v>2793</v>
      </c>
      <c r="I856" t="s">
        <v>2794</v>
      </c>
      <c r="J856" t="s">
        <v>21</v>
      </c>
      <c r="K856" t="s">
        <v>22</v>
      </c>
      <c r="L856" t="s">
        <v>23</v>
      </c>
      <c r="M856" t="s">
        <v>24</v>
      </c>
      <c r="N856" t="s">
        <v>25</v>
      </c>
      <c r="O856" t="s">
        <v>37</v>
      </c>
      <c r="P856" t="s">
        <v>52</v>
      </c>
      <c r="Q856" t="s">
        <v>702</v>
      </c>
      <c r="R856">
        <v>13947.73</v>
      </c>
      <c r="S856">
        <v>2</v>
      </c>
      <c r="T856">
        <v>0.1</v>
      </c>
      <c r="U856" t="str">
        <f>IF(Retail_data[[#This Row],[Sales]]&gt;30000,"High",IF(Retail_data[[#This Row],[Sales]]&gt;10000,"Medium","Low"))</f>
        <v>Medium</v>
      </c>
      <c r="V856" s="3">
        <f>Retail_data[[#This Row],[Profit]]/Retail_data[[#This Row],[Sales]]</f>
        <v>0.1414861056243561</v>
      </c>
      <c r="W856">
        <v>1973.41</v>
      </c>
      <c r="X856" t="s">
        <v>29</v>
      </c>
    </row>
    <row r="857" spans="1:24" ht="13.8" x14ac:dyDescent="0.25">
      <c r="A857" t="s">
        <v>2795</v>
      </c>
      <c r="B857">
        <f>YEAR(Retail_data[[#This Row],[Order Date]])</f>
        <v>2028</v>
      </c>
      <c r="C857" t="str">
        <f>TEXT(Retail_data[[#This Row],[Order Date]],"mmmm")</f>
        <v>January</v>
      </c>
      <c r="D857">
        <f>MONTH(Retail_data[[#This Row],[Order Date]])</f>
        <v>1</v>
      </c>
      <c r="E857" t="str">
        <f>"Q"&amp;ROUNDUP(MONTH(Retail_data[[#This Row],[Order Date]])/3,0)</f>
        <v>Q1</v>
      </c>
      <c r="F857" s="1">
        <v>46777</v>
      </c>
      <c r="G857" s="1">
        <v>46781</v>
      </c>
      <c r="H857" t="s">
        <v>2796</v>
      </c>
      <c r="I857" t="s">
        <v>2797</v>
      </c>
      <c r="J857" t="s">
        <v>44</v>
      </c>
      <c r="K857" t="s">
        <v>22</v>
      </c>
      <c r="L857" t="s">
        <v>45</v>
      </c>
      <c r="M857" t="s">
        <v>45</v>
      </c>
      <c r="N857" t="s">
        <v>25</v>
      </c>
      <c r="O857" t="s">
        <v>37</v>
      </c>
      <c r="P857" t="s">
        <v>52</v>
      </c>
      <c r="Q857" t="s">
        <v>292</v>
      </c>
      <c r="R857">
        <v>33167.18</v>
      </c>
      <c r="S857">
        <v>3</v>
      </c>
      <c r="T857">
        <v>0</v>
      </c>
      <c r="U857" t="str">
        <f>IF(Retail_data[[#This Row],[Sales]]&gt;30000,"High",IF(Retail_data[[#This Row],[Sales]]&gt;10000,"Medium","Low"))</f>
        <v>High</v>
      </c>
      <c r="V857" s="3">
        <f>Retail_data[[#This Row],[Profit]]/Retail_data[[#This Row],[Sales]]</f>
        <v>0.25260272353573626</v>
      </c>
      <c r="W857">
        <v>8378.1200000000008</v>
      </c>
      <c r="X857" t="s">
        <v>29</v>
      </c>
    </row>
    <row r="858" spans="1:24" ht="13.8" x14ac:dyDescent="0.25">
      <c r="A858" t="s">
        <v>2798</v>
      </c>
      <c r="B858">
        <f>YEAR(Retail_data[[#This Row],[Order Date]])</f>
        <v>2028</v>
      </c>
      <c r="C858" t="str">
        <f>TEXT(Retail_data[[#This Row],[Order Date]],"mmmm")</f>
        <v>January</v>
      </c>
      <c r="D858">
        <f>MONTH(Retail_data[[#This Row],[Order Date]])</f>
        <v>1</v>
      </c>
      <c r="E858" t="str">
        <f>"Q"&amp;ROUNDUP(MONTH(Retail_data[[#This Row],[Order Date]])/3,0)</f>
        <v>Q1</v>
      </c>
      <c r="F858" s="1">
        <v>46778</v>
      </c>
      <c r="G858" s="1">
        <v>46782</v>
      </c>
      <c r="H858" t="s">
        <v>2799</v>
      </c>
      <c r="I858" t="s">
        <v>2800</v>
      </c>
      <c r="J858" t="s">
        <v>33</v>
      </c>
      <c r="K858" t="s">
        <v>22</v>
      </c>
      <c r="L858" t="s">
        <v>34</v>
      </c>
      <c r="M858" t="s">
        <v>35</v>
      </c>
      <c r="N858" t="s">
        <v>36</v>
      </c>
      <c r="O858" t="s">
        <v>37</v>
      </c>
      <c r="P858" t="s">
        <v>52</v>
      </c>
      <c r="Q858" t="s">
        <v>358</v>
      </c>
      <c r="R858">
        <v>37803.39</v>
      </c>
      <c r="S858">
        <v>5</v>
      </c>
      <c r="T858">
        <v>0.1</v>
      </c>
      <c r="U858" t="str">
        <f>IF(Retail_data[[#This Row],[Sales]]&gt;30000,"High",IF(Retail_data[[#This Row],[Sales]]&gt;10000,"Medium","Low"))</f>
        <v>High</v>
      </c>
      <c r="V858" s="3">
        <f>Retail_data[[#This Row],[Profit]]/Retail_data[[#This Row],[Sales]]</f>
        <v>3.8821386124366093E-2</v>
      </c>
      <c r="W858">
        <v>1467.58</v>
      </c>
      <c r="X858" t="s">
        <v>48</v>
      </c>
    </row>
    <row r="859" spans="1:24" ht="13.8" x14ac:dyDescent="0.25">
      <c r="A859" t="s">
        <v>2801</v>
      </c>
      <c r="B859">
        <f>YEAR(Retail_data[[#This Row],[Order Date]])</f>
        <v>2028</v>
      </c>
      <c r="C859" t="str">
        <f>TEXT(Retail_data[[#This Row],[Order Date]],"mmmm")</f>
        <v>January</v>
      </c>
      <c r="D859">
        <f>MONTH(Retail_data[[#This Row],[Order Date]])</f>
        <v>1</v>
      </c>
      <c r="E859" t="str">
        <f>"Q"&amp;ROUNDUP(MONTH(Retail_data[[#This Row],[Order Date]])/3,0)</f>
        <v>Q1</v>
      </c>
      <c r="F859" s="1">
        <v>46779</v>
      </c>
      <c r="G859" s="1">
        <v>46783</v>
      </c>
      <c r="H859" t="s">
        <v>2802</v>
      </c>
      <c r="I859" t="s">
        <v>2803</v>
      </c>
      <c r="J859" t="s">
        <v>21</v>
      </c>
      <c r="K859" t="s">
        <v>22</v>
      </c>
      <c r="L859" t="s">
        <v>23</v>
      </c>
      <c r="M859" t="s">
        <v>24</v>
      </c>
      <c r="N859" t="s">
        <v>25</v>
      </c>
      <c r="O859" t="s">
        <v>37</v>
      </c>
      <c r="P859" t="s">
        <v>52</v>
      </c>
      <c r="Q859" t="s">
        <v>702</v>
      </c>
      <c r="R859">
        <v>19623.419999999998</v>
      </c>
      <c r="S859">
        <v>7</v>
      </c>
      <c r="T859">
        <v>0.2</v>
      </c>
      <c r="U859" t="str">
        <f>IF(Retail_data[[#This Row],[Sales]]&gt;30000,"High",IF(Retail_data[[#This Row],[Sales]]&gt;10000,"Medium","Low"))</f>
        <v>Medium</v>
      </c>
      <c r="V859" s="3">
        <f>Retail_data[[#This Row],[Profit]]/Retail_data[[#This Row],[Sales]]</f>
        <v>0.18887737203810551</v>
      </c>
      <c r="W859">
        <v>3706.42</v>
      </c>
      <c r="X859" t="s">
        <v>48</v>
      </c>
    </row>
    <row r="860" spans="1:24" ht="13.8" x14ac:dyDescent="0.25">
      <c r="A860" t="s">
        <v>2804</v>
      </c>
      <c r="B860">
        <f>YEAR(Retail_data[[#This Row],[Order Date]])</f>
        <v>2028</v>
      </c>
      <c r="C860" t="str">
        <f>TEXT(Retail_data[[#This Row],[Order Date]],"mmmm")</f>
        <v>January</v>
      </c>
      <c r="D860">
        <f>MONTH(Retail_data[[#This Row],[Order Date]])</f>
        <v>1</v>
      </c>
      <c r="E860" t="str">
        <f>"Q"&amp;ROUNDUP(MONTH(Retail_data[[#This Row],[Order Date]])/3,0)</f>
        <v>Q1</v>
      </c>
      <c r="F860" s="1">
        <v>46780</v>
      </c>
      <c r="G860" s="1">
        <v>46784</v>
      </c>
      <c r="H860" t="s">
        <v>2805</v>
      </c>
      <c r="I860" t="s">
        <v>2806</v>
      </c>
      <c r="J860" t="s">
        <v>21</v>
      </c>
      <c r="K860" t="s">
        <v>22</v>
      </c>
      <c r="L860" t="s">
        <v>34</v>
      </c>
      <c r="M860" t="s">
        <v>35</v>
      </c>
      <c r="N860" t="s">
        <v>36</v>
      </c>
      <c r="O860" t="s">
        <v>37</v>
      </c>
      <c r="P860" t="s">
        <v>38</v>
      </c>
      <c r="Q860" t="s">
        <v>1027</v>
      </c>
      <c r="R860">
        <v>22930.639999999999</v>
      </c>
      <c r="S860">
        <v>6</v>
      </c>
      <c r="T860">
        <v>0.2</v>
      </c>
      <c r="U860" t="str">
        <f>IF(Retail_data[[#This Row],[Sales]]&gt;30000,"High",IF(Retail_data[[#This Row],[Sales]]&gt;10000,"Medium","Low"))</f>
        <v>Medium</v>
      </c>
      <c r="V860" s="3">
        <f>Retail_data[[#This Row],[Profit]]/Retail_data[[#This Row],[Sales]]</f>
        <v>0.13361903549137746</v>
      </c>
      <c r="W860">
        <v>3063.97</v>
      </c>
      <c r="X860" t="s">
        <v>40</v>
      </c>
    </row>
    <row r="861" spans="1:24" ht="13.8" x14ac:dyDescent="0.25">
      <c r="A861" t="s">
        <v>2807</v>
      </c>
      <c r="B861">
        <f>YEAR(Retail_data[[#This Row],[Order Date]])</f>
        <v>2028</v>
      </c>
      <c r="C861" t="str">
        <f>TEXT(Retail_data[[#This Row],[Order Date]],"mmmm")</f>
        <v>January</v>
      </c>
      <c r="D861">
        <f>MONTH(Retail_data[[#This Row],[Order Date]])</f>
        <v>1</v>
      </c>
      <c r="E861" t="str">
        <f>"Q"&amp;ROUNDUP(MONTH(Retail_data[[#This Row],[Order Date]])/3,0)</f>
        <v>Q1</v>
      </c>
      <c r="F861" s="1">
        <v>46781</v>
      </c>
      <c r="G861" s="1">
        <v>46785</v>
      </c>
      <c r="H861" t="s">
        <v>2808</v>
      </c>
      <c r="I861" t="s">
        <v>2809</v>
      </c>
      <c r="J861" t="s">
        <v>44</v>
      </c>
      <c r="K861" t="s">
        <v>22</v>
      </c>
      <c r="L861" t="s">
        <v>23</v>
      </c>
      <c r="M861" t="s">
        <v>24</v>
      </c>
      <c r="N861" t="s">
        <v>25</v>
      </c>
      <c r="O861" t="s">
        <v>57</v>
      </c>
      <c r="P861" t="s">
        <v>149</v>
      </c>
      <c r="Q861" t="s">
        <v>150</v>
      </c>
      <c r="R861">
        <v>15410</v>
      </c>
      <c r="S861">
        <v>5</v>
      </c>
      <c r="T861">
        <v>0.3</v>
      </c>
      <c r="U861" t="str">
        <f>IF(Retail_data[[#This Row],[Sales]]&gt;30000,"High",IF(Retail_data[[#This Row],[Sales]]&gt;10000,"Medium","Low"))</f>
        <v>Medium</v>
      </c>
      <c r="V861" s="3">
        <f>Retail_data[[#This Row],[Profit]]/Retail_data[[#This Row],[Sales]]</f>
        <v>6.6482154445165476E-2</v>
      </c>
      <c r="W861">
        <v>1024.49</v>
      </c>
      <c r="X861" t="s">
        <v>29</v>
      </c>
    </row>
    <row r="862" spans="1:24" ht="13.8" x14ac:dyDescent="0.25">
      <c r="A862" t="s">
        <v>2810</v>
      </c>
      <c r="B862">
        <f>YEAR(Retail_data[[#This Row],[Order Date]])</f>
        <v>2028</v>
      </c>
      <c r="C862" t="str">
        <f>TEXT(Retail_data[[#This Row],[Order Date]],"mmmm")</f>
        <v>January</v>
      </c>
      <c r="D862">
        <f>MONTH(Retail_data[[#This Row],[Order Date]])</f>
        <v>1</v>
      </c>
      <c r="E862" t="str">
        <f>"Q"&amp;ROUNDUP(MONTH(Retail_data[[#This Row],[Order Date]])/3,0)</f>
        <v>Q1</v>
      </c>
      <c r="F862" s="1">
        <v>46782</v>
      </c>
      <c r="G862" s="1">
        <v>46786</v>
      </c>
      <c r="H862" t="s">
        <v>2811</v>
      </c>
      <c r="I862" t="s">
        <v>2812</v>
      </c>
      <c r="J862" t="s">
        <v>21</v>
      </c>
      <c r="K862" t="s">
        <v>22</v>
      </c>
      <c r="L862" t="s">
        <v>45</v>
      </c>
      <c r="M862" t="s">
        <v>45</v>
      </c>
      <c r="N862" t="s">
        <v>25</v>
      </c>
      <c r="O862" t="s">
        <v>37</v>
      </c>
      <c r="P862" t="s">
        <v>46</v>
      </c>
      <c r="Q862" t="s">
        <v>794</v>
      </c>
      <c r="R862">
        <v>25787.73</v>
      </c>
      <c r="S862">
        <v>2</v>
      </c>
      <c r="T862">
        <v>0.2</v>
      </c>
      <c r="U862" t="str">
        <f>IF(Retail_data[[#This Row],[Sales]]&gt;30000,"High",IF(Retail_data[[#This Row],[Sales]]&gt;10000,"Medium","Low"))</f>
        <v>Medium</v>
      </c>
      <c r="V862" s="3">
        <f>Retail_data[[#This Row],[Profit]]/Retail_data[[#This Row],[Sales]]</f>
        <v>1.2633915431873996E-3</v>
      </c>
      <c r="W862">
        <v>32.58</v>
      </c>
      <c r="X862" t="s">
        <v>81</v>
      </c>
    </row>
    <row r="863" spans="1:24" ht="13.8" x14ac:dyDescent="0.25">
      <c r="A863" t="s">
        <v>2813</v>
      </c>
      <c r="B863">
        <f>YEAR(Retail_data[[#This Row],[Order Date]])</f>
        <v>2028</v>
      </c>
      <c r="C863" t="str">
        <f>TEXT(Retail_data[[#This Row],[Order Date]],"mmmm")</f>
        <v>January</v>
      </c>
      <c r="D863">
        <f>MONTH(Retail_data[[#This Row],[Order Date]])</f>
        <v>1</v>
      </c>
      <c r="E863" t="str">
        <f>"Q"&amp;ROUNDUP(MONTH(Retail_data[[#This Row],[Order Date]])/3,0)</f>
        <v>Q1</v>
      </c>
      <c r="F863" s="1">
        <v>46783</v>
      </c>
      <c r="G863" s="1">
        <v>46787</v>
      </c>
      <c r="H863" t="s">
        <v>2814</v>
      </c>
      <c r="I863" t="s">
        <v>2815</v>
      </c>
      <c r="J863" t="s">
        <v>33</v>
      </c>
      <c r="K863" t="s">
        <v>22</v>
      </c>
      <c r="L863" t="s">
        <v>23</v>
      </c>
      <c r="M863" t="s">
        <v>24</v>
      </c>
      <c r="N863" t="s">
        <v>25</v>
      </c>
      <c r="O863" t="s">
        <v>57</v>
      </c>
      <c r="P863" t="s">
        <v>58</v>
      </c>
      <c r="Q863" t="s">
        <v>125</v>
      </c>
      <c r="R863">
        <v>30393.86</v>
      </c>
      <c r="S863">
        <v>2</v>
      </c>
      <c r="T863">
        <v>0.2</v>
      </c>
      <c r="U863" t="str">
        <f>IF(Retail_data[[#This Row],[Sales]]&gt;30000,"High",IF(Retail_data[[#This Row],[Sales]]&gt;10000,"Medium","Low"))</f>
        <v>High</v>
      </c>
      <c r="V863" s="3">
        <f>Retail_data[[#This Row],[Profit]]/Retail_data[[#This Row],[Sales]]</f>
        <v>0.18972384553985572</v>
      </c>
      <c r="W863">
        <v>5766.44</v>
      </c>
      <c r="X863" t="s">
        <v>40</v>
      </c>
    </row>
    <row r="864" spans="1:24" ht="13.8" x14ac:dyDescent="0.25">
      <c r="A864" t="s">
        <v>2816</v>
      </c>
      <c r="B864">
        <f>YEAR(Retail_data[[#This Row],[Order Date]])</f>
        <v>2028</v>
      </c>
      <c r="C864" t="str">
        <f>TEXT(Retail_data[[#This Row],[Order Date]],"mmmm")</f>
        <v>February</v>
      </c>
      <c r="D864">
        <f>MONTH(Retail_data[[#This Row],[Order Date]])</f>
        <v>2</v>
      </c>
      <c r="E864" t="str">
        <f>"Q"&amp;ROUNDUP(MONTH(Retail_data[[#This Row],[Order Date]])/3,0)</f>
        <v>Q1</v>
      </c>
      <c r="F864" s="1">
        <v>46784</v>
      </c>
      <c r="G864" s="1">
        <v>46788</v>
      </c>
      <c r="H864" t="s">
        <v>2817</v>
      </c>
      <c r="I864" t="s">
        <v>2818</v>
      </c>
      <c r="J864" t="s">
        <v>44</v>
      </c>
      <c r="K864" t="s">
        <v>22</v>
      </c>
      <c r="L864" t="s">
        <v>23</v>
      </c>
      <c r="M864" t="s">
        <v>24</v>
      </c>
      <c r="N864" t="s">
        <v>25</v>
      </c>
      <c r="O864" t="s">
        <v>26</v>
      </c>
      <c r="P864" t="s">
        <v>70</v>
      </c>
      <c r="Q864" t="s">
        <v>994</v>
      </c>
      <c r="R864">
        <v>11620.46</v>
      </c>
      <c r="S864">
        <v>8</v>
      </c>
      <c r="T864">
        <v>0.1</v>
      </c>
      <c r="U864" t="str">
        <f>IF(Retail_data[[#This Row],[Sales]]&gt;30000,"High",IF(Retail_data[[#This Row],[Sales]]&gt;10000,"Medium","Low"))</f>
        <v>Medium</v>
      </c>
      <c r="V864" s="3">
        <f>Retail_data[[#This Row],[Profit]]/Retail_data[[#This Row],[Sales]]</f>
        <v>0.14017173158377552</v>
      </c>
      <c r="W864">
        <v>1628.86</v>
      </c>
      <c r="X864" t="s">
        <v>29</v>
      </c>
    </row>
    <row r="865" spans="1:24" ht="13.8" x14ac:dyDescent="0.25">
      <c r="A865" t="s">
        <v>2819</v>
      </c>
      <c r="B865">
        <f>YEAR(Retail_data[[#This Row],[Order Date]])</f>
        <v>2028</v>
      </c>
      <c r="C865" t="str">
        <f>TEXT(Retail_data[[#This Row],[Order Date]],"mmmm")</f>
        <v>February</v>
      </c>
      <c r="D865">
        <f>MONTH(Retail_data[[#This Row],[Order Date]])</f>
        <v>2</v>
      </c>
      <c r="E865" t="str">
        <f>"Q"&amp;ROUNDUP(MONTH(Retail_data[[#This Row],[Order Date]])/3,0)</f>
        <v>Q1</v>
      </c>
      <c r="F865" s="1">
        <v>46785</v>
      </c>
      <c r="G865" s="1">
        <v>46789</v>
      </c>
      <c r="H865" t="s">
        <v>2820</v>
      </c>
      <c r="I865" t="s">
        <v>2821</v>
      </c>
      <c r="J865" t="s">
        <v>21</v>
      </c>
      <c r="K865" t="s">
        <v>22</v>
      </c>
      <c r="L865" t="s">
        <v>34</v>
      </c>
      <c r="M865" t="s">
        <v>35</v>
      </c>
      <c r="N865" t="s">
        <v>36</v>
      </c>
      <c r="O865" t="s">
        <v>26</v>
      </c>
      <c r="P865" t="s">
        <v>27</v>
      </c>
      <c r="Q865" t="s">
        <v>511</v>
      </c>
      <c r="R865">
        <v>25783.34</v>
      </c>
      <c r="S865">
        <v>7</v>
      </c>
      <c r="T865">
        <v>0</v>
      </c>
      <c r="U865" t="str">
        <f>IF(Retail_data[[#This Row],[Sales]]&gt;30000,"High",IF(Retail_data[[#This Row],[Sales]]&gt;10000,"Medium","Low"))</f>
        <v>Medium</v>
      </c>
      <c r="V865" s="3">
        <f>Retail_data[[#This Row],[Profit]]/Retail_data[[#This Row],[Sales]]</f>
        <v>8.7192737636008363E-2</v>
      </c>
      <c r="W865">
        <v>2248.12</v>
      </c>
      <c r="X865" t="s">
        <v>40</v>
      </c>
    </row>
    <row r="866" spans="1:24" ht="13.8" x14ac:dyDescent="0.25">
      <c r="A866" t="s">
        <v>2822</v>
      </c>
      <c r="B866">
        <f>YEAR(Retail_data[[#This Row],[Order Date]])</f>
        <v>2028</v>
      </c>
      <c r="C866" t="str">
        <f>TEXT(Retail_data[[#This Row],[Order Date]],"mmmm")</f>
        <v>February</v>
      </c>
      <c r="D866">
        <f>MONTH(Retail_data[[#This Row],[Order Date]])</f>
        <v>2</v>
      </c>
      <c r="E866" t="str">
        <f>"Q"&amp;ROUNDUP(MONTH(Retail_data[[#This Row],[Order Date]])/3,0)</f>
        <v>Q1</v>
      </c>
      <c r="F866" s="1">
        <v>46786</v>
      </c>
      <c r="G866" s="1">
        <v>46790</v>
      </c>
      <c r="H866" t="s">
        <v>2823</v>
      </c>
      <c r="I866" t="s">
        <v>2824</v>
      </c>
      <c r="J866" t="s">
        <v>33</v>
      </c>
      <c r="K866" t="s">
        <v>22</v>
      </c>
      <c r="L866" t="s">
        <v>85</v>
      </c>
      <c r="M866" t="s">
        <v>86</v>
      </c>
      <c r="N866" t="s">
        <v>87</v>
      </c>
      <c r="O866" t="s">
        <v>37</v>
      </c>
      <c r="P866" t="s">
        <v>38</v>
      </c>
      <c r="Q866" t="s">
        <v>664</v>
      </c>
      <c r="R866">
        <v>15643.69</v>
      </c>
      <c r="S866">
        <v>5</v>
      </c>
      <c r="T866">
        <v>0.1</v>
      </c>
      <c r="U866" t="str">
        <f>IF(Retail_data[[#This Row],[Sales]]&gt;30000,"High",IF(Retail_data[[#This Row],[Sales]]&gt;10000,"Medium","Low"))</f>
        <v>Medium</v>
      </c>
      <c r="V866" s="3">
        <f>Retail_data[[#This Row],[Profit]]/Retail_data[[#This Row],[Sales]]</f>
        <v>0.16625233560624125</v>
      </c>
      <c r="W866">
        <v>2600.8000000000002</v>
      </c>
      <c r="X866" t="s">
        <v>81</v>
      </c>
    </row>
    <row r="867" spans="1:24" ht="13.8" x14ac:dyDescent="0.25">
      <c r="A867" t="s">
        <v>2825</v>
      </c>
      <c r="B867">
        <f>YEAR(Retail_data[[#This Row],[Order Date]])</f>
        <v>2028</v>
      </c>
      <c r="C867" t="str">
        <f>TEXT(Retail_data[[#This Row],[Order Date]],"mmmm")</f>
        <v>February</v>
      </c>
      <c r="D867">
        <f>MONTH(Retail_data[[#This Row],[Order Date]])</f>
        <v>2</v>
      </c>
      <c r="E867" t="str">
        <f>"Q"&amp;ROUNDUP(MONTH(Retail_data[[#This Row],[Order Date]])/3,0)</f>
        <v>Q1</v>
      </c>
      <c r="F867" s="1">
        <v>46787</v>
      </c>
      <c r="G867" s="1">
        <v>46791</v>
      </c>
      <c r="H867" t="s">
        <v>2826</v>
      </c>
      <c r="I867" t="s">
        <v>2827</v>
      </c>
      <c r="J867" t="s">
        <v>33</v>
      </c>
      <c r="K867" t="s">
        <v>22</v>
      </c>
      <c r="L867" t="s">
        <v>85</v>
      </c>
      <c r="M867" t="s">
        <v>86</v>
      </c>
      <c r="N867" t="s">
        <v>87</v>
      </c>
      <c r="O867" t="s">
        <v>26</v>
      </c>
      <c r="P867" t="s">
        <v>70</v>
      </c>
      <c r="Q867" t="s">
        <v>1866</v>
      </c>
      <c r="R867">
        <v>35929.370000000003</v>
      </c>
      <c r="S867">
        <v>5</v>
      </c>
      <c r="T867">
        <v>0.3</v>
      </c>
      <c r="U867" t="str">
        <f>IF(Retail_data[[#This Row],[Sales]]&gt;30000,"High",IF(Retail_data[[#This Row],[Sales]]&gt;10000,"Medium","Low"))</f>
        <v>High</v>
      </c>
      <c r="V867" s="3">
        <f>Retail_data[[#This Row],[Profit]]/Retail_data[[#This Row],[Sales]]</f>
        <v>4.1062506801538681E-2</v>
      </c>
      <c r="W867">
        <v>1475.35</v>
      </c>
      <c r="X867" t="s">
        <v>40</v>
      </c>
    </row>
    <row r="868" spans="1:24" ht="13.8" x14ac:dyDescent="0.25">
      <c r="A868" t="s">
        <v>2828</v>
      </c>
      <c r="B868">
        <f>YEAR(Retail_data[[#This Row],[Order Date]])</f>
        <v>2028</v>
      </c>
      <c r="C868" t="str">
        <f>TEXT(Retail_data[[#This Row],[Order Date]],"mmmm")</f>
        <v>February</v>
      </c>
      <c r="D868">
        <f>MONTH(Retail_data[[#This Row],[Order Date]])</f>
        <v>2</v>
      </c>
      <c r="E868" t="str">
        <f>"Q"&amp;ROUNDUP(MONTH(Retail_data[[#This Row],[Order Date]])/3,0)</f>
        <v>Q1</v>
      </c>
      <c r="F868" s="1">
        <v>46788</v>
      </c>
      <c r="G868" s="1">
        <v>46792</v>
      </c>
      <c r="H868" t="s">
        <v>2829</v>
      </c>
      <c r="I868" t="s">
        <v>2830</v>
      </c>
      <c r="J868" t="s">
        <v>21</v>
      </c>
      <c r="K868" t="s">
        <v>22</v>
      </c>
      <c r="L868" t="s">
        <v>45</v>
      </c>
      <c r="M868" t="s">
        <v>45</v>
      </c>
      <c r="N868" t="s">
        <v>25</v>
      </c>
      <c r="O868" t="s">
        <v>37</v>
      </c>
      <c r="P868" t="s">
        <v>38</v>
      </c>
      <c r="Q868" t="s">
        <v>39</v>
      </c>
      <c r="R868">
        <v>41788.32</v>
      </c>
      <c r="S868">
        <v>3</v>
      </c>
      <c r="T868">
        <v>0.2</v>
      </c>
      <c r="U868" t="str">
        <f>IF(Retail_data[[#This Row],[Sales]]&gt;30000,"High",IF(Retail_data[[#This Row],[Sales]]&gt;10000,"Medium","Low"))</f>
        <v>High</v>
      </c>
      <c r="V868" s="3">
        <f>Retail_data[[#This Row],[Profit]]/Retail_data[[#This Row],[Sales]]</f>
        <v>1.1288321712861394E-2</v>
      </c>
      <c r="W868">
        <v>471.72</v>
      </c>
      <c r="X868" t="s">
        <v>29</v>
      </c>
    </row>
    <row r="869" spans="1:24" ht="13.8" x14ac:dyDescent="0.25">
      <c r="A869" t="s">
        <v>2831</v>
      </c>
      <c r="B869">
        <f>YEAR(Retail_data[[#This Row],[Order Date]])</f>
        <v>2028</v>
      </c>
      <c r="C869" t="str">
        <f>TEXT(Retail_data[[#This Row],[Order Date]],"mmmm")</f>
        <v>February</v>
      </c>
      <c r="D869">
        <f>MONTH(Retail_data[[#This Row],[Order Date]])</f>
        <v>2</v>
      </c>
      <c r="E869" t="str">
        <f>"Q"&amp;ROUNDUP(MONTH(Retail_data[[#This Row],[Order Date]])/3,0)</f>
        <v>Q1</v>
      </c>
      <c r="F869" s="1">
        <v>46789</v>
      </c>
      <c r="G869" s="1">
        <v>46793</v>
      </c>
      <c r="H869" t="s">
        <v>2832</v>
      </c>
      <c r="I869" t="s">
        <v>2833</v>
      </c>
      <c r="J869" t="s">
        <v>33</v>
      </c>
      <c r="K869" t="s">
        <v>22</v>
      </c>
      <c r="L869" t="s">
        <v>67</v>
      </c>
      <c r="M869" t="s">
        <v>68</v>
      </c>
      <c r="N869" t="s">
        <v>69</v>
      </c>
      <c r="O869" t="s">
        <v>26</v>
      </c>
      <c r="P869" t="s">
        <v>92</v>
      </c>
      <c r="Q869" t="s">
        <v>121</v>
      </c>
      <c r="R869">
        <v>26887.14</v>
      </c>
      <c r="S869">
        <v>6</v>
      </c>
      <c r="T869">
        <v>0.1</v>
      </c>
      <c r="U869" t="str">
        <f>IF(Retail_data[[#This Row],[Sales]]&gt;30000,"High",IF(Retail_data[[#This Row],[Sales]]&gt;10000,"Medium","Low"))</f>
        <v>Medium</v>
      </c>
      <c r="V869" s="3">
        <f>Retail_data[[#This Row],[Profit]]/Retail_data[[#This Row],[Sales]]</f>
        <v>5.7757351655847375E-2</v>
      </c>
      <c r="W869">
        <v>1552.93</v>
      </c>
      <c r="X869" t="s">
        <v>48</v>
      </c>
    </row>
    <row r="870" spans="1:24" ht="13.8" x14ac:dyDescent="0.25">
      <c r="A870" t="s">
        <v>2834</v>
      </c>
      <c r="B870">
        <f>YEAR(Retail_data[[#This Row],[Order Date]])</f>
        <v>2028</v>
      </c>
      <c r="C870" t="str">
        <f>TEXT(Retail_data[[#This Row],[Order Date]],"mmmm")</f>
        <v>February</v>
      </c>
      <c r="D870">
        <f>MONTH(Retail_data[[#This Row],[Order Date]])</f>
        <v>2</v>
      </c>
      <c r="E870" t="str">
        <f>"Q"&amp;ROUNDUP(MONTH(Retail_data[[#This Row],[Order Date]])/3,0)</f>
        <v>Q1</v>
      </c>
      <c r="F870" s="1">
        <v>46790</v>
      </c>
      <c r="G870" s="1">
        <v>46794</v>
      </c>
      <c r="H870" t="s">
        <v>2835</v>
      </c>
      <c r="I870" t="s">
        <v>2836</v>
      </c>
      <c r="J870" t="s">
        <v>33</v>
      </c>
      <c r="K870" t="s">
        <v>22</v>
      </c>
      <c r="L870" t="s">
        <v>85</v>
      </c>
      <c r="M870" t="s">
        <v>86</v>
      </c>
      <c r="N870" t="s">
        <v>87</v>
      </c>
      <c r="O870" t="s">
        <v>37</v>
      </c>
      <c r="P870" t="s">
        <v>46</v>
      </c>
      <c r="Q870" t="s">
        <v>978</v>
      </c>
      <c r="R870">
        <v>1743.69</v>
      </c>
      <c r="S870">
        <v>3</v>
      </c>
      <c r="T870">
        <v>0.1</v>
      </c>
      <c r="U870" t="str">
        <f>IF(Retail_data[[#This Row],[Sales]]&gt;30000,"High",IF(Retail_data[[#This Row],[Sales]]&gt;10000,"Medium","Low"))</f>
        <v>Low</v>
      </c>
      <c r="V870" s="3">
        <f>Retail_data[[#This Row],[Profit]]/Retail_data[[#This Row],[Sales]]</f>
        <v>9.5682145335466734E-2</v>
      </c>
      <c r="W870">
        <v>166.84</v>
      </c>
      <c r="X870" t="s">
        <v>29</v>
      </c>
    </row>
    <row r="871" spans="1:24" ht="13.8" x14ac:dyDescent="0.25">
      <c r="A871" t="s">
        <v>2837</v>
      </c>
      <c r="B871">
        <f>YEAR(Retail_data[[#This Row],[Order Date]])</f>
        <v>2028</v>
      </c>
      <c r="C871" t="str">
        <f>TEXT(Retail_data[[#This Row],[Order Date]],"mmmm")</f>
        <v>February</v>
      </c>
      <c r="D871">
        <f>MONTH(Retail_data[[#This Row],[Order Date]])</f>
        <v>2</v>
      </c>
      <c r="E871" t="str">
        <f>"Q"&amp;ROUNDUP(MONTH(Retail_data[[#This Row],[Order Date]])/3,0)</f>
        <v>Q1</v>
      </c>
      <c r="F871" s="1">
        <v>46791</v>
      </c>
      <c r="G871" s="1">
        <v>46795</v>
      </c>
      <c r="H871" t="s">
        <v>2838</v>
      </c>
      <c r="I871" t="s">
        <v>2839</v>
      </c>
      <c r="J871" t="s">
        <v>21</v>
      </c>
      <c r="K871" t="s">
        <v>22</v>
      </c>
      <c r="L871" t="s">
        <v>45</v>
      </c>
      <c r="M871" t="s">
        <v>45</v>
      </c>
      <c r="N871" t="s">
        <v>25</v>
      </c>
      <c r="O871" t="s">
        <v>37</v>
      </c>
      <c r="P871" t="s">
        <v>46</v>
      </c>
      <c r="Q871" t="s">
        <v>563</v>
      </c>
      <c r="R871">
        <v>23084.91</v>
      </c>
      <c r="S871">
        <v>6</v>
      </c>
      <c r="T871">
        <v>0.1</v>
      </c>
      <c r="U871" t="str">
        <f>IF(Retail_data[[#This Row],[Sales]]&gt;30000,"High",IF(Retail_data[[#This Row],[Sales]]&gt;10000,"Medium","Low"))</f>
        <v>Medium</v>
      </c>
      <c r="V871" s="3">
        <f>Retail_data[[#This Row],[Profit]]/Retail_data[[#This Row],[Sales]]</f>
        <v>0.16682542838590231</v>
      </c>
      <c r="W871">
        <v>3851.15</v>
      </c>
      <c r="X871" t="s">
        <v>40</v>
      </c>
    </row>
    <row r="872" spans="1:24" ht="13.8" x14ac:dyDescent="0.25">
      <c r="A872" t="s">
        <v>2840</v>
      </c>
      <c r="B872">
        <f>YEAR(Retail_data[[#This Row],[Order Date]])</f>
        <v>2028</v>
      </c>
      <c r="C872" t="str">
        <f>TEXT(Retail_data[[#This Row],[Order Date]],"mmmm")</f>
        <v>February</v>
      </c>
      <c r="D872">
        <f>MONTH(Retail_data[[#This Row],[Order Date]])</f>
        <v>2</v>
      </c>
      <c r="E872" t="str">
        <f>"Q"&amp;ROUNDUP(MONTH(Retail_data[[#This Row],[Order Date]])/3,0)</f>
        <v>Q1</v>
      </c>
      <c r="F872" s="1">
        <v>46792</v>
      </c>
      <c r="G872" s="1">
        <v>46796</v>
      </c>
      <c r="H872" t="s">
        <v>2841</v>
      </c>
      <c r="I872" t="s">
        <v>2842</v>
      </c>
      <c r="J872" t="s">
        <v>33</v>
      </c>
      <c r="K872" t="s">
        <v>22</v>
      </c>
      <c r="L872" t="s">
        <v>85</v>
      </c>
      <c r="M872" t="s">
        <v>86</v>
      </c>
      <c r="N872" t="s">
        <v>87</v>
      </c>
      <c r="O872" t="s">
        <v>26</v>
      </c>
      <c r="P872" t="s">
        <v>27</v>
      </c>
      <c r="Q872" t="s">
        <v>274</v>
      </c>
      <c r="R872">
        <v>26022.73</v>
      </c>
      <c r="S872">
        <v>1</v>
      </c>
      <c r="T872">
        <v>0</v>
      </c>
      <c r="U872" t="str">
        <f>IF(Retail_data[[#This Row],[Sales]]&gt;30000,"High",IF(Retail_data[[#This Row],[Sales]]&gt;10000,"Medium","Low"))</f>
        <v>Medium</v>
      </c>
      <c r="V872" s="3">
        <f>Retail_data[[#This Row],[Profit]]/Retail_data[[#This Row],[Sales]]</f>
        <v>8.8177527876590958E-2</v>
      </c>
      <c r="W872">
        <v>2294.62</v>
      </c>
      <c r="X872" t="s">
        <v>48</v>
      </c>
    </row>
    <row r="873" spans="1:24" ht="13.8" x14ac:dyDescent="0.25">
      <c r="A873" t="s">
        <v>2843</v>
      </c>
      <c r="B873">
        <f>YEAR(Retail_data[[#This Row],[Order Date]])</f>
        <v>2028</v>
      </c>
      <c r="C873" t="str">
        <f>TEXT(Retail_data[[#This Row],[Order Date]],"mmmm")</f>
        <v>February</v>
      </c>
      <c r="D873">
        <f>MONTH(Retail_data[[#This Row],[Order Date]])</f>
        <v>2</v>
      </c>
      <c r="E873" t="str">
        <f>"Q"&amp;ROUNDUP(MONTH(Retail_data[[#This Row],[Order Date]])/3,0)</f>
        <v>Q1</v>
      </c>
      <c r="F873" s="1">
        <v>46793</v>
      </c>
      <c r="G873" s="1">
        <v>46797</v>
      </c>
      <c r="H873" t="s">
        <v>2844</v>
      </c>
      <c r="I873" t="s">
        <v>2845</v>
      </c>
      <c r="J873" t="s">
        <v>44</v>
      </c>
      <c r="K873" t="s">
        <v>22</v>
      </c>
      <c r="L873" t="s">
        <v>85</v>
      </c>
      <c r="M873" t="s">
        <v>86</v>
      </c>
      <c r="N873" t="s">
        <v>87</v>
      </c>
      <c r="O873" t="s">
        <v>37</v>
      </c>
      <c r="P873" t="s">
        <v>52</v>
      </c>
      <c r="Q873" t="s">
        <v>763</v>
      </c>
      <c r="R873">
        <v>33177.49</v>
      </c>
      <c r="S873">
        <v>2</v>
      </c>
      <c r="T873">
        <v>0</v>
      </c>
      <c r="U873" t="str">
        <f>IF(Retail_data[[#This Row],[Sales]]&gt;30000,"High",IF(Retail_data[[#This Row],[Sales]]&gt;10000,"Medium","Low"))</f>
        <v>High</v>
      </c>
      <c r="V873" s="3">
        <f>Retail_data[[#This Row],[Profit]]/Retail_data[[#This Row],[Sales]]</f>
        <v>0.29671352474222734</v>
      </c>
      <c r="W873">
        <v>9844.2099999999991</v>
      </c>
      <c r="X873" t="s">
        <v>48</v>
      </c>
    </row>
    <row r="874" spans="1:24" ht="13.8" x14ac:dyDescent="0.25">
      <c r="A874" t="s">
        <v>2846</v>
      </c>
      <c r="B874">
        <f>YEAR(Retail_data[[#This Row],[Order Date]])</f>
        <v>2028</v>
      </c>
      <c r="C874" t="str">
        <f>TEXT(Retail_data[[#This Row],[Order Date]],"mmmm")</f>
        <v>February</v>
      </c>
      <c r="D874">
        <f>MONTH(Retail_data[[#This Row],[Order Date]])</f>
        <v>2</v>
      </c>
      <c r="E874" t="str">
        <f>"Q"&amp;ROUNDUP(MONTH(Retail_data[[#This Row],[Order Date]])/3,0)</f>
        <v>Q1</v>
      </c>
      <c r="F874" s="1">
        <v>46794</v>
      </c>
      <c r="G874" s="1">
        <v>46798</v>
      </c>
      <c r="H874" t="s">
        <v>2847</v>
      </c>
      <c r="I874" t="s">
        <v>2848</v>
      </c>
      <c r="J874" t="s">
        <v>21</v>
      </c>
      <c r="K874" t="s">
        <v>22</v>
      </c>
      <c r="L874" t="s">
        <v>67</v>
      </c>
      <c r="M874" t="s">
        <v>68</v>
      </c>
      <c r="N874" t="s">
        <v>69</v>
      </c>
      <c r="O874" t="s">
        <v>57</v>
      </c>
      <c r="P874" t="s">
        <v>58</v>
      </c>
      <c r="Q874" t="s">
        <v>1590</v>
      </c>
      <c r="R874">
        <v>30431</v>
      </c>
      <c r="S874">
        <v>5</v>
      </c>
      <c r="T874">
        <v>0.1</v>
      </c>
      <c r="U874" t="str">
        <f>IF(Retail_data[[#This Row],[Sales]]&gt;30000,"High",IF(Retail_data[[#This Row],[Sales]]&gt;10000,"Medium","Low"))</f>
        <v>High</v>
      </c>
      <c r="V874" s="3">
        <f>Retail_data[[#This Row],[Profit]]/Retail_data[[#This Row],[Sales]]</f>
        <v>0.11674213795143111</v>
      </c>
      <c r="W874">
        <v>3552.58</v>
      </c>
      <c r="X874" t="s">
        <v>48</v>
      </c>
    </row>
    <row r="875" spans="1:24" ht="13.8" x14ac:dyDescent="0.25">
      <c r="A875" t="s">
        <v>2849</v>
      </c>
      <c r="B875">
        <f>YEAR(Retail_data[[#This Row],[Order Date]])</f>
        <v>2028</v>
      </c>
      <c r="C875" t="str">
        <f>TEXT(Retail_data[[#This Row],[Order Date]],"mmmm")</f>
        <v>February</v>
      </c>
      <c r="D875">
        <f>MONTH(Retail_data[[#This Row],[Order Date]])</f>
        <v>2</v>
      </c>
      <c r="E875" t="str">
        <f>"Q"&amp;ROUNDUP(MONTH(Retail_data[[#This Row],[Order Date]])/3,0)</f>
        <v>Q1</v>
      </c>
      <c r="F875" s="1">
        <v>46795</v>
      </c>
      <c r="G875" s="1">
        <v>46799</v>
      </c>
      <c r="H875" t="s">
        <v>2850</v>
      </c>
      <c r="I875" t="s">
        <v>2851</v>
      </c>
      <c r="J875" t="s">
        <v>33</v>
      </c>
      <c r="K875" t="s">
        <v>22</v>
      </c>
      <c r="L875" t="s">
        <v>45</v>
      </c>
      <c r="M875" t="s">
        <v>45</v>
      </c>
      <c r="N875" t="s">
        <v>25</v>
      </c>
      <c r="O875" t="s">
        <v>37</v>
      </c>
      <c r="P875" t="s">
        <v>52</v>
      </c>
      <c r="Q875" t="s">
        <v>101</v>
      </c>
      <c r="R875">
        <v>11625.23</v>
      </c>
      <c r="S875">
        <v>5</v>
      </c>
      <c r="T875">
        <v>0.3</v>
      </c>
      <c r="U875" t="str">
        <f>IF(Retail_data[[#This Row],[Sales]]&gt;30000,"High",IF(Retail_data[[#This Row],[Sales]]&gt;10000,"Medium","Low"))</f>
        <v>Medium</v>
      </c>
      <c r="V875" s="3">
        <f>Retail_data[[#This Row],[Profit]]/Retail_data[[#This Row],[Sales]]</f>
        <v>0.16764313480249424</v>
      </c>
      <c r="W875">
        <v>1948.89</v>
      </c>
      <c r="X875" t="s">
        <v>81</v>
      </c>
    </row>
    <row r="876" spans="1:24" ht="13.8" x14ac:dyDescent="0.25">
      <c r="A876" t="s">
        <v>2852</v>
      </c>
      <c r="B876">
        <f>YEAR(Retail_data[[#This Row],[Order Date]])</f>
        <v>2028</v>
      </c>
      <c r="C876" t="str">
        <f>TEXT(Retail_data[[#This Row],[Order Date]],"mmmm")</f>
        <v>February</v>
      </c>
      <c r="D876">
        <f>MONTH(Retail_data[[#This Row],[Order Date]])</f>
        <v>2</v>
      </c>
      <c r="E876" t="str">
        <f>"Q"&amp;ROUNDUP(MONTH(Retail_data[[#This Row],[Order Date]])/3,0)</f>
        <v>Q1</v>
      </c>
      <c r="F876" s="1">
        <v>46796</v>
      </c>
      <c r="G876" s="1">
        <v>46800</v>
      </c>
      <c r="H876" t="s">
        <v>2853</v>
      </c>
      <c r="I876" t="s">
        <v>2854</v>
      </c>
      <c r="J876" t="s">
        <v>21</v>
      </c>
      <c r="K876" t="s">
        <v>22</v>
      </c>
      <c r="L876" t="s">
        <v>45</v>
      </c>
      <c r="M876" t="s">
        <v>45</v>
      </c>
      <c r="N876" t="s">
        <v>25</v>
      </c>
      <c r="O876" t="s">
        <v>37</v>
      </c>
      <c r="P876" t="s">
        <v>52</v>
      </c>
      <c r="Q876" t="s">
        <v>591</v>
      </c>
      <c r="R876">
        <v>8080.36</v>
      </c>
      <c r="S876">
        <v>1</v>
      </c>
      <c r="T876">
        <v>0.3</v>
      </c>
      <c r="U876" t="str">
        <f>IF(Retail_data[[#This Row],[Sales]]&gt;30000,"High",IF(Retail_data[[#This Row],[Sales]]&gt;10000,"Medium","Low"))</f>
        <v>Low</v>
      </c>
      <c r="V876" s="3">
        <f>Retail_data[[#This Row],[Profit]]/Retail_data[[#This Row],[Sales]]</f>
        <v>4.9319584770975547E-2</v>
      </c>
      <c r="W876">
        <v>398.52</v>
      </c>
      <c r="X876" t="s">
        <v>81</v>
      </c>
    </row>
    <row r="877" spans="1:24" ht="13.8" x14ac:dyDescent="0.25">
      <c r="A877" t="s">
        <v>2855</v>
      </c>
      <c r="B877">
        <f>YEAR(Retail_data[[#This Row],[Order Date]])</f>
        <v>2028</v>
      </c>
      <c r="C877" t="str">
        <f>TEXT(Retail_data[[#This Row],[Order Date]],"mmmm")</f>
        <v>February</v>
      </c>
      <c r="D877">
        <f>MONTH(Retail_data[[#This Row],[Order Date]])</f>
        <v>2</v>
      </c>
      <c r="E877" t="str">
        <f>"Q"&amp;ROUNDUP(MONTH(Retail_data[[#This Row],[Order Date]])/3,0)</f>
        <v>Q1</v>
      </c>
      <c r="F877" s="1">
        <v>46797</v>
      </c>
      <c r="G877" s="1">
        <v>46801</v>
      </c>
      <c r="H877" t="s">
        <v>2856</v>
      </c>
      <c r="I877" t="s">
        <v>2857</v>
      </c>
      <c r="J877" t="s">
        <v>33</v>
      </c>
      <c r="K877" t="s">
        <v>22</v>
      </c>
      <c r="L877" t="s">
        <v>23</v>
      </c>
      <c r="M877" t="s">
        <v>24</v>
      </c>
      <c r="N877" t="s">
        <v>25</v>
      </c>
      <c r="O877" t="s">
        <v>26</v>
      </c>
      <c r="P877" t="s">
        <v>92</v>
      </c>
      <c r="Q877" t="s">
        <v>767</v>
      </c>
      <c r="R877">
        <v>13937.5</v>
      </c>
      <c r="S877">
        <v>3</v>
      </c>
      <c r="T877">
        <v>0.1</v>
      </c>
      <c r="U877" t="str">
        <f>IF(Retail_data[[#This Row],[Sales]]&gt;30000,"High",IF(Retail_data[[#This Row],[Sales]]&gt;10000,"Medium","Low"))</f>
        <v>Medium</v>
      </c>
      <c r="V877" s="3">
        <f>Retail_data[[#This Row],[Profit]]/Retail_data[[#This Row],[Sales]]</f>
        <v>0.2595695067264574</v>
      </c>
      <c r="W877">
        <v>3617.75</v>
      </c>
      <c r="X877" t="s">
        <v>81</v>
      </c>
    </row>
    <row r="878" spans="1:24" ht="13.8" x14ac:dyDescent="0.25">
      <c r="A878" t="s">
        <v>2858</v>
      </c>
      <c r="B878">
        <f>YEAR(Retail_data[[#This Row],[Order Date]])</f>
        <v>2028</v>
      </c>
      <c r="C878" t="str">
        <f>TEXT(Retail_data[[#This Row],[Order Date]],"mmmm")</f>
        <v>February</v>
      </c>
      <c r="D878">
        <f>MONTH(Retail_data[[#This Row],[Order Date]])</f>
        <v>2</v>
      </c>
      <c r="E878" t="str">
        <f>"Q"&amp;ROUNDUP(MONTH(Retail_data[[#This Row],[Order Date]])/3,0)</f>
        <v>Q1</v>
      </c>
      <c r="F878" s="1">
        <v>46798</v>
      </c>
      <c r="G878" s="1">
        <v>46802</v>
      </c>
      <c r="H878" t="s">
        <v>2859</v>
      </c>
      <c r="I878" t="s">
        <v>2860</v>
      </c>
      <c r="J878" t="s">
        <v>44</v>
      </c>
      <c r="K878" t="s">
        <v>22</v>
      </c>
      <c r="L878" t="s">
        <v>23</v>
      </c>
      <c r="M878" t="s">
        <v>24</v>
      </c>
      <c r="N878" t="s">
        <v>25</v>
      </c>
      <c r="O878" t="s">
        <v>26</v>
      </c>
      <c r="P878" t="s">
        <v>70</v>
      </c>
      <c r="Q878" t="s">
        <v>1431</v>
      </c>
      <c r="R878">
        <v>9120.73</v>
      </c>
      <c r="S878">
        <v>8</v>
      </c>
      <c r="T878">
        <v>0.3</v>
      </c>
      <c r="U878" t="str">
        <f>IF(Retail_data[[#This Row],[Sales]]&gt;30000,"High",IF(Retail_data[[#This Row],[Sales]]&gt;10000,"Medium","Low"))</f>
        <v>Low</v>
      </c>
      <c r="V878" s="3">
        <f>Retail_data[[#This Row],[Profit]]/Retail_data[[#This Row],[Sales]]</f>
        <v>1.5611688976649895E-2</v>
      </c>
      <c r="W878">
        <v>142.38999999999999</v>
      </c>
      <c r="X878" t="s">
        <v>81</v>
      </c>
    </row>
    <row r="879" spans="1:24" ht="13.8" x14ac:dyDescent="0.25">
      <c r="A879" t="s">
        <v>2861</v>
      </c>
      <c r="B879">
        <f>YEAR(Retail_data[[#This Row],[Order Date]])</f>
        <v>2028</v>
      </c>
      <c r="C879" t="str">
        <f>TEXT(Retail_data[[#This Row],[Order Date]],"mmmm")</f>
        <v>February</v>
      </c>
      <c r="D879">
        <f>MONTH(Retail_data[[#This Row],[Order Date]])</f>
        <v>2</v>
      </c>
      <c r="E879" t="str">
        <f>"Q"&amp;ROUNDUP(MONTH(Retail_data[[#This Row],[Order Date]])/3,0)</f>
        <v>Q1</v>
      </c>
      <c r="F879" s="1">
        <v>46799</v>
      </c>
      <c r="G879" s="1">
        <v>46803</v>
      </c>
      <c r="H879" t="s">
        <v>2862</v>
      </c>
      <c r="I879" t="s">
        <v>2863</v>
      </c>
      <c r="J879" t="s">
        <v>21</v>
      </c>
      <c r="K879" t="s">
        <v>22</v>
      </c>
      <c r="L879" t="s">
        <v>34</v>
      </c>
      <c r="M879" t="s">
        <v>35</v>
      </c>
      <c r="N879" t="s">
        <v>36</v>
      </c>
      <c r="O879" t="s">
        <v>57</v>
      </c>
      <c r="P879" t="s">
        <v>79</v>
      </c>
      <c r="Q879" t="s">
        <v>88</v>
      </c>
      <c r="R879">
        <v>8721.36</v>
      </c>
      <c r="S879">
        <v>8</v>
      </c>
      <c r="T879">
        <v>0.2</v>
      </c>
      <c r="U879" t="str">
        <f>IF(Retail_data[[#This Row],[Sales]]&gt;30000,"High",IF(Retail_data[[#This Row],[Sales]]&gt;10000,"Medium","Low"))</f>
        <v>Low</v>
      </c>
      <c r="V879" s="3">
        <f>Retail_data[[#This Row],[Profit]]/Retail_data[[#This Row],[Sales]]</f>
        <v>0.19132222497408657</v>
      </c>
      <c r="W879">
        <v>1668.59</v>
      </c>
      <c r="X879" t="s">
        <v>40</v>
      </c>
    </row>
    <row r="880" spans="1:24" ht="13.8" x14ac:dyDescent="0.25">
      <c r="A880" t="s">
        <v>2864</v>
      </c>
      <c r="B880">
        <f>YEAR(Retail_data[[#This Row],[Order Date]])</f>
        <v>2028</v>
      </c>
      <c r="C880" t="str">
        <f>TEXT(Retail_data[[#This Row],[Order Date]],"mmmm")</f>
        <v>February</v>
      </c>
      <c r="D880">
        <f>MONTH(Retail_data[[#This Row],[Order Date]])</f>
        <v>2</v>
      </c>
      <c r="E880" t="str">
        <f>"Q"&amp;ROUNDUP(MONTH(Retail_data[[#This Row],[Order Date]])/3,0)</f>
        <v>Q1</v>
      </c>
      <c r="F880" s="1">
        <v>46800</v>
      </c>
      <c r="G880" s="1">
        <v>46804</v>
      </c>
      <c r="H880" t="s">
        <v>2865</v>
      </c>
      <c r="I880" t="s">
        <v>2866</v>
      </c>
      <c r="J880" t="s">
        <v>44</v>
      </c>
      <c r="K880" t="s">
        <v>22</v>
      </c>
      <c r="L880" t="s">
        <v>23</v>
      </c>
      <c r="M880" t="s">
        <v>24</v>
      </c>
      <c r="N880" t="s">
        <v>25</v>
      </c>
      <c r="O880" t="s">
        <v>26</v>
      </c>
      <c r="P880" t="s">
        <v>70</v>
      </c>
      <c r="Q880" t="s">
        <v>71</v>
      </c>
      <c r="R880">
        <v>37855.74</v>
      </c>
      <c r="S880">
        <v>5</v>
      </c>
      <c r="T880">
        <v>0.3</v>
      </c>
      <c r="U880" t="str">
        <f>IF(Retail_data[[#This Row],[Sales]]&gt;30000,"High",IF(Retail_data[[#This Row],[Sales]]&gt;10000,"Medium","Low"))</f>
        <v>High</v>
      </c>
      <c r="V880" s="3">
        <f>Retail_data[[#This Row],[Profit]]/Retail_data[[#This Row],[Sales]]</f>
        <v>9.1248777596211306E-2</v>
      </c>
      <c r="W880">
        <v>3454.29</v>
      </c>
      <c r="X880" t="s">
        <v>40</v>
      </c>
    </row>
    <row r="881" spans="1:24" ht="13.8" x14ac:dyDescent="0.25">
      <c r="A881" t="s">
        <v>2867</v>
      </c>
      <c r="B881">
        <f>YEAR(Retail_data[[#This Row],[Order Date]])</f>
        <v>2028</v>
      </c>
      <c r="C881" t="str">
        <f>TEXT(Retail_data[[#This Row],[Order Date]],"mmmm")</f>
        <v>February</v>
      </c>
      <c r="D881">
        <f>MONTH(Retail_data[[#This Row],[Order Date]])</f>
        <v>2</v>
      </c>
      <c r="E881" t="str">
        <f>"Q"&amp;ROUNDUP(MONTH(Retail_data[[#This Row],[Order Date]])/3,0)</f>
        <v>Q1</v>
      </c>
      <c r="F881" s="1">
        <v>46801</v>
      </c>
      <c r="G881" s="1">
        <v>46805</v>
      </c>
      <c r="H881" t="s">
        <v>2868</v>
      </c>
      <c r="I881" t="s">
        <v>2869</v>
      </c>
      <c r="J881" t="s">
        <v>33</v>
      </c>
      <c r="K881" t="s">
        <v>22</v>
      </c>
      <c r="L881" t="s">
        <v>67</v>
      </c>
      <c r="M881" t="s">
        <v>68</v>
      </c>
      <c r="N881" t="s">
        <v>69</v>
      </c>
      <c r="O881" t="s">
        <v>26</v>
      </c>
      <c r="P881" t="s">
        <v>70</v>
      </c>
      <c r="Q881" t="s">
        <v>778</v>
      </c>
      <c r="R881">
        <v>29812.74</v>
      </c>
      <c r="S881">
        <v>7</v>
      </c>
      <c r="T881">
        <v>0.3</v>
      </c>
      <c r="U881" t="str">
        <f>IF(Retail_data[[#This Row],[Sales]]&gt;30000,"High",IF(Retail_data[[#This Row],[Sales]]&gt;10000,"Medium","Low"))</f>
        <v>Medium</v>
      </c>
      <c r="V881" s="3">
        <f>Retail_data[[#This Row],[Profit]]/Retail_data[[#This Row],[Sales]]</f>
        <v>7.3326705294447944E-2</v>
      </c>
      <c r="W881">
        <v>2186.0700000000002</v>
      </c>
      <c r="X881" t="s">
        <v>81</v>
      </c>
    </row>
    <row r="882" spans="1:24" ht="13.8" x14ac:dyDescent="0.25">
      <c r="A882" t="s">
        <v>2870</v>
      </c>
      <c r="B882">
        <f>YEAR(Retail_data[[#This Row],[Order Date]])</f>
        <v>2028</v>
      </c>
      <c r="C882" t="str">
        <f>TEXT(Retail_data[[#This Row],[Order Date]],"mmmm")</f>
        <v>February</v>
      </c>
      <c r="D882">
        <f>MONTH(Retail_data[[#This Row],[Order Date]])</f>
        <v>2</v>
      </c>
      <c r="E882" t="str">
        <f>"Q"&amp;ROUNDUP(MONTH(Retail_data[[#This Row],[Order Date]])/3,0)</f>
        <v>Q1</v>
      </c>
      <c r="F882" s="1">
        <v>46802</v>
      </c>
      <c r="G882" s="1">
        <v>46806</v>
      </c>
      <c r="H882" t="s">
        <v>2871</v>
      </c>
      <c r="I882" t="s">
        <v>2872</v>
      </c>
      <c r="J882" t="s">
        <v>21</v>
      </c>
      <c r="K882" t="s">
        <v>22</v>
      </c>
      <c r="L882" t="s">
        <v>67</v>
      </c>
      <c r="M882" t="s">
        <v>68</v>
      </c>
      <c r="N882" t="s">
        <v>69</v>
      </c>
      <c r="O882" t="s">
        <v>37</v>
      </c>
      <c r="P882" t="s">
        <v>38</v>
      </c>
      <c r="Q882" t="s">
        <v>145</v>
      </c>
      <c r="R882">
        <v>42511.64</v>
      </c>
      <c r="S882">
        <v>1</v>
      </c>
      <c r="T882">
        <v>0.2</v>
      </c>
      <c r="U882" t="str">
        <f>IF(Retail_data[[#This Row],[Sales]]&gt;30000,"High",IF(Retail_data[[#This Row],[Sales]]&gt;10000,"Medium","Low"))</f>
        <v>High</v>
      </c>
      <c r="V882" s="3">
        <f>Retail_data[[#This Row],[Profit]]/Retail_data[[#This Row],[Sales]]</f>
        <v>9.0607889980250114E-2</v>
      </c>
      <c r="W882">
        <v>3851.89</v>
      </c>
      <c r="X882" t="s">
        <v>48</v>
      </c>
    </row>
    <row r="883" spans="1:24" ht="13.8" x14ac:dyDescent="0.25">
      <c r="A883" t="s">
        <v>2873</v>
      </c>
      <c r="B883">
        <f>YEAR(Retail_data[[#This Row],[Order Date]])</f>
        <v>2028</v>
      </c>
      <c r="C883" t="str">
        <f>TEXT(Retail_data[[#This Row],[Order Date]],"mmmm")</f>
        <v>February</v>
      </c>
      <c r="D883">
        <f>MONTH(Retail_data[[#This Row],[Order Date]])</f>
        <v>2</v>
      </c>
      <c r="E883" t="str">
        <f>"Q"&amp;ROUNDUP(MONTH(Retail_data[[#This Row],[Order Date]])/3,0)</f>
        <v>Q1</v>
      </c>
      <c r="F883" s="1">
        <v>46803</v>
      </c>
      <c r="G883" s="1">
        <v>46807</v>
      </c>
      <c r="H883" t="s">
        <v>2874</v>
      </c>
      <c r="I883" t="s">
        <v>2875</v>
      </c>
      <c r="J883" t="s">
        <v>44</v>
      </c>
      <c r="K883" t="s">
        <v>22</v>
      </c>
      <c r="L883" t="s">
        <v>23</v>
      </c>
      <c r="M883" t="s">
        <v>24</v>
      </c>
      <c r="N883" t="s">
        <v>25</v>
      </c>
      <c r="O883" t="s">
        <v>37</v>
      </c>
      <c r="P883" t="s">
        <v>52</v>
      </c>
      <c r="Q883" t="s">
        <v>292</v>
      </c>
      <c r="R883">
        <v>2054.6999999999998</v>
      </c>
      <c r="S883">
        <v>6</v>
      </c>
      <c r="T883">
        <v>0.2</v>
      </c>
      <c r="U883" t="str">
        <f>IF(Retail_data[[#This Row],[Sales]]&gt;30000,"High",IF(Retail_data[[#This Row],[Sales]]&gt;10000,"Medium","Low"))</f>
        <v>Low</v>
      </c>
      <c r="V883" s="3">
        <f>Retail_data[[#This Row],[Profit]]/Retail_data[[#This Row],[Sales]]</f>
        <v>1.6031537450722732E-2</v>
      </c>
      <c r="W883">
        <v>32.94</v>
      </c>
      <c r="X883" t="s">
        <v>40</v>
      </c>
    </row>
    <row r="884" spans="1:24" ht="13.8" x14ac:dyDescent="0.25">
      <c r="A884" t="s">
        <v>2876</v>
      </c>
      <c r="B884">
        <f>YEAR(Retail_data[[#This Row],[Order Date]])</f>
        <v>2028</v>
      </c>
      <c r="C884" t="str">
        <f>TEXT(Retail_data[[#This Row],[Order Date]],"mmmm")</f>
        <v>February</v>
      </c>
      <c r="D884">
        <f>MONTH(Retail_data[[#This Row],[Order Date]])</f>
        <v>2</v>
      </c>
      <c r="E884" t="str">
        <f>"Q"&amp;ROUNDUP(MONTH(Retail_data[[#This Row],[Order Date]])/3,0)</f>
        <v>Q1</v>
      </c>
      <c r="F884" s="1">
        <v>46804</v>
      </c>
      <c r="G884" s="1">
        <v>46808</v>
      </c>
      <c r="H884" t="s">
        <v>2877</v>
      </c>
      <c r="I884" t="s">
        <v>2878</v>
      </c>
      <c r="J884" t="s">
        <v>33</v>
      </c>
      <c r="K884" t="s">
        <v>22</v>
      </c>
      <c r="L884" t="s">
        <v>34</v>
      </c>
      <c r="M884" t="s">
        <v>35</v>
      </c>
      <c r="N884" t="s">
        <v>36</v>
      </c>
      <c r="O884" t="s">
        <v>37</v>
      </c>
      <c r="P884" t="s">
        <v>46</v>
      </c>
      <c r="Q884" t="s">
        <v>794</v>
      </c>
      <c r="R884">
        <v>16330.53</v>
      </c>
      <c r="S884">
        <v>1</v>
      </c>
      <c r="T884">
        <v>0</v>
      </c>
      <c r="U884" t="str">
        <f>IF(Retail_data[[#This Row],[Sales]]&gt;30000,"High",IF(Retail_data[[#This Row],[Sales]]&gt;10000,"Medium","Low"))</f>
        <v>Medium</v>
      </c>
      <c r="V884" s="3">
        <f>Retail_data[[#This Row],[Profit]]/Retail_data[[#This Row],[Sales]]</f>
        <v>0.13648852792897717</v>
      </c>
      <c r="W884">
        <v>2228.9299999999998</v>
      </c>
      <c r="X884" t="s">
        <v>40</v>
      </c>
    </row>
    <row r="885" spans="1:24" ht="13.8" x14ac:dyDescent="0.25">
      <c r="A885" t="s">
        <v>2879</v>
      </c>
      <c r="B885">
        <f>YEAR(Retail_data[[#This Row],[Order Date]])</f>
        <v>2028</v>
      </c>
      <c r="C885" t="str">
        <f>TEXT(Retail_data[[#This Row],[Order Date]],"mmmm")</f>
        <v>February</v>
      </c>
      <c r="D885">
        <f>MONTH(Retail_data[[#This Row],[Order Date]])</f>
        <v>2</v>
      </c>
      <c r="E885" t="str">
        <f>"Q"&amp;ROUNDUP(MONTH(Retail_data[[#This Row],[Order Date]])/3,0)</f>
        <v>Q1</v>
      </c>
      <c r="F885" s="1">
        <v>46805</v>
      </c>
      <c r="G885" s="1">
        <v>46809</v>
      </c>
      <c r="H885" t="s">
        <v>2880</v>
      </c>
      <c r="I885" t="s">
        <v>2881</v>
      </c>
      <c r="J885" t="s">
        <v>33</v>
      </c>
      <c r="K885" t="s">
        <v>22</v>
      </c>
      <c r="L885" t="s">
        <v>67</v>
      </c>
      <c r="M885" t="s">
        <v>68</v>
      </c>
      <c r="N885" t="s">
        <v>69</v>
      </c>
      <c r="O885" t="s">
        <v>37</v>
      </c>
      <c r="P885" t="s">
        <v>52</v>
      </c>
      <c r="Q885" t="s">
        <v>591</v>
      </c>
      <c r="R885">
        <v>42169.68</v>
      </c>
      <c r="S885">
        <v>3</v>
      </c>
      <c r="T885">
        <v>0.1</v>
      </c>
      <c r="U885" t="str">
        <f>IF(Retail_data[[#This Row],[Sales]]&gt;30000,"High",IF(Retail_data[[#This Row],[Sales]]&gt;10000,"Medium","Low"))</f>
        <v>High</v>
      </c>
      <c r="V885" s="3">
        <f>Retail_data[[#This Row],[Profit]]/Retail_data[[#This Row],[Sales]]</f>
        <v>3.475245721570569E-2</v>
      </c>
      <c r="W885">
        <v>1465.5</v>
      </c>
      <c r="X885" t="s">
        <v>81</v>
      </c>
    </row>
    <row r="886" spans="1:24" ht="13.8" x14ac:dyDescent="0.25">
      <c r="A886" t="s">
        <v>2882</v>
      </c>
      <c r="B886">
        <f>YEAR(Retail_data[[#This Row],[Order Date]])</f>
        <v>2028</v>
      </c>
      <c r="C886" t="str">
        <f>TEXT(Retail_data[[#This Row],[Order Date]],"mmmm")</f>
        <v>February</v>
      </c>
      <c r="D886">
        <f>MONTH(Retail_data[[#This Row],[Order Date]])</f>
        <v>2</v>
      </c>
      <c r="E886" t="str">
        <f>"Q"&amp;ROUNDUP(MONTH(Retail_data[[#This Row],[Order Date]])/3,0)</f>
        <v>Q1</v>
      </c>
      <c r="F886" s="1">
        <v>46806</v>
      </c>
      <c r="G886" s="1">
        <v>46810</v>
      </c>
      <c r="H886" t="s">
        <v>2883</v>
      </c>
      <c r="I886" t="s">
        <v>2884</v>
      </c>
      <c r="J886" t="s">
        <v>33</v>
      </c>
      <c r="K886" t="s">
        <v>22</v>
      </c>
      <c r="L886" t="s">
        <v>34</v>
      </c>
      <c r="M886" t="s">
        <v>35</v>
      </c>
      <c r="N886" t="s">
        <v>36</v>
      </c>
      <c r="O886" t="s">
        <v>37</v>
      </c>
      <c r="P886" t="s">
        <v>46</v>
      </c>
      <c r="Q886" t="s">
        <v>1793</v>
      </c>
      <c r="R886">
        <v>33184.050000000003</v>
      </c>
      <c r="S886">
        <v>3</v>
      </c>
      <c r="T886">
        <v>0.1</v>
      </c>
      <c r="U886" t="str">
        <f>IF(Retail_data[[#This Row],[Sales]]&gt;30000,"High",IF(Retail_data[[#This Row],[Sales]]&gt;10000,"Medium","Low"))</f>
        <v>High</v>
      </c>
      <c r="V886" s="3">
        <f>Retail_data[[#This Row],[Profit]]/Retail_data[[#This Row],[Sales]]</f>
        <v>0.15829924316049426</v>
      </c>
      <c r="W886">
        <v>5253.01</v>
      </c>
      <c r="X886" t="s">
        <v>48</v>
      </c>
    </row>
    <row r="887" spans="1:24" ht="13.8" x14ac:dyDescent="0.25">
      <c r="A887" t="s">
        <v>2885</v>
      </c>
      <c r="B887">
        <f>YEAR(Retail_data[[#This Row],[Order Date]])</f>
        <v>2028</v>
      </c>
      <c r="C887" t="str">
        <f>TEXT(Retail_data[[#This Row],[Order Date]],"mmmm")</f>
        <v>February</v>
      </c>
      <c r="D887">
        <f>MONTH(Retail_data[[#This Row],[Order Date]])</f>
        <v>2</v>
      </c>
      <c r="E887" t="str">
        <f>"Q"&amp;ROUNDUP(MONTH(Retail_data[[#This Row],[Order Date]])/3,0)</f>
        <v>Q1</v>
      </c>
      <c r="F887" s="1">
        <v>46807</v>
      </c>
      <c r="G887" s="1">
        <v>46811</v>
      </c>
      <c r="H887" t="s">
        <v>2886</v>
      </c>
      <c r="I887" t="s">
        <v>2887</v>
      </c>
      <c r="J887" t="s">
        <v>21</v>
      </c>
      <c r="K887" t="s">
        <v>22</v>
      </c>
      <c r="L887" t="s">
        <v>34</v>
      </c>
      <c r="M887" t="s">
        <v>35</v>
      </c>
      <c r="N887" t="s">
        <v>36</v>
      </c>
      <c r="O887" t="s">
        <v>57</v>
      </c>
      <c r="P887" t="s">
        <v>79</v>
      </c>
      <c r="Q887" t="s">
        <v>2888</v>
      </c>
      <c r="R887">
        <v>49634.04</v>
      </c>
      <c r="S887">
        <v>7</v>
      </c>
      <c r="T887">
        <v>0</v>
      </c>
      <c r="U887" t="str">
        <f>IF(Retail_data[[#This Row],[Sales]]&gt;30000,"High",IF(Retail_data[[#This Row],[Sales]]&gt;10000,"Medium","Low"))</f>
        <v>High</v>
      </c>
      <c r="V887" s="3">
        <f>Retail_data[[#This Row],[Profit]]/Retail_data[[#This Row],[Sales]]</f>
        <v>0.16646136401550227</v>
      </c>
      <c r="W887">
        <v>8262.15</v>
      </c>
      <c r="X887" t="s">
        <v>29</v>
      </c>
    </row>
    <row r="888" spans="1:24" ht="13.8" x14ac:dyDescent="0.25">
      <c r="A888" t="s">
        <v>2889</v>
      </c>
      <c r="B888">
        <f>YEAR(Retail_data[[#This Row],[Order Date]])</f>
        <v>2028</v>
      </c>
      <c r="C888" t="str">
        <f>TEXT(Retail_data[[#This Row],[Order Date]],"mmmm")</f>
        <v>February</v>
      </c>
      <c r="D888">
        <f>MONTH(Retail_data[[#This Row],[Order Date]])</f>
        <v>2</v>
      </c>
      <c r="E888" t="str">
        <f>"Q"&amp;ROUNDUP(MONTH(Retail_data[[#This Row],[Order Date]])/3,0)</f>
        <v>Q1</v>
      </c>
      <c r="F888" s="1">
        <v>46808</v>
      </c>
      <c r="G888" s="1">
        <v>46812</v>
      </c>
      <c r="H888" t="s">
        <v>2890</v>
      </c>
      <c r="I888" t="s">
        <v>2891</v>
      </c>
      <c r="J888" t="s">
        <v>21</v>
      </c>
      <c r="K888" t="s">
        <v>22</v>
      </c>
      <c r="L888" t="s">
        <v>85</v>
      </c>
      <c r="M888" t="s">
        <v>86</v>
      </c>
      <c r="N888" t="s">
        <v>87</v>
      </c>
      <c r="O888" t="s">
        <v>26</v>
      </c>
      <c r="P888" t="s">
        <v>70</v>
      </c>
      <c r="Q888" t="s">
        <v>231</v>
      </c>
      <c r="R888">
        <v>49452.67</v>
      </c>
      <c r="S888">
        <v>5</v>
      </c>
      <c r="T888">
        <v>0.2</v>
      </c>
      <c r="U888" t="str">
        <f>IF(Retail_data[[#This Row],[Sales]]&gt;30000,"High",IF(Retail_data[[#This Row],[Sales]]&gt;10000,"Medium","Low"))</f>
        <v>High</v>
      </c>
      <c r="V888" s="3">
        <f>Retail_data[[#This Row],[Profit]]/Retail_data[[#This Row],[Sales]]</f>
        <v>5.1505206897827768E-2</v>
      </c>
      <c r="W888">
        <v>2547.0700000000002</v>
      </c>
      <c r="X888" t="s">
        <v>48</v>
      </c>
    </row>
    <row r="889" spans="1:24" ht="13.8" x14ac:dyDescent="0.25">
      <c r="A889" t="s">
        <v>2892</v>
      </c>
      <c r="B889">
        <f>YEAR(Retail_data[[#This Row],[Order Date]])</f>
        <v>2028</v>
      </c>
      <c r="C889" t="str">
        <f>TEXT(Retail_data[[#This Row],[Order Date]],"mmmm")</f>
        <v>February</v>
      </c>
      <c r="D889">
        <f>MONTH(Retail_data[[#This Row],[Order Date]])</f>
        <v>2</v>
      </c>
      <c r="E889" t="str">
        <f>"Q"&amp;ROUNDUP(MONTH(Retail_data[[#This Row],[Order Date]])/3,0)</f>
        <v>Q1</v>
      </c>
      <c r="F889" s="1">
        <v>46809</v>
      </c>
      <c r="G889" s="1">
        <v>46813</v>
      </c>
      <c r="H889" t="s">
        <v>2893</v>
      </c>
      <c r="I889" t="s">
        <v>2894</v>
      </c>
      <c r="J889" t="s">
        <v>44</v>
      </c>
      <c r="K889" t="s">
        <v>22</v>
      </c>
      <c r="L889" t="s">
        <v>23</v>
      </c>
      <c r="M889" t="s">
        <v>24</v>
      </c>
      <c r="N889" t="s">
        <v>25</v>
      </c>
      <c r="O889" t="s">
        <v>57</v>
      </c>
      <c r="P889" t="s">
        <v>79</v>
      </c>
      <c r="Q889" t="s">
        <v>489</v>
      </c>
      <c r="R889">
        <v>34308.49</v>
      </c>
      <c r="S889">
        <v>2</v>
      </c>
      <c r="T889">
        <v>0</v>
      </c>
      <c r="U889" t="str">
        <f>IF(Retail_data[[#This Row],[Sales]]&gt;30000,"High",IF(Retail_data[[#This Row],[Sales]]&gt;10000,"Medium","Low"))</f>
        <v>High</v>
      </c>
      <c r="V889" s="3">
        <f>Retail_data[[#This Row],[Profit]]/Retail_data[[#This Row],[Sales]]</f>
        <v>0.21673818929367047</v>
      </c>
      <c r="W889">
        <v>7435.96</v>
      </c>
      <c r="X889" t="s">
        <v>29</v>
      </c>
    </row>
    <row r="890" spans="1:24" ht="13.8" x14ac:dyDescent="0.25">
      <c r="A890" t="s">
        <v>2895</v>
      </c>
      <c r="B890">
        <f>YEAR(Retail_data[[#This Row],[Order Date]])</f>
        <v>2028</v>
      </c>
      <c r="C890" t="str">
        <f>TEXT(Retail_data[[#This Row],[Order Date]],"mmmm")</f>
        <v>February</v>
      </c>
      <c r="D890">
        <f>MONTH(Retail_data[[#This Row],[Order Date]])</f>
        <v>2</v>
      </c>
      <c r="E890" t="str">
        <f>"Q"&amp;ROUNDUP(MONTH(Retail_data[[#This Row],[Order Date]])/3,0)</f>
        <v>Q1</v>
      </c>
      <c r="F890" s="1">
        <v>46810</v>
      </c>
      <c r="G890" s="1">
        <v>46814</v>
      </c>
      <c r="H890" t="s">
        <v>2896</v>
      </c>
      <c r="I890" t="s">
        <v>2897</v>
      </c>
      <c r="J890" t="s">
        <v>21</v>
      </c>
      <c r="K890" t="s">
        <v>22</v>
      </c>
      <c r="L890" t="s">
        <v>45</v>
      </c>
      <c r="M890" t="s">
        <v>45</v>
      </c>
      <c r="N890" t="s">
        <v>25</v>
      </c>
      <c r="O890" t="s">
        <v>37</v>
      </c>
      <c r="P890" t="s">
        <v>46</v>
      </c>
      <c r="Q890" t="s">
        <v>391</v>
      </c>
      <c r="R890">
        <v>11045.96</v>
      </c>
      <c r="S890">
        <v>3</v>
      </c>
      <c r="T890">
        <v>0.2</v>
      </c>
      <c r="U890" t="str">
        <f>IF(Retail_data[[#This Row],[Sales]]&gt;30000,"High",IF(Retail_data[[#This Row],[Sales]]&gt;10000,"Medium","Low"))</f>
        <v>Medium</v>
      </c>
      <c r="V890" s="3">
        <f>Retail_data[[#This Row],[Profit]]/Retail_data[[#This Row],[Sales]]</f>
        <v>8.7025482619889988E-2</v>
      </c>
      <c r="W890">
        <v>961.28</v>
      </c>
      <c r="X890" t="s">
        <v>40</v>
      </c>
    </row>
    <row r="891" spans="1:24" ht="13.8" x14ac:dyDescent="0.25">
      <c r="A891" t="s">
        <v>2898</v>
      </c>
      <c r="B891">
        <f>YEAR(Retail_data[[#This Row],[Order Date]])</f>
        <v>2028</v>
      </c>
      <c r="C891" t="str">
        <f>TEXT(Retail_data[[#This Row],[Order Date]],"mmmm")</f>
        <v>February</v>
      </c>
      <c r="D891">
        <f>MONTH(Retail_data[[#This Row],[Order Date]])</f>
        <v>2</v>
      </c>
      <c r="E891" t="str">
        <f>"Q"&amp;ROUNDUP(MONTH(Retail_data[[#This Row],[Order Date]])/3,0)</f>
        <v>Q1</v>
      </c>
      <c r="F891" s="1">
        <v>46811</v>
      </c>
      <c r="G891" s="1">
        <v>46815</v>
      </c>
      <c r="H891" t="s">
        <v>2899</v>
      </c>
      <c r="I891" t="s">
        <v>2900</v>
      </c>
      <c r="J891" t="s">
        <v>44</v>
      </c>
      <c r="K891" t="s">
        <v>22</v>
      </c>
      <c r="L891" t="s">
        <v>67</v>
      </c>
      <c r="M891" t="s">
        <v>68</v>
      </c>
      <c r="N891" t="s">
        <v>69</v>
      </c>
      <c r="O891" t="s">
        <v>26</v>
      </c>
      <c r="P891" t="s">
        <v>70</v>
      </c>
      <c r="Q891" t="s">
        <v>778</v>
      </c>
      <c r="R891">
        <v>43446.84</v>
      </c>
      <c r="S891">
        <v>6</v>
      </c>
      <c r="T891">
        <v>0.2</v>
      </c>
      <c r="U891" t="str">
        <f>IF(Retail_data[[#This Row],[Sales]]&gt;30000,"High",IF(Retail_data[[#This Row],[Sales]]&gt;10000,"Medium","Low"))</f>
        <v>High</v>
      </c>
      <c r="V891" s="3">
        <f>Retail_data[[#This Row],[Profit]]/Retail_data[[#This Row],[Sales]]</f>
        <v>1.4335680109301393E-2</v>
      </c>
      <c r="W891">
        <v>622.84</v>
      </c>
      <c r="X891" t="s">
        <v>81</v>
      </c>
    </row>
    <row r="892" spans="1:24" ht="13.8" x14ac:dyDescent="0.25">
      <c r="A892" t="s">
        <v>2901</v>
      </c>
      <c r="B892">
        <f>YEAR(Retail_data[[#This Row],[Order Date]])</f>
        <v>2028</v>
      </c>
      <c r="C892" t="str">
        <f>TEXT(Retail_data[[#This Row],[Order Date]],"mmmm")</f>
        <v>February</v>
      </c>
      <c r="D892">
        <f>MONTH(Retail_data[[#This Row],[Order Date]])</f>
        <v>2</v>
      </c>
      <c r="E892" t="str">
        <f>"Q"&amp;ROUNDUP(MONTH(Retail_data[[#This Row],[Order Date]])/3,0)</f>
        <v>Q1</v>
      </c>
      <c r="F892" s="1">
        <v>46812</v>
      </c>
      <c r="G892" s="1">
        <v>46816</v>
      </c>
      <c r="H892" t="s">
        <v>2902</v>
      </c>
      <c r="I892" t="s">
        <v>2903</v>
      </c>
      <c r="J892" t="s">
        <v>33</v>
      </c>
      <c r="K892" t="s">
        <v>22</v>
      </c>
      <c r="L892" t="s">
        <v>34</v>
      </c>
      <c r="M892" t="s">
        <v>35</v>
      </c>
      <c r="N892" t="s">
        <v>36</v>
      </c>
      <c r="O892" t="s">
        <v>57</v>
      </c>
      <c r="P892" t="s">
        <v>149</v>
      </c>
      <c r="Q892" t="s">
        <v>157</v>
      </c>
      <c r="R892">
        <v>28758.87</v>
      </c>
      <c r="S892">
        <v>4</v>
      </c>
      <c r="T892">
        <v>0.1</v>
      </c>
      <c r="U892" t="str">
        <f>IF(Retail_data[[#This Row],[Sales]]&gt;30000,"High",IF(Retail_data[[#This Row],[Sales]]&gt;10000,"Medium","Low"))</f>
        <v>Medium</v>
      </c>
      <c r="V892" s="3">
        <f>Retail_data[[#This Row],[Profit]]/Retail_data[[#This Row],[Sales]]</f>
        <v>0.15581071161697244</v>
      </c>
      <c r="W892">
        <v>4480.9399999999996</v>
      </c>
      <c r="X892" t="s">
        <v>81</v>
      </c>
    </row>
    <row r="893" spans="1:24" ht="13.8" x14ac:dyDescent="0.25">
      <c r="A893" t="s">
        <v>2904</v>
      </c>
      <c r="B893">
        <f>YEAR(Retail_data[[#This Row],[Order Date]])</f>
        <v>2028</v>
      </c>
      <c r="C893" t="str">
        <f>TEXT(Retail_data[[#This Row],[Order Date]],"mmmm")</f>
        <v>March</v>
      </c>
      <c r="D893">
        <f>MONTH(Retail_data[[#This Row],[Order Date]])</f>
        <v>3</v>
      </c>
      <c r="E893" t="str">
        <f>"Q"&amp;ROUNDUP(MONTH(Retail_data[[#This Row],[Order Date]])/3,0)</f>
        <v>Q1</v>
      </c>
      <c r="F893" s="1">
        <v>46813</v>
      </c>
      <c r="G893" s="1">
        <v>46817</v>
      </c>
      <c r="H893" t="s">
        <v>2905</v>
      </c>
      <c r="I893" t="s">
        <v>2906</v>
      </c>
      <c r="J893" t="s">
        <v>33</v>
      </c>
      <c r="K893" t="s">
        <v>22</v>
      </c>
      <c r="L893" t="s">
        <v>45</v>
      </c>
      <c r="M893" t="s">
        <v>45</v>
      </c>
      <c r="N893" t="s">
        <v>25</v>
      </c>
      <c r="O893" t="s">
        <v>26</v>
      </c>
      <c r="P893" t="s">
        <v>70</v>
      </c>
      <c r="Q893" t="s">
        <v>778</v>
      </c>
      <c r="R893">
        <v>14098.41</v>
      </c>
      <c r="S893">
        <v>1</v>
      </c>
      <c r="T893">
        <v>0</v>
      </c>
      <c r="U893" t="str">
        <f>IF(Retail_data[[#This Row],[Sales]]&gt;30000,"High",IF(Retail_data[[#This Row],[Sales]]&gt;10000,"Medium","Low"))</f>
        <v>Medium</v>
      </c>
      <c r="V893" s="3">
        <f>Retail_data[[#This Row],[Profit]]/Retail_data[[#This Row],[Sales]]</f>
        <v>0.10906690896349305</v>
      </c>
      <c r="W893">
        <v>1537.67</v>
      </c>
      <c r="X893" t="s">
        <v>81</v>
      </c>
    </row>
    <row r="894" spans="1:24" ht="13.8" x14ac:dyDescent="0.25">
      <c r="A894" t="s">
        <v>2907</v>
      </c>
      <c r="B894">
        <f>YEAR(Retail_data[[#This Row],[Order Date]])</f>
        <v>2028</v>
      </c>
      <c r="C894" t="str">
        <f>TEXT(Retail_data[[#This Row],[Order Date]],"mmmm")</f>
        <v>March</v>
      </c>
      <c r="D894">
        <f>MONTH(Retail_data[[#This Row],[Order Date]])</f>
        <v>3</v>
      </c>
      <c r="E894" t="str">
        <f>"Q"&amp;ROUNDUP(MONTH(Retail_data[[#This Row],[Order Date]])/3,0)</f>
        <v>Q1</v>
      </c>
      <c r="F894" s="1">
        <v>46814</v>
      </c>
      <c r="G894" s="1">
        <v>46818</v>
      </c>
      <c r="H894" t="s">
        <v>2908</v>
      </c>
      <c r="I894" t="s">
        <v>2909</v>
      </c>
      <c r="J894" t="s">
        <v>33</v>
      </c>
      <c r="K894" t="s">
        <v>22</v>
      </c>
      <c r="L894" t="s">
        <v>85</v>
      </c>
      <c r="M894" t="s">
        <v>86</v>
      </c>
      <c r="N894" t="s">
        <v>87</v>
      </c>
      <c r="O894" t="s">
        <v>57</v>
      </c>
      <c r="P894" t="s">
        <v>149</v>
      </c>
      <c r="Q894" t="s">
        <v>681</v>
      </c>
      <c r="R894">
        <v>22200.83</v>
      </c>
      <c r="S894">
        <v>1</v>
      </c>
      <c r="T894">
        <v>0.2</v>
      </c>
      <c r="U894" t="str">
        <f>IF(Retail_data[[#This Row],[Sales]]&gt;30000,"High",IF(Retail_data[[#This Row],[Sales]]&gt;10000,"Medium","Low"))</f>
        <v>Medium</v>
      </c>
      <c r="V894" s="3">
        <f>Retail_data[[#This Row],[Profit]]/Retail_data[[#This Row],[Sales]]</f>
        <v>0.12801278150411491</v>
      </c>
      <c r="W894">
        <v>2841.99</v>
      </c>
      <c r="X894" t="s">
        <v>29</v>
      </c>
    </row>
    <row r="895" spans="1:24" ht="13.8" x14ac:dyDescent="0.25">
      <c r="A895" t="s">
        <v>2910</v>
      </c>
      <c r="B895">
        <f>YEAR(Retail_data[[#This Row],[Order Date]])</f>
        <v>2028</v>
      </c>
      <c r="C895" t="str">
        <f>TEXT(Retail_data[[#This Row],[Order Date]],"mmmm")</f>
        <v>March</v>
      </c>
      <c r="D895">
        <f>MONTH(Retail_data[[#This Row],[Order Date]])</f>
        <v>3</v>
      </c>
      <c r="E895" t="str">
        <f>"Q"&amp;ROUNDUP(MONTH(Retail_data[[#This Row],[Order Date]])/3,0)</f>
        <v>Q1</v>
      </c>
      <c r="F895" s="1">
        <v>46815</v>
      </c>
      <c r="G895" s="1">
        <v>46819</v>
      </c>
      <c r="H895" t="s">
        <v>2911</v>
      </c>
      <c r="I895" t="s">
        <v>2912</v>
      </c>
      <c r="J895" t="s">
        <v>21</v>
      </c>
      <c r="K895" t="s">
        <v>22</v>
      </c>
      <c r="L895" t="s">
        <v>67</v>
      </c>
      <c r="M895" t="s">
        <v>68</v>
      </c>
      <c r="N895" t="s">
        <v>69</v>
      </c>
      <c r="O895" t="s">
        <v>57</v>
      </c>
      <c r="P895" t="s">
        <v>79</v>
      </c>
      <c r="Q895" t="s">
        <v>254</v>
      </c>
      <c r="R895">
        <v>31681.1</v>
      </c>
      <c r="S895">
        <v>8</v>
      </c>
      <c r="T895">
        <v>0</v>
      </c>
      <c r="U895" t="str">
        <f>IF(Retail_data[[#This Row],[Sales]]&gt;30000,"High",IF(Retail_data[[#This Row],[Sales]]&gt;10000,"Medium","Low"))</f>
        <v>High</v>
      </c>
      <c r="V895" s="3">
        <f>Retail_data[[#This Row],[Profit]]/Retail_data[[#This Row],[Sales]]</f>
        <v>5.9725830226854501E-2</v>
      </c>
      <c r="W895">
        <v>1892.18</v>
      </c>
      <c r="X895" t="s">
        <v>40</v>
      </c>
    </row>
    <row r="896" spans="1:24" ht="13.8" x14ac:dyDescent="0.25">
      <c r="A896" t="s">
        <v>2913</v>
      </c>
      <c r="B896">
        <f>YEAR(Retail_data[[#This Row],[Order Date]])</f>
        <v>2028</v>
      </c>
      <c r="C896" t="str">
        <f>TEXT(Retail_data[[#This Row],[Order Date]],"mmmm")</f>
        <v>March</v>
      </c>
      <c r="D896">
        <f>MONTH(Retail_data[[#This Row],[Order Date]])</f>
        <v>3</v>
      </c>
      <c r="E896" t="str">
        <f>"Q"&amp;ROUNDUP(MONTH(Retail_data[[#This Row],[Order Date]])/3,0)</f>
        <v>Q1</v>
      </c>
      <c r="F896" s="1">
        <v>46816</v>
      </c>
      <c r="G896" s="1">
        <v>46820</v>
      </c>
      <c r="H896" t="s">
        <v>2914</v>
      </c>
      <c r="I896" t="s">
        <v>2915</v>
      </c>
      <c r="J896" t="s">
        <v>21</v>
      </c>
      <c r="K896" t="s">
        <v>22</v>
      </c>
      <c r="L896" t="s">
        <v>67</v>
      </c>
      <c r="M896" t="s">
        <v>68</v>
      </c>
      <c r="N896" t="s">
        <v>69</v>
      </c>
      <c r="O896" t="s">
        <v>57</v>
      </c>
      <c r="P896" t="s">
        <v>79</v>
      </c>
      <c r="Q896" t="s">
        <v>645</v>
      </c>
      <c r="R896">
        <v>12923.09</v>
      </c>
      <c r="S896">
        <v>3</v>
      </c>
      <c r="T896">
        <v>0</v>
      </c>
      <c r="U896" t="str">
        <f>IF(Retail_data[[#This Row],[Sales]]&gt;30000,"High",IF(Retail_data[[#This Row],[Sales]]&gt;10000,"Medium","Low"))</f>
        <v>Medium</v>
      </c>
      <c r="V896" s="3">
        <f>Retail_data[[#This Row],[Profit]]/Retail_data[[#This Row],[Sales]]</f>
        <v>7.4226829651422382E-2</v>
      </c>
      <c r="W896">
        <v>959.24</v>
      </c>
      <c r="X896" t="s">
        <v>29</v>
      </c>
    </row>
    <row r="897" spans="1:24" ht="13.8" x14ac:dyDescent="0.25">
      <c r="A897" t="s">
        <v>2916</v>
      </c>
      <c r="B897">
        <f>YEAR(Retail_data[[#This Row],[Order Date]])</f>
        <v>2028</v>
      </c>
      <c r="C897" t="str">
        <f>TEXT(Retail_data[[#This Row],[Order Date]],"mmmm")</f>
        <v>March</v>
      </c>
      <c r="D897">
        <f>MONTH(Retail_data[[#This Row],[Order Date]])</f>
        <v>3</v>
      </c>
      <c r="E897" t="str">
        <f>"Q"&amp;ROUNDUP(MONTH(Retail_data[[#This Row],[Order Date]])/3,0)</f>
        <v>Q1</v>
      </c>
      <c r="F897" s="1">
        <v>46817</v>
      </c>
      <c r="G897" s="1">
        <v>46821</v>
      </c>
      <c r="H897" t="s">
        <v>2917</v>
      </c>
      <c r="I897" t="s">
        <v>2918</v>
      </c>
      <c r="J897" t="s">
        <v>21</v>
      </c>
      <c r="K897" t="s">
        <v>22</v>
      </c>
      <c r="L897" t="s">
        <v>67</v>
      </c>
      <c r="M897" t="s">
        <v>68</v>
      </c>
      <c r="N897" t="s">
        <v>69</v>
      </c>
      <c r="O897" t="s">
        <v>26</v>
      </c>
      <c r="P897" t="s">
        <v>27</v>
      </c>
      <c r="Q897" t="s">
        <v>577</v>
      </c>
      <c r="R897">
        <v>622.19000000000005</v>
      </c>
      <c r="S897">
        <v>2</v>
      </c>
      <c r="T897">
        <v>0.1</v>
      </c>
      <c r="U897" t="str">
        <f>IF(Retail_data[[#This Row],[Sales]]&gt;30000,"High",IF(Retail_data[[#This Row],[Sales]]&gt;10000,"Medium","Low"))</f>
        <v>Low</v>
      </c>
      <c r="V897" s="3">
        <f>Retail_data[[#This Row],[Profit]]/Retail_data[[#This Row],[Sales]]</f>
        <v>0.16594609363699189</v>
      </c>
      <c r="W897">
        <v>103.25</v>
      </c>
      <c r="X897" t="s">
        <v>48</v>
      </c>
    </row>
    <row r="898" spans="1:24" ht="13.8" x14ac:dyDescent="0.25">
      <c r="A898" t="s">
        <v>2919</v>
      </c>
      <c r="B898">
        <f>YEAR(Retail_data[[#This Row],[Order Date]])</f>
        <v>2028</v>
      </c>
      <c r="C898" t="str">
        <f>TEXT(Retail_data[[#This Row],[Order Date]],"mmmm")</f>
        <v>March</v>
      </c>
      <c r="D898">
        <f>MONTH(Retail_data[[#This Row],[Order Date]])</f>
        <v>3</v>
      </c>
      <c r="E898" t="str">
        <f>"Q"&amp;ROUNDUP(MONTH(Retail_data[[#This Row],[Order Date]])/3,0)</f>
        <v>Q1</v>
      </c>
      <c r="F898" s="1">
        <v>46818</v>
      </c>
      <c r="G898" s="1">
        <v>46822</v>
      </c>
      <c r="H898" t="s">
        <v>2920</v>
      </c>
      <c r="I898" t="s">
        <v>2921</v>
      </c>
      <c r="J898" t="s">
        <v>33</v>
      </c>
      <c r="K898" t="s">
        <v>22</v>
      </c>
      <c r="L898" t="s">
        <v>23</v>
      </c>
      <c r="M898" t="s">
        <v>24</v>
      </c>
      <c r="N898" t="s">
        <v>25</v>
      </c>
      <c r="O898" t="s">
        <v>57</v>
      </c>
      <c r="P898" t="s">
        <v>149</v>
      </c>
      <c r="Q898" t="s">
        <v>774</v>
      </c>
      <c r="R898">
        <v>45572.2</v>
      </c>
      <c r="S898">
        <v>4</v>
      </c>
      <c r="T898">
        <v>0.3</v>
      </c>
      <c r="U898" t="str">
        <f>IF(Retail_data[[#This Row],[Sales]]&gt;30000,"High",IF(Retail_data[[#This Row],[Sales]]&gt;10000,"Medium","Low"))</f>
        <v>High</v>
      </c>
      <c r="V898" s="3">
        <f>Retail_data[[#This Row],[Profit]]/Retail_data[[#This Row],[Sales]]</f>
        <v>1.9868472445920979E-2</v>
      </c>
      <c r="W898">
        <v>905.45</v>
      </c>
      <c r="X898" t="s">
        <v>81</v>
      </c>
    </row>
    <row r="899" spans="1:24" ht="13.8" x14ac:dyDescent="0.25">
      <c r="A899" t="s">
        <v>2922</v>
      </c>
      <c r="B899">
        <f>YEAR(Retail_data[[#This Row],[Order Date]])</f>
        <v>2028</v>
      </c>
      <c r="C899" t="str">
        <f>TEXT(Retail_data[[#This Row],[Order Date]],"mmmm")</f>
        <v>March</v>
      </c>
      <c r="D899">
        <f>MONTH(Retail_data[[#This Row],[Order Date]])</f>
        <v>3</v>
      </c>
      <c r="E899" t="str">
        <f>"Q"&amp;ROUNDUP(MONTH(Retail_data[[#This Row],[Order Date]])/3,0)</f>
        <v>Q1</v>
      </c>
      <c r="F899" s="1">
        <v>46819</v>
      </c>
      <c r="G899" s="1">
        <v>46823</v>
      </c>
      <c r="H899" t="s">
        <v>2923</v>
      </c>
      <c r="I899" t="s">
        <v>2924</v>
      </c>
      <c r="J899" t="s">
        <v>33</v>
      </c>
      <c r="K899" t="s">
        <v>22</v>
      </c>
      <c r="L899" t="s">
        <v>67</v>
      </c>
      <c r="M899" t="s">
        <v>68</v>
      </c>
      <c r="N899" t="s">
        <v>69</v>
      </c>
      <c r="O899" t="s">
        <v>26</v>
      </c>
      <c r="P899" t="s">
        <v>92</v>
      </c>
      <c r="Q899" t="s">
        <v>653</v>
      </c>
      <c r="R899">
        <v>8115.56</v>
      </c>
      <c r="S899">
        <v>1</v>
      </c>
      <c r="T899">
        <v>0.1</v>
      </c>
      <c r="U899" t="str">
        <f>IF(Retail_data[[#This Row],[Sales]]&gt;30000,"High",IF(Retail_data[[#This Row],[Sales]]&gt;10000,"Medium","Low"))</f>
        <v>Low</v>
      </c>
      <c r="V899" s="3">
        <f>Retail_data[[#This Row],[Profit]]/Retail_data[[#This Row],[Sales]]</f>
        <v>5.9573214910616151E-2</v>
      </c>
      <c r="W899">
        <v>483.47</v>
      </c>
      <c r="X899" t="s">
        <v>81</v>
      </c>
    </row>
    <row r="900" spans="1:24" ht="13.8" x14ac:dyDescent="0.25">
      <c r="A900" t="s">
        <v>2925</v>
      </c>
      <c r="B900">
        <f>YEAR(Retail_data[[#This Row],[Order Date]])</f>
        <v>2028</v>
      </c>
      <c r="C900" t="str">
        <f>TEXT(Retail_data[[#This Row],[Order Date]],"mmmm")</f>
        <v>March</v>
      </c>
      <c r="D900">
        <f>MONTH(Retail_data[[#This Row],[Order Date]])</f>
        <v>3</v>
      </c>
      <c r="E900" t="str">
        <f>"Q"&amp;ROUNDUP(MONTH(Retail_data[[#This Row],[Order Date]])/3,0)</f>
        <v>Q1</v>
      </c>
      <c r="F900" s="1">
        <v>46820</v>
      </c>
      <c r="G900" s="1">
        <v>46824</v>
      </c>
      <c r="H900" t="s">
        <v>2926</v>
      </c>
      <c r="I900" t="s">
        <v>2927</v>
      </c>
      <c r="J900" t="s">
        <v>33</v>
      </c>
      <c r="K900" t="s">
        <v>22</v>
      </c>
      <c r="L900" t="s">
        <v>45</v>
      </c>
      <c r="M900" t="s">
        <v>45</v>
      </c>
      <c r="N900" t="s">
        <v>25</v>
      </c>
      <c r="O900" t="s">
        <v>57</v>
      </c>
      <c r="P900" t="s">
        <v>79</v>
      </c>
      <c r="Q900" t="s">
        <v>258</v>
      </c>
      <c r="R900">
        <v>5635.95</v>
      </c>
      <c r="S900">
        <v>4</v>
      </c>
      <c r="T900">
        <v>0.2</v>
      </c>
      <c r="U900" t="str">
        <f>IF(Retail_data[[#This Row],[Sales]]&gt;30000,"High",IF(Retail_data[[#This Row],[Sales]]&gt;10000,"Medium","Low"))</f>
        <v>Low</v>
      </c>
      <c r="V900" s="3">
        <f>Retail_data[[#This Row],[Profit]]/Retail_data[[#This Row],[Sales]]</f>
        <v>4.2842821529644519E-2</v>
      </c>
      <c r="W900">
        <v>241.46</v>
      </c>
      <c r="X900" t="s">
        <v>40</v>
      </c>
    </row>
    <row r="901" spans="1:24" ht="13.8" x14ac:dyDescent="0.25">
      <c r="A901" t="s">
        <v>2928</v>
      </c>
      <c r="B901">
        <f>YEAR(Retail_data[[#This Row],[Order Date]])</f>
        <v>2028</v>
      </c>
      <c r="C901" t="str">
        <f>TEXT(Retail_data[[#This Row],[Order Date]],"mmmm")</f>
        <v>March</v>
      </c>
      <c r="D901">
        <f>MONTH(Retail_data[[#This Row],[Order Date]])</f>
        <v>3</v>
      </c>
      <c r="E901" t="str">
        <f>"Q"&amp;ROUNDUP(MONTH(Retail_data[[#This Row],[Order Date]])/3,0)</f>
        <v>Q1</v>
      </c>
      <c r="F901" s="1">
        <v>46821</v>
      </c>
      <c r="G901" s="1">
        <v>46825</v>
      </c>
      <c r="H901" t="s">
        <v>2929</v>
      </c>
      <c r="I901" t="s">
        <v>2930</v>
      </c>
      <c r="J901" t="s">
        <v>33</v>
      </c>
      <c r="K901" t="s">
        <v>22</v>
      </c>
      <c r="L901" t="s">
        <v>34</v>
      </c>
      <c r="M901" t="s">
        <v>35</v>
      </c>
      <c r="N901" t="s">
        <v>36</v>
      </c>
      <c r="O901" t="s">
        <v>37</v>
      </c>
      <c r="P901" t="s">
        <v>38</v>
      </c>
      <c r="Q901" t="s">
        <v>595</v>
      </c>
      <c r="R901">
        <v>21688.880000000001</v>
      </c>
      <c r="S901">
        <v>1</v>
      </c>
      <c r="T901">
        <v>0</v>
      </c>
      <c r="U901" t="str">
        <f>IF(Retail_data[[#This Row],[Sales]]&gt;30000,"High",IF(Retail_data[[#This Row],[Sales]]&gt;10000,"Medium","Low"))</f>
        <v>Medium</v>
      </c>
      <c r="V901" s="3">
        <f>Retail_data[[#This Row],[Profit]]/Retail_data[[#This Row],[Sales]]</f>
        <v>8.7898499138729158E-2</v>
      </c>
      <c r="W901">
        <v>1906.42</v>
      </c>
      <c r="X901" t="s">
        <v>40</v>
      </c>
    </row>
    <row r="902" spans="1:24" ht="13.8" x14ac:dyDescent="0.25">
      <c r="A902" t="s">
        <v>2931</v>
      </c>
      <c r="B902">
        <f>YEAR(Retail_data[[#This Row],[Order Date]])</f>
        <v>2028</v>
      </c>
      <c r="C902" t="str">
        <f>TEXT(Retail_data[[#This Row],[Order Date]],"mmmm")</f>
        <v>March</v>
      </c>
      <c r="D902">
        <f>MONTH(Retail_data[[#This Row],[Order Date]])</f>
        <v>3</v>
      </c>
      <c r="E902" t="str">
        <f>"Q"&amp;ROUNDUP(MONTH(Retail_data[[#This Row],[Order Date]])/3,0)</f>
        <v>Q1</v>
      </c>
      <c r="F902" s="1">
        <v>46822</v>
      </c>
      <c r="G902" s="1">
        <v>46826</v>
      </c>
      <c r="H902" t="s">
        <v>2932</v>
      </c>
      <c r="I902" t="s">
        <v>2933</v>
      </c>
      <c r="J902" t="s">
        <v>33</v>
      </c>
      <c r="K902" t="s">
        <v>22</v>
      </c>
      <c r="L902" t="s">
        <v>23</v>
      </c>
      <c r="M902" t="s">
        <v>24</v>
      </c>
      <c r="N902" t="s">
        <v>25</v>
      </c>
      <c r="O902" t="s">
        <v>26</v>
      </c>
      <c r="P902" t="s">
        <v>27</v>
      </c>
      <c r="Q902" t="s">
        <v>347</v>
      </c>
      <c r="R902">
        <v>13145.84</v>
      </c>
      <c r="S902">
        <v>1</v>
      </c>
      <c r="T902">
        <v>0.2</v>
      </c>
      <c r="U902" t="str">
        <f>IF(Retail_data[[#This Row],[Sales]]&gt;30000,"High",IF(Retail_data[[#This Row],[Sales]]&gt;10000,"Medium","Low"))</f>
        <v>Medium</v>
      </c>
      <c r="V902" s="3">
        <f>Retail_data[[#This Row],[Profit]]/Retail_data[[#This Row],[Sales]]</f>
        <v>3.8864766344334029E-2</v>
      </c>
      <c r="W902">
        <v>510.91</v>
      </c>
      <c r="X902" t="s">
        <v>29</v>
      </c>
    </row>
    <row r="903" spans="1:24" ht="13.8" x14ac:dyDescent="0.25">
      <c r="A903" t="s">
        <v>2934</v>
      </c>
      <c r="B903">
        <f>YEAR(Retail_data[[#This Row],[Order Date]])</f>
        <v>2028</v>
      </c>
      <c r="C903" t="str">
        <f>TEXT(Retail_data[[#This Row],[Order Date]],"mmmm")</f>
        <v>March</v>
      </c>
      <c r="D903">
        <f>MONTH(Retail_data[[#This Row],[Order Date]])</f>
        <v>3</v>
      </c>
      <c r="E903" t="str">
        <f>"Q"&amp;ROUNDUP(MONTH(Retail_data[[#This Row],[Order Date]])/3,0)</f>
        <v>Q1</v>
      </c>
      <c r="F903" s="1">
        <v>46823</v>
      </c>
      <c r="G903" s="1">
        <v>46827</v>
      </c>
      <c r="H903" t="s">
        <v>2935</v>
      </c>
      <c r="I903" t="s">
        <v>2936</v>
      </c>
      <c r="J903" t="s">
        <v>33</v>
      </c>
      <c r="K903" t="s">
        <v>22</v>
      </c>
      <c r="L903" t="s">
        <v>34</v>
      </c>
      <c r="M903" t="s">
        <v>35</v>
      </c>
      <c r="N903" t="s">
        <v>36</v>
      </c>
      <c r="O903" t="s">
        <v>37</v>
      </c>
      <c r="P903" t="s">
        <v>52</v>
      </c>
      <c r="Q903" t="s">
        <v>1344</v>
      </c>
      <c r="R903">
        <v>46854.5</v>
      </c>
      <c r="S903">
        <v>5</v>
      </c>
      <c r="T903">
        <v>0</v>
      </c>
      <c r="U903" t="str">
        <f>IF(Retail_data[[#This Row],[Sales]]&gt;30000,"High",IF(Retail_data[[#This Row],[Sales]]&gt;10000,"Medium","Low"))</f>
        <v>High</v>
      </c>
      <c r="V903" s="3">
        <f>Retail_data[[#This Row],[Profit]]/Retail_data[[#This Row],[Sales]]</f>
        <v>7.1110992540737814E-2</v>
      </c>
      <c r="W903">
        <v>3331.87</v>
      </c>
      <c r="X903" t="s">
        <v>29</v>
      </c>
    </row>
    <row r="904" spans="1:24" ht="13.8" x14ac:dyDescent="0.25">
      <c r="A904" t="s">
        <v>2937</v>
      </c>
      <c r="B904">
        <f>YEAR(Retail_data[[#This Row],[Order Date]])</f>
        <v>2028</v>
      </c>
      <c r="C904" t="str">
        <f>TEXT(Retail_data[[#This Row],[Order Date]],"mmmm")</f>
        <v>March</v>
      </c>
      <c r="D904">
        <f>MONTH(Retail_data[[#This Row],[Order Date]])</f>
        <v>3</v>
      </c>
      <c r="E904" t="str">
        <f>"Q"&amp;ROUNDUP(MONTH(Retail_data[[#This Row],[Order Date]])/3,0)</f>
        <v>Q1</v>
      </c>
      <c r="F904" s="1">
        <v>46824</v>
      </c>
      <c r="G904" s="1">
        <v>46828</v>
      </c>
      <c r="H904" t="s">
        <v>2938</v>
      </c>
      <c r="I904" t="s">
        <v>2939</v>
      </c>
      <c r="J904" t="s">
        <v>21</v>
      </c>
      <c r="K904" t="s">
        <v>22</v>
      </c>
      <c r="L904" t="s">
        <v>34</v>
      </c>
      <c r="M904" t="s">
        <v>35</v>
      </c>
      <c r="N904" t="s">
        <v>36</v>
      </c>
      <c r="O904" t="s">
        <v>26</v>
      </c>
      <c r="P904" t="s">
        <v>70</v>
      </c>
      <c r="Q904" t="s">
        <v>180</v>
      </c>
      <c r="R904">
        <v>2612.29</v>
      </c>
      <c r="S904">
        <v>8</v>
      </c>
      <c r="T904">
        <v>0.1</v>
      </c>
      <c r="U904" t="str">
        <f>IF(Retail_data[[#This Row],[Sales]]&gt;30000,"High",IF(Retail_data[[#This Row],[Sales]]&gt;10000,"Medium","Low"))</f>
        <v>Low</v>
      </c>
      <c r="V904" s="3">
        <f>Retail_data[[#This Row],[Profit]]/Retail_data[[#This Row],[Sales]]</f>
        <v>0.24912241749576042</v>
      </c>
      <c r="W904">
        <v>650.78</v>
      </c>
      <c r="X904" t="s">
        <v>81</v>
      </c>
    </row>
    <row r="905" spans="1:24" ht="13.8" x14ac:dyDescent="0.25">
      <c r="A905" t="s">
        <v>2940</v>
      </c>
      <c r="B905">
        <f>YEAR(Retail_data[[#This Row],[Order Date]])</f>
        <v>2028</v>
      </c>
      <c r="C905" t="str">
        <f>TEXT(Retail_data[[#This Row],[Order Date]],"mmmm")</f>
        <v>March</v>
      </c>
      <c r="D905">
        <f>MONTH(Retail_data[[#This Row],[Order Date]])</f>
        <v>3</v>
      </c>
      <c r="E905" t="str">
        <f>"Q"&amp;ROUNDUP(MONTH(Retail_data[[#This Row],[Order Date]])/3,0)</f>
        <v>Q1</v>
      </c>
      <c r="F905" s="1">
        <v>46825</v>
      </c>
      <c r="G905" s="1">
        <v>46829</v>
      </c>
      <c r="H905" t="s">
        <v>2941</v>
      </c>
      <c r="I905" t="s">
        <v>2942</v>
      </c>
      <c r="J905" t="s">
        <v>21</v>
      </c>
      <c r="K905" t="s">
        <v>22</v>
      </c>
      <c r="L905" t="s">
        <v>85</v>
      </c>
      <c r="M905" t="s">
        <v>86</v>
      </c>
      <c r="N905" t="s">
        <v>87</v>
      </c>
      <c r="O905" t="s">
        <v>37</v>
      </c>
      <c r="P905" t="s">
        <v>52</v>
      </c>
      <c r="Q905" t="s">
        <v>2160</v>
      </c>
      <c r="R905">
        <v>11294.02</v>
      </c>
      <c r="S905">
        <v>6</v>
      </c>
      <c r="T905">
        <v>0.1</v>
      </c>
      <c r="U905" t="str">
        <f>IF(Retail_data[[#This Row],[Sales]]&gt;30000,"High",IF(Retail_data[[#This Row],[Sales]]&gt;10000,"Medium","Low"))</f>
        <v>Medium</v>
      </c>
      <c r="V905" s="3">
        <f>Retail_data[[#This Row],[Profit]]/Retail_data[[#This Row],[Sales]]</f>
        <v>0.162546197013995</v>
      </c>
      <c r="W905">
        <v>1835.8</v>
      </c>
      <c r="X905" t="s">
        <v>29</v>
      </c>
    </row>
    <row r="906" spans="1:24" ht="13.8" x14ac:dyDescent="0.25">
      <c r="A906" t="s">
        <v>2943</v>
      </c>
      <c r="B906">
        <f>YEAR(Retail_data[[#This Row],[Order Date]])</f>
        <v>2028</v>
      </c>
      <c r="C906" t="str">
        <f>TEXT(Retail_data[[#This Row],[Order Date]],"mmmm")</f>
        <v>March</v>
      </c>
      <c r="D906">
        <f>MONTH(Retail_data[[#This Row],[Order Date]])</f>
        <v>3</v>
      </c>
      <c r="E906" t="str">
        <f>"Q"&amp;ROUNDUP(MONTH(Retail_data[[#This Row],[Order Date]])/3,0)</f>
        <v>Q1</v>
      </c>
      <c r="F906" s="1">
        <v>46826</v>
      </c>
      <c r="G906" s="1">
        <v>46830</v>
      </c>
      <c r="H906" t="s">
        <v>2944</v>
      </c>
      <c r="I906" t="s">
        <v>2945</v>
      </c>
      <c r="J906" t="s">
        <v>21</v>
      </c>
      <c r="K906" t="s">
        <v>22</v>
      </c>
      <c r="L906" t="s">
        <v>85</v>
      </c>
      <c r="M906" t="s">
        <v>86</v>
      </c>
      <c r="N906" t="s">
        <v>87</v>
      </c>
      <c r="O906" t="s">
        <v>37</v>
      </c>
      <c r="P906" t="s">
        <v>46</v>
      </c>
      <c r="Q906" t="s">
        <v>1651</v>
      </c>
      <c r="R906">
        <v>24583.87</v>
      </c>
      <c r="S906">
        <v>4</v>
      </c>
      <c r="T906">
        <v>0.3</v>
      </c>
      <c r="U906" t="str">
        <f>IF(Retail_data[[#This Row],[Sales]]&gt;30000,"High",IF(Retail_data[[#This Row],[Sales]]&gt;10000,"Medium","Low"))</f>
        <v>Medium</v>
      </c>
      <c r="V906" s="3">
        <f>Retail_data[[#This Row],[Profit]]/Retail_data[[#This Row],[Sales]]</f>
        <v>-1.9513607906322318E-2</v>
      </c>
      <c r="W906">
        <v>-479.72</v>
      </c>
      <c r="X906" t="s">
        <v>81</v>
      </c>
    </row>
    <row r="907" spans="1:24" ht="13.8" x14ac:dyDescent="0.25">
      <c r="A907" t="s">
        <v>2946</v>
      </c>
      <c r="B907">
        <f>YEAR(Retail_data[[#This Row],[Order Date]])</f>
        <v>2028</v>
      </c>
      <c r="C907" t="str">
        <f>TEXT(Retail_data[[#This Row],[Order Date]],"mmmm")</f>
        <v>March</v>
      </c>
      <c r="D907">
        <f>MONTH(Retail_data[[#This Row],[Order Date]])</f>
        <v>3</v>
      </c>
      <c r="E907" t="str">
        <f>"Q"&amp;ROUNDUP(MONTH(Retail_data[[#This Row],[Order Date]])/3,0)</f>
        <v>Q1</v>
      </c>
      <c r="F907" s="1">
        <v>46827</v>
      </c>
      <c r="G907" s="1">
        <v>46831</v>
      </c>
      <c r="H907" t="s">
        <v>2947</v>
      </c>
      <c r="I907" t="s">
        <v>2948</v>
      </c>
      <c r="J907" t="s">
        <v>44</v>
      </c>
      <c r="K907" t="s">
        <v>22</v>
      </c>
      <c r="L907" t="s">
        <v>45</v>
      </c>
      <c r="M907" t="s">
        <v>45</v>
      </c>
      <c r="N907" t="s">
        <v>25</v>
      </c>
      <c r="O907" t="s">
        <v>57</v>
      </c>
      <c r="P907" t="s">
        <v>79</v>
      </c>
      <c r="Q907" t="s">
        <v>141</v>
      </c>
      <c r="R907">
        <v>18961.25</v>
      </c>
      <c r="S907">
        <v>2</v>
      </c>
      <c r="T907">
        <v>0.3</v>
      </c>
      <c r="U907" t="str">
        <f>IF(Retail_data[[#This Row],[Sales]]&gt;30000,"High",IF(Retail_data[[#This Row],[Sales]]&gt;10000,"Medium","Low"))</f>
        <v>Medium</v>
      </c>
      <c r="V907" s="3">
        <f>Retail_data[[#This Row],[Profit]]/Retail_data[[#This Row],[Sales]]</f>
        <v>-4.0216230470037577E-2</v>
      </c>
      <c r="W907">
        <v>-762.55</v>
      </c>
      <c r="X907" t="s">
        <v>48</v>
      </c>
    </row>
    <row r="908" spans="1:24" ht="13.8" x14ac:dyDescent="0.25">
      <c r="A908" t="s">
        <v>2949</v>
      </c>
      <c r="B908">
        <f>YEAR(Retail_data[[#This Row],[Order Date]])</f>
        <v>2028</v>
      </c>
      <c r="C908" t="str">
        <f>TEXT(Retail_data[[#This Row],[Order Date]],"mmmm")</f>
        <v>March</v>
      </c>
      <c r="D908">
        <f>MONTH(Retail_data[[#This Row],[Order Date]])</f>
        <v>3</v>
      </c>
      <c r="E908" t="str">
        <f>"Q"&amp;ROUNDUP(MONTH(Retail_data[[#This Row],[Order Date]])/3,0)</f>
        <v>Q1</v>
      </c>
      <c r="F908" s="1">
        <v>46828</v>
      </c>
      <c r="G908" s="1">
        <v>46832</v>
      </c>
      <c r="H908" t="s">
        <v>2950</v>
      </c>
      <c r="I908" t="s">
        <v>2951</v>
      </c>
      <c r="J908" t="s">
        <v>21</v>
      </c>
      <c r="K908" t="s">
        <v>22</v>
      </c>
      <c r="L908" t="s">
        <v>34</v>
      </c>
      <c r="M908" t="s">
        <v>35</v>
      </c>
      <c r="N908" t="s">
        <v>36</v>
      </c>
      <c r="O908" t="s">
        <v>37</v>
      </c>
      <c r="P908" t="s">
        <v>52</v>
      </c>
      <c r="Q908" t="s">
        <v>335</v>
      </c>
      <c r="R908">
        <v>40100.589999999997</v>
      </c>
      <c r="S908">
        <v>5</v>
      </c>
      <c r="T908">
        <v>0.3</v>
      </c>
      <c r="U908" t="str">
        <f>IF(Retail_data[[#This Row],[Sales]]&gt;30000,"High",IF(Retail_data[[#This Row],[Sales]]&gt;10000,"Medium","Low"))</f>
        <v>High</v>
      </c>
      <c r="V908" s="3">
        <f>Retail_data[[#This Row],[Profit]]/Retail_data[[#This Row],[Sales]]</f>
        <v>-5.1996491822190155E-2</v>
      </c>
      <c r="W908">
        <v>-2085.09</v>
      </c>
      <c r="X908" t="s">
        <v>29</v>
      </c>
    </row>
    <row r="909" spans="1:24" ht="13.8" x14ac:dyDescent="0.25">
      <c r="A909" t="s">
        <v>2952</v>
      </c>
      <c r="B909">
        <f>YEAR(Retail_data[[#This Row],[Order Date]])</f>
        <v>2028</v>
      </c>
      <c r="C909" t="str">
        <f>TEXT(Retail_data[[#This Row],[Order Date]],"mmmm")</f>
        <v>March</v>
      </c>
      <c r="D909">
        <f>MONTH(Retail_data[[#This Row],[Order Date]])</f>
        <v>3</v>
      </c>
      <c r="E909" t="str">
        <f>"Q"&amp;ROUNDUP(MONTH(Retail_data[[#This Row],[Order Date]])/3,0)</f>
        <v>Q1</v>
      </c>
      <c r="F909" s="1">
        <v>46829</v>
      </c>
      <c r="G909" s="1">
        <v>46833</v>
      </c>
      <c r="H909" t="s">
        <v>2953</v>
      </c>
      <c r="I909" t="s">
        <v>2954</v>
      </c>
      <c r="J909" t="s">
        <v>33</v>
      </c>
      <c r="K909" t="s">
        <v>22</v>
      </c>
      <c r="L909" t="s">
        <v>34</v>
      </c>
      <c r="M909" t="s">
        <v>35</v>
      </c>
      <c r="N909" t="s">
        <v>36</v>
      </c>
      <c r="O909" t="s">
        <v>57</v>
      </c>
      <c r="P909" t="s">
        <v>58</v>
      </c>
      <c r="Q909" t="s">
        <v>896</v>
      </c>
      <c r="R909">
        <v>18570.330000000002</v>
      </c>
      <c r="S909">
        <v>8</v>
      </c>
      <c r="T909">
        <v>0.3</v>
      </c>
      <c r="U909" t="str">
        <f>IF(Retail_data[[#This Row],[Sales]]&gt;30000,"High",IF(Retail_data[[#This Row],[Sales]]&gt;10000,"Medium","Low"))</f>
        <v>Medium</v>
      </c>
      <c r="V909" s="3">
        <f>Retail_data[[#This Row],[Profit]]/Retail_data[[#This Row],[Sales]]</f>
        <v>9.4405430598163836E-2</v>
      </c>
      <c r="W909">
        <v>1753.14</v>
      </c>
      <c r="X909" t="s">
        <v>81</v>
      </c>
    </row>
    <row r="910" spans="1:24" ht="13.8" x14ac:dyDescent="0.25">
      <c r="A910" t="s">
        <v>2955</v>
      </c>
      <c r="B910">
        <f>YEAR(Retail_data[[#This Row],[Order Date]])</f>
        <v>2028</v>
      </c>
      <c r="C910" t="str">
        <f>TEXT(Retail_data[[#This Row],[Order Date]],"mmmm")</f>
        <v>March</v>
      </c>
      <c r="D910">
        <f>MONTH(Retail_data[[#This Row],[Order Date]])</f>
        <v>3</v>
      </c>
      <c r="E910" t="str">
        <f>"Q"&amp;ROUNDUP(MONTH(Retail_data[[#This Row],[Order Date]])/3,0)</f>
        <v>Q1</v>
      </c>
      <c r="F910" s="1">
        <v>46830</v>
      </c>
      <c r="G910" s="1">
        <v>46834</v>
      </c>
      <c r="H910" t="s">
        <v>2956</v>
      </c>
      <c r="I910" t="s">
        <v>2957</v>
      </c>
      <c r="J910" t="s">
        <v>44</v>
      </c>
      <c r="K910" t="s">
        <v>22</v>
      </c>
      <c r="L910" t="s">
        <v>23</v>
      </c>
      <c r="M910" t="s">
        <v>24</v>
      </c>
      <c r="N910" t="s">
        <v>25</v>
      </c>
      <c r="O910" t="s">
        <v>26</v>
      </c>
      <c r="P910" t="s">
        <v>27</v>
      </c>
      <c r="Q910" t="s">
        <v>839</v>
      </c>
      <c r="R910">
        <v>37869.949999999997</v>
      </c>
      <c r="S910">
        <v>1</v>
      </c>
      <c r="T910">
        <v>0</v>
      </c>
      <c r="U910" t="str">
        <f>IF(Retail_data[[#This Row],[Sales]]&gt;30000,"High",IF(Retail_data[[#This Row],[Sales]]&gt;10000,"Medium","Low"))</f>
        <v>High</v>
      </c>
      <c r="V910" s="3">
        <f>Retail_data[[#This Row],[Profit]]/Retail_data[[#This Row],[Sales]]</f>
        <v>0.27696392522303309</v>
      </c>
      <c r="W910">
        <v>10488.61</v>
      </c>
      <c r="X910" t="s">
        <v>81</v>
      </c>
    </row>
    <row r="911" spans="1:24" ht="13.8" x14ac:dyDescent="0.25">
      <c r="A911" t="s">
        <v>2958</v>
      </c>
      <c r="B911">
        <f>YEAR(Retail_data[[#This Row],[Order Date]])</f>
        <v>2028</v>
      </c>
      <c r="C911" t="str">
        <f>TEXT(Retail_data[[#This Row],[Order Date]],"mmmm")</f>
        <v>March</v>
      </c>
      <c r="D911">
        <f>MONTH(Retail_data[[#This Row],[Order Date]])</f>
        <v>3</v>
      </c>
      <c r="E911" t="str">
        <f>"Q"&amp;ROUNDUP(MONTH(Retail_data[[#This Row],[Order Date]])/3,0)</f>
        <v>Q1</v>
      </c>
      <c r="F911" s="1">
        <v>46831</v>
      </c>
      <c r="G911" s="1">
        <v>46835</v>
      </c>
      <c r="H911" t="s">
        <v>2959</v>
      </c>
      <c r="I911" t="s">
        <v>2960</v>
      </c>
      <c r="J911" t="s">
        <v>33</v>
      </c>
      <c r="K911" t="s">
        <v>22</v>
      </c>
      <c r="L911" t="s">
        <v>45</v>
      </c>
      <c r="M911" t="s">
        <v>45</v>
      </c>
      <c r="N911" t="s">
        <v>25</v>
      </c>
      <c r="O911" t="s">
        <v>37</v>
      </c>
      <c r="P911" t="s">
        <v>52</v>
      </c>
      <c r="Q911" t="s">
        <v>591</v>
      </c>
      <c r="R911">
        <v>30766.42</v>
      </c>
      <c r="S911">
        <v>7</v>
      </c>
      <c r="T911">
        <v>0.3</v>
      </c>
      <c r="U911" t="str">
        <f>IF(Retail_data[[#This Row],[Sales]]&gt;30000,"High",IF(Retail_data[[#This Row],[Sales]]&gt;10000,"Medium","Low"))</f>
        <v>High</v>
      </c>
      <c r="V911" s="3">
        <f>Retail_data[[#This Row],[Profit]]/Retail_data[[#This Row],[Sales]]</f>
        <v>0.14233147698042217</v>
      </c>
      <c r="W911">
        <v>4379.03</v>
      </c>
      <c r="X911" t="s">
        <v>48</v>
      </c>
    </row>
    <row r="912" spans="1:24" ht="13.8" x14ac:dyDescent="0.25">
      <c r="A912" t="s">
        <v>2961</v>
      </c>
      <c r="B912">
        <f>YEAR(Retail_data[[#This Row],[Order Date]])</f>
        <v>2028</v>
      </c>
      <c r="C912" t="str">
        <f>TEXT(Retail_data[[#This Row],[Order Date]],"mmmm")</f>
        <v>March</v>
      </c>
      <c r="D912">
        <f>MONTH(Retail_data[[#This Row],[Order Date]])</f>
        <v>3</v>
      </c>
      <c r="E912" t="str">
        <f>"Q"&amp;ROUNDUP(MONTH(Retail_data[[#This Row],[Order Date]])/3,0)</f>
        <v>Q1</v>
      </c>
      <c r="F912" s="1">
        <v>46832</v>
      </c>
      <c r="G912" s="1">
        <v>46836</v>
      </c>
      <c r="H912" t="s">
        <v>2962</v>
      </c>
      <c r="I912" t="s">
        <v>2963</v>
      </c>
      <c r="J912" t="s">
        <v>44</v>
      </c>
      <c r="K912" t="s">
        <v>22</v>
      </c>
      <c r="L912" t="s">
        <v>67</v>
      </c>
      <c r="M912" t="s">
        <v>68</v>
      </c>
      <c r="N912" t="s">
        <v>69</v>
      </c>
      <c r="O912" t="s">
        <v>37</v>
      </c>
      <c r="P912" t="s">
        <v>38</v>
      </c>
      <c r="Q912" t="s">
        <v>595</v>
      </c>
      <c r="R912">
        <v>27240.51</v>
      </c>
      <c r="S912">
        <v>1</v>
      </c>
      <c r="T912">
        <v>0.1</v>
      </c>
      <c r="U912" t="str">
        <f>IF(Retail_data[[#This Row],[Sales]]&gt;30000,"High",IF(Retail_data[[#This Row],[Sales]]&gt;10000,"Medium","Low"))</f>
        <v>Medium</v>
      </c>
      <c r="V912" s="3">
        <f>Retail_data[[#This Row],[Profit]]/Retail_data[[#This Row],[Sales]]</f>
        <v>0.11025344239149709</v>
      </c>
      <c r="W912">
        <v>3003.36</v>
      </c>
      <c r="X912" t="s">
        <v>81</v>
      </c>
    </row>
    <row r="913" spans="1:24" ht="13.8" x14ac:dyDescent="0.25">
      <c r="A913" t="s">
        <v>2964</v>
      </c>
      <c r="B913">
        <f>YEAR(Retail_data[[#This Row],[Order Date]])</f>
        <v>2028</v>
      </c>
      <c r="C913" t="str">
        <f>TEXT(Retail_data[[#This Row],[Order Date]],"mmmm")</f>
        <v>March</v>
      </c>
      <c r="D913">
        <f>MONTH(Retail_data[[#This Row],[Order Date]])</f>
        <v>3</v>
      </c>
      <c r="E913" t="str">
        <f>"Q"&amp;ROUNDUP(MONTH(Retail_data[[#This Row],[Order Date]])/3,0)</f>
        <v>Q1</v>
      </c>
      <c r="F913" s="1">
        <v>46833</v>
      </c>
      <c r="G913" s="1">
        <v>46837</v>
      </c>
      <c r="H913" t="s">
        <v>2965</v>
      </c>
      <c r="I913" t="s">
        <v>2966</v>
      </c>
      <c r="J913" t="s">
        <v>44</v>
      </c>
      <c r="K913" t="s">
        <v>22</v>
      </c>
      <c r="L913" t="s">
        <v>23</v>
      </c>
      <c r="M913" t="s">
        <v>24</v>
      </c>
      <c r="N913" t="s">
        <v>25</v>
      </c>
      <c r="O913" t="s">
        <v>57</v>
      </c>
      <c r="P913" t="s">
        <v>58</v>
      </c>
      <c r="Q913" t="s">
        <v>250</v>
      </c>
      <c r="R913">
        <v>17271.080000000002</v>
      </c>
      <c r="S913">
        <v>4</v>
      </c>
      <c r="T913">
        <v>0.3</v>
      </c>
      <c r="U913" t="str">
        <f>IF(Retail_data[[#This Row],[Sales]]&gt;30000,"High",IF(Retail_data[[#This Row],[Sales]]&gt;10000,"Medium","Low"))</f>
        <v>Medium</v>
      </c>
      <c r="V913" s="3">
        <f>Retail_data[[#This Row],[Profit]]/Retail_data[[#This Row],[Sales]]</f>
        <v>-5.8054273386493487E-2</v>
      </c>
      <c r="W913">
        <v>-1002.66</v>
      </c>
      <c r="X913" t="s">
        <v>29</v>
      </c>
    </row>
    <row r="914" spans="1:24" ht="13.8" x14ac:dyDescent="0.25">
      <c r="A914" t="s">
        <v>2967</v>
      </c>
      <c r="B914">
        <f>YEAR(Retail_data[[#This Row],[Order Date]])</f>
        <v>2028</v>
      </c>
      <c r="C914" t="str">
        <f>TEXT(Retail_data[[#This Row],[Order Date]],"mmmm")</f>
        <v>March</v>
      </c>
      <c r="D914">
        <f>MONTH(Retail_data[[#This Row],[Order Date]])</f>
        <v>3</v>
      </c>
      <c r="E914" t="str">
        <f>"Q"&amp;ROUNDUP(MONTH(Retail_data[[#This Row],[Order Date]])/3,0)</f>
        <v>Q1</v>
      </c>
      <c r="F914" s="1">
        <v>46834</v>
      </c>
      <c r="G914" s="1">
        <v>46838</v>
      </c>
      <c r="H914" t="s">
        <v>2968</v>
      </c>
      <c r="I914" t="s">
        <v>2969</v>
      </c>
      <c r="J914" t="s">
        <v>21</v>
      </c>
      <c r="K914" t="s">
        <v>22</v>
      </c>
      <c r="L914" t="s">
        <v>85</v>
      </c>
      <c r="M914" t="s">
        <v>86</v>
      </c>
      <c r="N914" t="s">
        <v>87</v>
      </c>
      <c r="O914" t="s">
        <v>57</v>
      </c>
      <c r="P914" t="s">
        <v>58</v>
      </c>
      <c r="Q914" t="s">
        <v>250</v>
      </c>
      <c r="R914">
        <v>45325.05</v>
      </c>
      <c r="S914">
        <v>1</v>
      </c>
      <c r="T914">
        <v>0.2</v>
      </c>
      <c r="U914" t="str">
        <f>IF(Retail_data[[#This Row],[Sales]]&gt;30000,"High",IF(Retail_data[[#This Row],[Sales]]&gt;10000,"Medium","Low"))</f>
        <v>High</v>
      </c>
      <c r="V914" s="3">
        <f>Retail_data[[#This Row],[Profit]]/Retail_data[[#This Row],[Sales]]</f>
        <v>0.11756611410246651</v>
      </c>
      <c r="W914">
        <v>5328.69</v>
      </c>
      <c r="X914" t="s">
        <v>81</v>
      </c>
    </row>
    <row r="915" spans="1:24" ht="13.8" x14ac:dyDescent="0.25">
      <c r="A915" t="s">
        <v>2970</v>
      </c>
      <c r="B915">
        <f>YEAR(Retail_data[[#This Row],[Order Date]])</f>
        <v>2028</v>
      </c>
      <c r="C915" t="str">
        <f>TEXT(Retail_data[[#This Row],[Order Date]],"mmmm")</f>
        <v>March</v>
      </c>
      <c r="D915">
        <f>MONTH(Retail_data[[#This Row],[Order Date]])</f>
        <v>3</v>
      </c>
      <c r="E915" t="str">
        <f>"Q"&amp;ROUNDUP(MONTH(Retail_data[[#This Row],[Order Date]])/3,0)</f>
        <v>Q1</v>
      </c>
      <c r="F915" s="1">
        <v>46835</v>
      </c>
      <c r="G915" s="1">
        <v>46839</v>
      </c>
      <c r="H915" t="s">
        <v>2971</v>
      </c>
      <c r="I915" t="s">
        <v>2972</v>
      </c>
      <c r="J915" t="s">
        <v>33</v>
      </c>
      <c r="K915" t="s">
        <v>22</v>
      </c>
      <c r="L915" t="s">
        <v>34</v>
      </c>
      <c r="M915" t="s">
        <v>35</v>
      </c>
      <c r="N915" t="s">
        <v>36</v>
      </c>
      <c r="O915" t="s">
        <v>26</v>
      </c>
      <c r="P915" t="s">
        <v>70</v>
      </c>
      <c r="Q915" t="s">
        <v>161</v>
      </c>
      <c r="R915">
        <v>12019.58</v>
      </c>
      <c r="S915">
        <v>2</v>
      </c>
      <c r="T915">
        <v>0</v>
      </c>
      <c r="U915" t="str">
        <f>IF(Retail_data[[#This Row],[Sales]]&gt;30000,"High",IF(Retail_data[[#This Row],[Sales]]&gt;10000,"Medium","Low"))</f>
        <v>Medium</v>
      </c>
      <c r="V915" s="3">
        <f>Retail_data[[#This Row],[Profit]]/Retail_data[[#This Row],[Sales]]</f>
        <v>0.17828160384971853</v>
      </c>
      <c r="W915">
        <v>2142.87</v>
      </c>
      <c r="X915" t="s">
        <v>48</v>
      </c>
    </row>
    <row r="916" spans="1:24" ht="13.8" x14ac:dyDescent="0.25">
      <c r="A916" t="s">
        <v>2973</v>
      </c>
      <c r="B916">
        <f>YEAR(Retail_data[[#This Row],[Order Date]])</f>
        <v>2028</v>
      </c>
      <c r="C916" t="str">
        <f>TEXT(Retail_data[[#This Row],[Order Date]],"mmmm")</f>
        <v>March</v>
      </c>
      <c r="D916">
        <f>MONTH(Retail_data[[#This Row],[Order Date]])</f>
        <v>3</v>
      </c>
      <c r="E916" t="str">
        <f>"Q"&amp;ROUNDUP(MONTH(Retail_data[[#This Row],[Order Date]])/3,0)</f>
        <v>Q1</v>
      </c>
      <c r="F916" s="1">
        <v>46836</v>
      </c>
      <c r="G916" s="1">
        <v>46840</v>
      </c>
      <c r="H916" t="s">
        <v>2974</v>
      </c>
      <c r="I916" t="s">
        <v>2975</v>
      </c>
      <c r="J916" t="s">
        <v>33</v>
      </c>
      <c r="K916" t="s">
        <v>22</v>
      </c>
      <c r="L916" t="s">
        <v>67</v>
      </c>
      <c r="M916" t="s">
        <v>68</v>
      </c>
      <c r="N916" t="s">
        <v>69</v>
      </c>
      <c r="O916" t="s">
        <v>37</v>
      </c>
      <c r="P916" t="s">
        <v>52</v>
      </c>
      <c r="Q916" t="s">
        <v>184</v>
      </c>
      <c r="R916">
        <v>16440.66</v>
      </c>
      <c r="S916">
        <v>5</v>
      </c>
      <c r="T916">
        <v>0.3</v>
      </c>
      <c r="U916" t="str">
        <f>IF(Retail_data[[#This Row],[Sales]]&gt;30000,"High",IF(Retail_data[[#This Row],[Sales]]&gt;10000,"Medium","Low"))</f>
        <v>Medium</v>
      </c>
      <c r="V916" s="3">
        <f>Retail_data[[#This Row],[Profit]]/Retail_data[[#This Row],[Sales]]</f>
        <v>0.1766224713606388</v>
      </c>
      <c r="W916">
        <v>2903.79</v>
      </c>
      <c r="X916" t="s">
        <v>81</v>
      </c>
    </row>
    <row r="917" spans="1:24" ht="13.8" x14ac:dyDescent="0.25">
      <c r="A917" t="s">
        <v>2976</v>
      </c>
      <c r="B917">
        <f>YEAR(Retail_data[[#This Row],[Order Date]])</f>
        <v>2028</v>
      </c>
      <c r="C917" t="str">
        <f>TEXT(Retail_data[[#This Row],[Order Date]],"mmmm")</f>
        <v>March</v>
      </c>
      <c r="D917">
        <f>MONTH(Retail_data[[#This Row],[Order Date]])</f>
        <v>3</v>
      </c>
      <c r="E917" t="str">
        <f>"Q"&amp;ROUNDUP(MONTH(Retail_data[[#This Row],[Order Date]])/3,0)</f>
        <v>Q1</v>
      </c>
      <c r="F917" s="1">
        <v>46837</v>
      </c>
      <c r="G917" s="1">
        <v>46841</v>
      </c>
      <c r="H917" t="s">
        <v>2977</v>
      </c>
      <c r="I917" t="s">
        <v>2978</v>
      </c>
      <c r="J917" t="s">
        <v>21</v>
      </c>
      <c r="K917" t="s">
        <v>22</v>
      </c>
      <c r="L917" t="s">
        <v>67</v>
      </c>
      <c r="M917" t="s">
        <v>68</v>
      </c>
      <c r="N917" t="s">
        <v>69</v>
      </c>
      <c r="O917" t="s">
        <v>26</v>
      </c>
      <c r="P917" t="s">
        <v>27</v>
      </c>
      <c r="Q917" t="s">
        <v>889</v>
      </c>
      <c r="R917">
        <v>28040.91</v>
      </c>
      <c r="S917">
        <v>7</v>
      </c>
      <c r="T917">
        <v>0</v>
      </c>
      <c r="U917" t="str">
        <f>IF(Retail_data[[#This Row],[Sales]]&gt;30000,"High",IF(Retail_data[[#This Row],[Sales]]&gt;10000,"Medium","Low"))</f>
        <v>Medium</v>
      </c>
      <c r="V917" s="3">
        <f>Retail_data[[#This Row],[Profit]]/Retail_data[[#This Row],[Sales]]</f>
        <v>0.1736609118605637</v>
      </c>
      <c r="W917">
        <v>4869.6099999999997</v>
      </c>
      <c r="X917" t="s">
        <v>40</v>
      </c>
    </row>
    <row r="918" spans="1:24" ht="13.8" x14ac:dyDescent="0.25">
      <c r="A918" t="s">
        <v>2979</v>
      </c>
      <c r="B918">
        <f>YEAR(Retail_data[[#This Row],[Order Date]])</f>
        <v>2028</v>
      </c>
      <c r="C918" t="str">
        <f>TEXT(Retail_data[[#This Row],[Order Date]],"mmmm")</f>
        <v>March</v>
      </c>
      <c r="D918">
        <f>MONTH(Retail_data[[#This Row],[Order Date]])</f>
        <v>3</v>
      </c>
      <c r="E918" t="str">
        <f>"Q"&amp;ROUNDUP(MONTH(Retail_data[[#This Row],[Order Date]])/3,0)</f>
        <v>Q1</v>
      </c>
      <c r="F918" s="1">
        <v>46838</v>
      </c>
      <c r="G918" s="1">
        <v>46842</v>
      </c>
      <c r="H918" t="s">
        <v>2980</v>
      </c>
      <c r="I918" t="s">
        <v>2981</v>
      </c>
      <c r="J918" t="s">
        <v>33</v>
      </c>
      <c r="K918" t="s">
        <v>22</v>
      </c>
      <c r="L918" t="s">
        <v>85</v>
      </c>
      <c r="M918" t="s">
        <v>86</v>
      </c>
      <c r="N918" t="s">
        <v>87</v>
      </c>
      <c r="O918" t="s">
        <v>26</v>
      </c>
      <c r="P918" t="s">
        <v>27</v>
      </c>
      <c r="Q918" t="s">
        <v>214</v>
      </c>
      <c r="R918">
        <v>10805.68</v>
      </c>
      <c r="S918">
        <v>1</v>
      </c>
      <c r="T918">
        <v>0.2</v>
      </c>
      <c r="U918" t="str">
        <f>IF(Retail_data[[#This Row],[Sales]]&gt;30000,"High",IF(Retail_data[[#This Row],[Sales]]&gt;10000,"Medium","Low"))</f>
        <v>Medium</v>
      </c>
      <c r="V918" s="3">
        <f>Retail_data[[#This Row],[Profit]]/Retail_data[[#This Row],[Sales]]</f>
        <v>4.8095075923033075E-2</v>
      </c>
      <c r="W918">
        <v>519.70000000000005</v>
      </c>
      <c r="X918" t="s">
        <v>29</v>
      </c>
    </row>
    <row r="919" spans="1:24" ht="13.8" x14ac:dyDescent="0.25">
      <c r="A919" t="s">
        <v>2982</v>
      </c>
      <c r="B919">
        <f>YEAR(Retail_data[[#This Row],[Order Date]])</f>
        <v>2028</v>
      </c>
      <c r="C919" t="str">
        <f>TEXT(Retail_data[[#This Row],[Order Date]],"mmmm")</f>
        <v>March</v>
      </c>
      <c r="D919">
        <f>MONTH(Retail_data[[#This Row],[Order Date]])</f>
        <v>3</v>
      </c>
      <c r="E919" t="str">
        <f>"Q"&amp;ROUNDUP(MONTH(Retail_data[[#This Row],[Order Date]])/3,0)</f>
        <v>Q1</v>
      </c>
      <c r="F919" s="1">
        <v>46839</v>
      </c>
      <c r="G919" s="1">
        <v>46843</v>
      </c>
      <c r="H919" t="s">
        <v>2983</v>
      </c>
      <c r="I919" t="s">
        <v>2984</v>
      </c>
      <c r="J919" t="s">
        <v>44</v>
      </c>
      <c r="K919" t="s">
        <v>22</v>
      </c>
      <c r="L919" t="s">
        <v>23</v>
      </c>
      <c r="M919" t="s">
        <v>24</v>
      </c>
      <c r="N919" t="s">
        <v>25</v>
      </c>
      <c r="O919" t="s">
        <v>57</v>
      </c>
      <c r="P919" t="s">
        <v>58</v>
      </c>
      <c r="Q919" t="s">
        <v>59</v>
      </c>
      <c r="R919">
        <v>46846.36</v>
      </c>
      <c r="S919">
        <v>8</v>
      </c>
      <c r="T919">
        <v>0</v>
      </c>
      <c r="U919" t="str">
        <f>IF(Retail_data[[#This Row],[Sales]]&gt;30000,"High",IF(Retail_data[[#This Row],[Sales]]&gt;10000,"Medium","Low"))</f>
        <v>High</v>
      </c>
      <c r="V919" s="3">
        <f>Retail_data[[#This Row],[Profit]]/Retail_data[[#This Row],[Sales]]</f>
        <v>0.12267399217356481</v>
      </c>
      <c r="W919">
        <v>5746.83</v>
      </c>
      <c r="X919" t="s">
        <v>29</v>
      </c>
    </row>
    <row r="920" spans="1:24" ht="13.8" x14ac:dyDescent="0.25">
      <c r="A920" t="s">
        <v>2985</v>
      </c>
      <c r="B920">
        <f>YEAR(Retail_data[[#This Row],[Order Date]])</f>
        <v>2028</v>
      </c>
      <c r="C920" t="str">
        <f>TEXT(Retail_data[[#This Row],[Order Date]],"mmmm")</f>
        <v>March</v>
      </c>
      <c r="D920">
        <f>MONTH(Retail_data[[#This Row],[Order Date]])</f>
        <v>3</v>
      </c>
      <c r="E920" t="str">
        <f>"Q"&amp;ROUNDUP(MONTH(Retail_data[[#This Row],[Order Date]])/3,0)</f>
        <v>Q1</v>
      </c>
      <c r="F920" s="1">
        <v>46840</v>
      </c>
      <c r="G920" s="1">
        <v>46844</v>
      </c>
      <c r="H920" t="s">
        <v>2986</v>
      </c>
      <c r="I920" t="s">
        <v>2987</v>
      </c>
      <c r="J920" t="s">
        <v>44</v>
      </c>
      <c r="K920" t="s">
        <v>22</v>
      </c>
      <c r="L920" t="s">
        <v>34</v>
      </c>
      <c r="M920" t="s">
        <v>35</v>
      </c>
      <c r="N920" t="s">
        <v>36</v>
      </c>
      <c r="O920" t="s">
        <v>57</v>
      </c>
      <c r="P920" t="s">
        <v>149</v>
      </c>
      <c r="Q920" t="s">
        <v>681</v>
      </c>
      <c r="R920">
        <v>48675.32</v>
      </c>
      <c r="S920">
        <v>5</v>
      </c>
      <c r="T920">
        <v>0.3</v>
      </c>
      <c r="U920" t="str">
        <f>IF(Retail_data[[#This Row],[Sales]]&gt;30000,"High",IF(Retail_data[[#This Row],[Sales]]&gt;10000,"Medium","Low"))</f>
        <v>High</v>
      </c>
      <c r="V920" s="3">
        <f>Retail_data[[#This Row],[Profit]]/Retail_data[[#This Row],[Sales]]</f>
        <v>0.10380168019439831</v>
      </c>
      <c r="W920">
        <v>5052.58</v>
      </c>
      <c r="X920" t="s">
        <v>48</v>
      </c>
    </row>
    <row r="921" spans="1:24" ht="13.8" x14ac:dyDescent="0.25">
      <c r="A921" t="s">
        <v>2988</v>
      </c>
      <c r="B921">
        <f>YEAR(Retail_data[[#This Row],[Order Date]])</f>
        <v>2028</v>
      </c>
      <c r="C921" t="str">
        <f>TEXT(Retail_data[[#This Row],[Order Date]],"mmmm")</f>
        <v>March</v>
      </c>
      <c r="D921">
        <f>MONTH(Retail_data[[#This Row],[Order Date]])</f>
        <v>3</v>
      </c>
      <c r="E921" t="str">
        <f>"Q"&amp;ROUNDUP(MONTH(Retail_data[[#This Row],[Order Date]])/3,0)</f>
        <v>Q1</v>
      </c>
      <c r="F921" s="1">
        <v>46841</v>
      </c>
      <c r="G921" s="1">
        <v>46845</v>
      </c>
      <c r="H921" t="s">
        <v>2989</v>
      </c>
      <c r="I921" t="s">
        <v>2990</v>
      </c>
      <c r="J921" t="s">
        <v>44</v>
      </c>
      <c r="K921" t="s">
        <v>22</v>
      </c>
      <c r="L921" t="s">
        <v>23</v>
      </c>
      <c r="M921" t="s">
        <v>24</v>
      </c>
      <c r="N921" t="s">
        <v>25</v>
      </c>
      <c r="O921" t="s">
        <v>57</v>
      </c>
      <c r="P921" t="s">
        <v>149</v>
      </c>
      <c r="Q921" t="s">
        <v>2659</v>
      </c>
      <c r="R921">
        <v>45124.17</v>
      </c>
      <c r="S921">
        <v>5</v>
      </c>
      <c r="T921">
        <v>0</v>
      </c>
      <c r="U921" t="str">
        <f>IF(Retail_data[[#This Row],[Sales]]&gt;30000,"High",IF(Retail_data[[#This Row],[Sales]]&gt;10000,"Medium","Low"))</f>
        <v>High</v>
      </c>
      <c r="V921" s="3">
        <f>Retail_data[[#This Row],[Profit]]/Retail_data[[#This Row],[Sales]]</f>
        <v>0.26018761120703165</v>
      </c>
      <c r="W921">
        <v>11740.75</v>
      </c>
      <c r="X921" t="s">
        <v>29</v>
      </c>
    </row>
    <row r="922" spans="1:24" ht="13.8" x14ac:dyDescent="0.25">
      <c r="A922" t="s">
        <v>2991</v>
      </c>
      <c r="B922">
        <f>YEAR(Retail_data[[#This Row],[Order Date]])</f>
        <v>2028</v>
      </c>
      <c r="C922" t="str">
        <f>TEXT(Retail_data[[#This Row],[Order Date]],"mmmm")</f>
        <v>March</v>
      </c>
      <c r="D922">
        <f>MONTH(Retail_data[[#This Row],[Order Date]])</f>
        <v>3</v>
      </c>
      <c r="E922" t="str">
        <f>"Q"&amp;ROUNDUP(MONTH(Retail_data[[#This Row],[Order Date]])/3,0)</f>
        <v>Q1</v>
      </c>
      <c r="F922" s="1">
        <v>46842</v>
      </c>
      <c r="G922" s="1">
        <v>46846</v>
      </c>
      <c r="H922" t="s">
        <v>2992</v>
      </c>
      <c r="I922" t="s">
        <v>2993</v>
      </c>
      <c r="J922" t="s">
        <v>33</v>
      </c>
      <c r="K922" t="s">
        <v>22</v>
      </c>
      <c r="L922" t="s">
        <v>23</v>
      </c>
      <c r="M922" t="s">
        <v>24</v>
      </c>
      <c r="N922" t="s">
        <v>25</v>
      </c>
      <c r="O922" t="s">
        <v>37</v>
      </c>
      <c r="P922" t="s">
        <v>52</v>
      </c>
      <c r="Q922" t="s">
        <v>641</v>
      </c>
      <c r="R922">
        <v>43994.95</v>
      </c>
      <c r="S922">
        <v>8</v>
      </c>
      <c r="T922">
        <v>0.2</v>
      </c>
      <c r="U922" t="str">
        <f>IF(Retail_data[[#This Row],[Sales]]&gt;30000,"High",IF(Retail_data[[#This Row],[Sales]]&gt;10000,"Medium","Low"))</f>
        <v>High</v>
      </c>
      <c r="V922" s="3">
        <f>Retail_data[[#This Row],[Profit]]/Retail_data[[#This Row],[Sales]]</f>
        <v>0.11904707244808781</v>
      </c>
      <c r="W922">
        <v>5237.47</v>
      </c>
      <c r="X922" t="s">
        <v>29</v>
      </c>
    </row>
    <row r="923" spans="1:24" ht="13.8" x14ac:dyDescent="0.25">
      <c r="A923" t="s">
        <v>2994</v>
      </c>
      <c r="B923">
        <f>YEAR(Retail_data[[#This Row],[Order Date]])</f>
        <v>2028</v>
      </c>
      <c r="C923" t="str">
        <f>TEXT(Retail_data[[#This Row],[Order Date]],"mmmm")</f>
        <v>March</v>
      </c>
      <c r="D923">
        <f>MONTH(Retail_data[[#This Row],[Order Date]])</f>
        <v>3</v>
      </c>
      <c r="E923" t="str">
        <f>"Q"&amp;ROUNDUP(MONTH(Retail_data[[#This Row],[Order Date]])/3,0)</f>
        <v>Q1</v>
      </c>
      <c r="F923" s="1">
        <v>46843</v>
      </c>
      <c r="G923" s="1">
        <v>46847</v>
      </c>
      <c r="H923" t="s">
        <v>2995</v>
      </c>
      <c r="I923" t="s">
        <v>2996</v>
      </c>
      <c r="J923" t="s">
        <v>44</v>
      </c>
      <c r="K923" t="s">
        <v>22</v>
      </c>
      <c r="L923" t="s">
        <v>23</v>
      </c>
      <c r="M923" t="s">
        <v>24</v>
      </c>
      <c r="N923" t="s">
        <v>25</v>
      </c>
      <c r="O923" t="s">
        <v>26</v>
      </c>
      <c r="P923" t="s">
        <v>27</v>
      </c>
      <c r="Q923" t="s">
        <v>660</v>
      </c>
      <c r="R923">
        <v>23943.37</v>
      </c>
      <c r="S923">
        <v>4</v>
      </c>
      <c r="T923">
        <v>0.1</v>
      </c>
      <c r="U923" t="str">
        <f>IF(Retail_data[[#This Row],[Sales]]&gt;30000,"High",IF(Retail_data[[#This Row],[Sales]]&gt;10000,"Medium","Low"))</f>
        <v>Medium</v>
      </c>
      <c r="V923" s="3">
        <f>Retail_data[[#This Row],[Profit]]/Retail_data[[#This Row],[Sales]]</f>
        <v>0.17407491092523733</v>
      </c>
      <c r="W923">
        <v>4167.9399999999996</v>
      </c>
      <c r="X923" t="s">
        <v>29</v>
      </c>
    </row>
    <row r="924" spans="1:24" ht="13.8" x14ac:dyDescent="0.25">
      <c r="A924" t="s">
        <v>2997</v>
      </c>
      <c r="B924">
        <f>YEAR(Retail_data[[#This Row],[Order Date]])</f>
        <v>2028</v>
      </c>
      <c r="C924" t="str">
        <f>TEXT(Retail_data[[#This Row],[Order Date]],"mmmm")</f>
        <v>April</v>
      </c>
      <c r="D924">
        <f>MONTH(Retail_data[[#This Row],[Order Date]])</f>
        <v>4</v>
      </c>
      <c r="E924" t="str">
        <f>"Q"&amp;ROUNDUP(MONTH(Retail_data[[#This Row],[Order Date]])/3,0)</f>
        <v>Q2</v>
      </c>
      <c r="F924" s="1">
        <v>46844</v>
      </c>
      <c r="G924" s="1">
        <v>46848</v>
      </c>
      <c r="H924" t="s">
        <v>2998</v>
      </c>
      <c r="I924" t="s">
        <v>2999</v>
      </c>
      <c r="J924" t="s">
        <v>33</v>
      </c>
      <c r="K924" t="s">
        <v>22</v>
      </c>
      <c r="L924" t="s">
        <v>67</v>
      </c>
      <c r="M924" t="s">
        <v>68</v>
      </c>
      <c r="N924" t="s">
        <v>69</v>
      </c>
      <c r="O924" t="s">
        <v>57</v>
      </c>
      <c r="P924" t="s">
        <v>149</v>
      </c>
      <c r="Q924" t="s">
        <v>366</v>
      </c>
      <c r="R924">
        <v>17160.72</v>
      </c>
      <c r="S924">
        <v>6</v>
      </c>
      <c r="T924">
        <v>0.2</v>
      </c>
      <c r="U924" t="str">
        <f>IF(Retail_data[[#This Row],[Sales]]&gt;30000,"High",IF(Retail_data[[#This Row],[Sales]]&gt;10000,"Medium","Low"))</f>
        <v>Medium</v>
      </c>
      <c r="V924" s="3">
        <f>Retail_data[[#This Row],[Profit]]/Retail_data[[#This Row],[Sales]]</f>
        <v>9.018269629712505E-3</v>
      </c>
      <c r="W924">
        <v>154.76</v>
      </c>
      <c r="X924" t="s">
        <v>48</v>
      </c>
    </row>
    <row r="925" spans="1:24" ht="13.8" x14ac:dyDescent="0.25">
      <c r="A925" t="s">
        <v>3000</v>
      </c>
      <c r="B925">
        <f>YEAR(Retail_data[[#This Row],[Order Date]])</f>
        <v>2028</v>
      </c>
      <c r="C925" t="str">
        <f>TEXT(Retail_data[[#This Row],[Order Date]],"mmmm")</f>
        <v>April</v>
      </c>
      <c r="D925">
        <f>MONTH(Retail_data[[#This Row],[Order Date]])</f>
        <v>4</v>
      </c>
      <c r="E925" t="str">
        <f>"Q"&amp;ROUNDUP(MONTH(Retail_data[[#This Row],[Order Date]])/3,0)</f>
        <v>Q2</v>
      </c>
      <c r="F925" s="1">
        <v>46845</v>
      </c>
      <c r="G925" s="1">
        <v>46849</v>
      </c>
      <c r="H925" t="s">
        <v>3001</v>
      </c>
      <c r="I925" t="s">
        <v>3002</v>
      </c>
      <c r="J925" t="s">
        <v>33</v>
      </c>
      <c r="K925" t="s">
        <v>22</v>
      </c>
      <c r="L925" t="s">
        <v>23</v>
      </c>
      <c r="M925" t="s">
        <v>24</v>
      </c>
      <c r="N925" t="s">
        <v>25</v>
      </c>
      <c r="O925" t="s">
        <v>37</v>
      </c>
      <c r="P925" t="s">
        <v>38</v>
      </c>
      <c r="Q925" t="s">
        <v>1157</v>
      </c>
      <c r="R925">
        <v>6375.58</v>
      </c>
      <c r="S925">
        <v>5</v>
      </c>
      <c r="T925">
        <v>0.1</v>
      </c>
      <c r="U925" t="str">
        <f>IF(Retail_data[[#This Row],[Sales]]&gt;30000,"High",IF(Retail_data[[#This Row],[Sales]]&gt;10000,"Medium","Low"))</f>
        <v>Low</v>
      </c>
      <c r="V925" s="3">
        <f>Retail_data[[#This Row],[Profit]]/Retail_data[[#This Row],[Sales]]</f>
        <v>1.3341531280291362E-2</v>
      </c>
      <c r="W925">
        <v>85.06</v>
      </c>
      <c r="X925" t="s">
        <v>29</v>
      </c>
    </row>
    <row r="926" spans="1:24" ht="13.8" x14ac:dyDescent="0.25">
      <c r="A926" t="s">
        <v>3003</v>
      </c>
      <c r="B926">
        <f>YEAR(Retail_data[[#This Row],[Order Date]])</f>
        <v>2028</v>
      </c>
      <c r="C926" t="str">
        <f>TEXT(Retail_data[[#This Row],[Order Date]],"mmmm")</f>
        <v>April</v>
      </c>
      <c r="D926">
        <f>MONTH(Retail_data[[#This Row],[Order Date]])</f>
        <v>4</v>
      </c>
      <c r="E926" t="str">
        <f>"Q"&amp;ROUNDUP(MONTH(Retail_data[[#This Row],[Order Date]])/3,0)</f>
        <v>Q2</v>
      </c>
      <c r="F926" s="1">
        <v>46846</v>
      </c>
      <c r="G926" s="1">
        <v>46850</v>
      </c>
      <c r="H926" t="s">
        <v>3004</v>
      </c>
      <c r="I926" t="s">
        <v>3005</v>
      </c>
      <c r="J926" t="s">
        <v>44</v>
      </c>
      <c r="K926" t="s">
        <v>22</v>
      </c>
      <c r="L926" t="s">
        <v>67</v>
      </c>
      <c r="M926" t="s">
        <v>68</v>
      </c>
      <c r="N926" t="s">
        <v>69</v>
      </c>
      <c r="O926" t="s">
        <v>57</v>
      </c>
      <c r="P926" t="s">
        <v>149</v>
      </c>
      <c r="Q926" t="s">
        <v>2659</v>
      </c>
      <c r="R926">
        <v>17265.54</v>
      </c>
      <c r="S926">
        <v>6</v>
      </c>
      <c r="T926">
        <v>0</v>
      </c>
      <c r="U926" t="str">
        <f>IF(Retail_data[[#This Row],[Sales]]&gt;30000,"High",IF(Retail_data[[#This Row],[Sales]]&gt;10000,"Medium","Low"))</f>
        <v>Medium</v>
      </c>
      <c r="V926" s="3">
        <f>Retail_data[[#This Row],[Profit]]/Retail_data[[#This Row],[Sales]]</f>
        <v>0.14296222417601767</v>
      </c>
      <c r="W926">
        <v>2468.3200000000002</v>
      </c>
      <c r="X926" t="s">
        <v>48</v>
      </c>
    </row>
    <row r="927" spans="1:24" ht="13.8" x14ac:dyDescent="0.25">
      <c r="A927" t="s">
        <v>3006</v>
      </c>
      <c r="B927">
        <f>YEAR(Retail_data[[#This Row],[Order Date]])</f>
        <v>2028</v>
      </c>
      <c r="C927" t="str">
        <f>TEXT(Retail_data[[#This Row],[Order Date]],"mmmm")</f>
        <v>April</v>
      </c>
      <c r="D927">
        <f>MONTH(Retail_data[[#This Row],[Order Date]])</f>
        <v>4</v>
      </c>
      <c r="E927" t="str">
        <f>"Q"&amp;ROUNDUP(MONTH(Retail_data[[#This Row],[Order Date]])/3,0)</f>
        <v>Q2</v>
      </c>
      <c r="F927" s="1">
        <v>46847</v>
      </c>
      <c r="G927" s="1">
        <v>46851</v>
      </c>
      <c r="H927" t="s">
        <v>3007</v>
      </c>
      <c r="I927" t="s">
        <v>3008</v>
      </c>
      <c r="J927" t="s">
        <v>33</v>
      </c>
      <c r="K927" t="s">
        <v>22</v>
      </c>
      <c r="L927" t="s">
        <v>34</v>
      </c>
      <c r="M927" t="s">
        <v>35</v>
      </c>
      <c r="N927" t="s">
        <v>36</v>
      </c>
      <c r="O927" t="s">
        <v>57</v>
      </c>
      <c r="P927" t="s">
        <v>58</v>
      </c>
      <c r="Q927" t="s">
        <v>481</v>
      </c>
      <c r="R927">
        <v>1375.59</v>
      </c>
      <c r="S927">
        <v>1</v>
      </c>
      <c r="T927">
        <v>0.2</v>
      </c>
      <c r="U927" t="str">
        <f>IF(Retail_data[[#This Row],[Sales]]&gt;30000,"High",IF(Retail_data[[#This Row],[Sales]]&gt;10000,"Medium","Low"))</f>
        <v>Low</v>
      </c>
      <c r="V927" s="3">
        <f>Retail_data[[#This Row],[Profit]]/Retail_data[[#This Row],[Sales]]</f>
        <v>0.10186901620395612</v>
      </c>
      <c r="W927">
        <v>140.13</v>
      </c>
      <c r="X927" t="s">
        <v>48</v>
      </c>
    </row>
    <row r="928" spans="1:24" ht="13.8" x14ac:dyDescent="0.25">
      <c r="A928" t="s">
        <v>3009</v>
      </c>
      <c r="B928">
        <f>YEAR(Retail_data[[#This Row],[Order Date]])</f>
        <v>2028</v>
      </c>
      <c r="C928" t="str">
        <f>TEXT(Retail_data[[#This Row],[Order Date]],"mmmm")</f>
        <v>April</v>
      </c>
      <c r="D928">
        <f>MONTH(Retail_data[[#This Row],[Order Date]])</f>
        <v>4</v>
      </c>
      <c r="E928" t="str">
        <f>"Q"&amp;ROUNDUP(MONTH(Retail_data[[#This Row],[Order Date]])/3,0)</f>
        <v>Q2</v>
      </c>
      <c r="F928" s="1">
        <v>46848</v>
      </c>
      <c r="G928" s="1">
        <v>46852</v>
      </c>
      <c r="H928" t="s">
        <v>3010</v>
      </c>
      <c r="I928" t="s">
        <v>3011</v>
      </c>
      <c r="J928" t="s">
        <v>44</v>
      </c>
      <c r="K928" t="s">
        <v>22</v>
      </c>
      <c r="L928" t="s">
        <v>34</v>
      </c>
      <c r="M928" t="s">
        <v>35</v>
      </c>
      <c r="N928" t="s">
        <v>36</v>
      </c>
      <c r="O928" t="s">
        <v>37</v>
      </c>
      <c r="P928" t="s">
        <v>38</v>
      </c>
      <c r="Q928" t="s">
        <v>145</v>
      </c>
      <c r="R928">
        <v>7959.39</v>
      </c>
      <c r="S928">
        <v>2</v>
      </c>
      <c r="T928">
        <v>0.3</v>
      </c>
      <c r="U928" t="str">
        <f>IF(Retail_data[[#This Row],[Sales]]&gt;30000,"High",IF(Retail_data[[#This Row],[Sales]]&gt;10000,"Medium","Low"))</f>
        <v>Low</v>
      </c>
      <c r="V928" s="3">
        <f>Retail_data[[#This Row],[Profit]]/Retail_data[[#This Row],[Sales]]</f>
        <v>0.13812616293459676</v>
      </c>
      <c r="W928">
        <v>1099.4000000000001</v>
      </c>
      <c r="X928" t="s">
        <v>48</v>
      </c>
    </row>
    <row r="929" spans="1:24" ht="13.8" x14ac:dyDescent="0.25">
      <c r="A929" t="s">
        <v>3012</v>
      </c>
      <c r="B929">
        <f>YEAR(Retail_data[[#This Row],[Order Date]])</f>
        <v>2028</v>
      </c>
      <c r="C929" t="str">
        <f>TEXT(Retail_data[[#This Row],[Order Date]],"mmmm")</f>
        <v>April</v>
      </c>
      <c r="D929">
        <f>MONTH(Retail_data[[#This Row],[Order Date]])</f>
        <v>4</v>
      </c>
      <c r="E929" t="str">
        <f>"Q"&amp;ROUNDUP(MONTH(Retail_data[[#This Row],[Order Date]])/3,0)</f>
        <v>Q2</v>
      </c>
      <c r="F929" s="1">
        <v>46849</v>
      </c>
      <c r="G929" s="1">
        <v>46853</v>
      </c>
      <c r="H929" t="s">
        <v>3013</v>
      </c>
      <c r="I929" t="s">
        <v>3014</v>
      </c>
      <c r="J929" t="s">
        <v>33</v>
      </c>
      <c r="K929" t="s">
        <v>22</v>
      </c>
      <c r="L929" t="s">
        <v>34</v>
      </c>
      <c r="M929" t="s">
        <v>35</v>
      </c>
      <c r="N929" t="s">
        <v>36</v>
      </c>
      <c r="O929" t="s">
        <v>26</v>
      </c>
      <c r="P929" t="s">
        <v>27</v>
      </c>
      <c r="Q929" t="s">
        <v>660</v>
      </c>
      <c r="R929">
        <v>46734.99</v>
      </c>
      <c r="S929">
        <v>2</v>
      </c>
      <c r="T929">
        <v>0.3</v>
      </c>
      <c r="U929" t="str">
        <f>IF(Retail_data[[#This Row],[Sales]]&gt;30000,"High",IF(Retail_data[[#This Row],[Sales]]&gt;10000,"Medium","Low"))</f>
        <v>High</v>
      </c>
      <c r="V929" s="3">
        <f>Retail_data[[#This Row],[Profit]]/Retail_data[[#This Row],[Sales]]</f>
        <v>7.5806371200678555E-2</v>
      </c>
      <c r="W929">
        <v>3542.81</v>
      </c>
      <c r="X929" t="s">
        <v>48</v>
      </c>
    </row>
    <row r="930" spans="1:24" ht="13.8" x14ac:dyDescent="0.25">
      <c r="A930" t="s">
        <v>3015</v>
      </c>
      <c r="B930">
        <f>YEAR(Retail_data[[#This Row],[Order Date]])</f>
        <v>2028</v>
      </c>
      <c r="C930" t="str">
        <f>TEXT(Retail_data[[#This Row],[Order Date]],"mmmm")</f>
        <v>April</v>
      </c>
      <c r="D930">
        <f>MONTH(Retail_data[[#This Row],[Order Date]])</f>
        <v>4</v>
      </c>
      <c r="E930" t="str">
        <f>"Q"&amp;ROUNDUP(MONTH(Retail_data[[#This Row],[Order Date]])/3,0)</f>
        <v>Q2</v>
      </c>
      <c r="F930" s="1">
        <v>46850</v>
      </c>
      <c r="G930" s="1">
        <v>46854</v>
      </c>
      <c r="H930" t="s">
        <v>3016</v>
      </c>
      <c r="I930" t="s">
        <v>3017</v>
      </c>
      <c r="J930" t="s">
        <v>33</v>
      </c>
      <c r="K930" t="s">
        <v>22</v>
      </c>
      <c r="L930" t="s">
        <v>85</v>
      </c>
      <c r="M930" t="s">
        <v>86</v>
      </c>
      <c r="N930" t="s">
        <v>87</v>
      </c>
      <c r="O930" t="s">
        <v>57</v>
      </c>
      <c r="P930" t="s">
        <v>58</v>
      </c>
      <c r="Q930" t="s">
        <v>387</v>
      </c>
      <c r="R930">
        <v>27121.54</v>
      </c>
      <c r="S930">
        <v>6</v>
      </c>
      <c r="T930">
        <v>0.1</v>
      </c>
      <c r="U930" t="str">
        <f>IF(Retail_data[[#This Row],[Sales]]&gt;30000,"High",IF(Retail_data[[#This Row],[Sales]]&gt;10000,"Medium","Low"))</f>
        <v>Medium</v>
      </c>
      <c r="V930" s="3">
        <f>Retail_data[[#This Row],[Profit]]/Retail_data[[#This Row],[Sales]]</f>
        <v>0.17976486585938703</v>
      </c>
      <c r="W930">
        <v>4875.5</v>
      </c>
      <c r="X930" t="s">
        <v>40</v>
      </c>
    </row>
    <row r="931" spans="1:24" ht="13.8" x14ac:dyDescent="0.25">
      <c r="A931" t="s">
        <v>3018</v>
      </c>
      <c r="B931">
        <f>YEAR(Retail_data[[#This Row],[Order Date]])</f>
        <v>2028</v>
      </c>
      <c r="C931" t="str">
        <f>TEXT(Retail_data[[#This Row],[Order Date]],"mmmm")</f>
        <v>April</v>
      </c>
      <c r="D931">
        <f>MONTH(Retail_data[[#This Row],[Order Date]])</f>
        <v>4</v>
      </c>
      <c r="E931" t="str">
        <f>"Q"&amp;ROUNDUP(MONTH(Retail_data[[#This Row],[Order Date]])/3,0)</f>
        <v>Q2</v>
      </c>
      <c r="F931" s="1">
        <v>46851</v>
      </c>
      <c r="G931" s="1">
        <v>46855</v>
      </c>
      <c r="H931" t="s">
        <v>3019</v>
      </c>
      <c r="I931" t="s">
        <v>3020</v>
      </c>
      <c r="J931" t="s">
        <v>44</v>
      </c>
      <c r="K931" t="s">
        <v>22</v>
      </c>
      <c r="L931" t="s">
        <v>67</v>
      </c>
      <c r="M931" t="s">
        <v>68</v>
      </c>
      <c r="N931" t="s">
        <v>69</v>
      </c>
      <c r="O931" t="s">
        <v>57</v>
      </c>
      <c r="P931" t="s">
        <v>149</v>
      </c>
      <c r="Q931" t="s">
        <v>262</v>
      </c>
      <c r="R931">
        <v>48590.97</v>
      </c>
      <c r="S931">
        <v>8</v>
      </c>
      <c r="T931">
        <v>0.3</v>
      </c>
      <c r="U931" t="str">
        <f>IF(Retail_data[[#This Row],[Sales]]&gt;30000,"High",IF(Retail_data[[#This Row],[Sales]]&gt;10000,"Medium","Low"))</f>
        <v>High</v>
      </c>
      <c r="V931" s="3">
        <f>Retail_data[[#This Row],[Profit]]/Retail_data[[#This Row],[Sales]]</f>
        <v>-4.7264337386143968E-2</v>
      </c>
      <c r="W931">
        <v>-2296.62</v>
      </c>
      <c r="X931" t="s">
        <v>40</v>
      </c>
    </row>
    <row r="932" spans="1:24" ht="13.8" x14ac:dyDescent="0.25">
      <c r="A932" t="s">
        <v>3021</v>
      </c>
      <c r="B932">
        <f>YEAR(Retail_data[[#This Row],[Order Date]])</f>
        <v>2028</v>
      </c>
      <c r="C932" t="str">
        <f>TEXT(Retail_data[[#This Row],[Order Date]],"mmmm")</f>
        <v>April</v>
      </c>
      <c r="D932">
        <f>MONTH(Retail_data[[#This Row],[Order Date]])</f>
        <v>4</v>
      </c>
      <c r="E932" t="str">
        <f>"Q"&amp;ROUNDUP(MONTH(Retail_data[[#This Row],[Order Date]])/3,0)</f>
        <v>Q2</v>
      </c>
      <c r="F932" s="1">
        <v>46852</v>
      </c>
      <c r="G932" s="1">
        <v>46856</v>
      </c>
      <c r="H932" t="s">
        <v>3022</v>
      </c>
      <c r="I932" t="s">
        <v>3023</v>
      </c>
      <c r="J932" t="s">
        <v>21</v>
      </c>
      <c r="K932" t="s">
        <v>22</v>
      </c>
      <c r="L932" t="s">
        <v>23</v>
      </c>
      <c r="M932" t="s">
        <v>24</v>
      </c>
      <c r="N932" t="s">
        <v>25</v>
      </c>
      <c r="O932" t="s">
        <v>37</v>
      </c>
      <c r="P932" t="s">
        <v>52</v>
      </c>
      <c r="Q932" t="s">
        <v>591</v>
      </c>
      <c r="R932">
        <v>9266.7900000000009</v>
      </c>
      <c r="S932">
        <v>5</v>
      </c>
      <c r="T932">
        <v>0.3</v>
      </c>
      <c r="U932" t="str">
        <f>IF(Retail_data[[#This Row],[Sales]]&gt;30000,"High",IF(Retail_data[[#This Row],[Sales]]&gt;10000,"Medium","Low"))</f>
        <v>Low</v>
      </c>
      <c r="V932" s="3">
        <f>Retail_data[[#This Row],[Profit]]/Retail_data[[#This Row],[Sales]]</f>
        <v>0.1576403479522035</v>
      </c>
      <c r="W932">
        <v>1460.82</v>
      </c>
      <c r="X932" t="s">
        <v>29</v>
      </c>
    </row>
    <row r="933" spans="1:24" ht="13.8" x14ac:dyDescent="0.25">
      <c r="A933" t="s">
        <v>3024</v>
      </c>
      <c r="B933">
        <f>YEAR(Retail_data[[#This Row],[Order Date]])</f>
        <v>2028</v>
      </c>
      <c r="C933" t="str">
        <f>TEXT(Retail_data[[#This Row],[Order Date]],"mmmm")</f>
        <v>April</v>
      </c>
      <c r="D933">
        <f>MONTH(Retail_data[[#This Row],[Order Date]])</f>
        <v>4</v>
      </c>
      <c r="E933" t="str">
        <f>"Q"&amp;ROUNDUP(MONTH(Retail_data[[#This Row],[Order Date]])/3,0)</f>
        <v>Q2</v>
      </c>
      <c r="F933" s="1">
        <v>46853</v>
      </c>
      <c r="G933" s="1">
        <v>46857</v>
      </c>
      <c r="H933" t="s">
        <v>3025</v>
      </c>
      <c r="I933" t="s">
        <v>3026</v>
      </c>
      <c r="J933" t="s">
        <v>33</v>
      </c>
      <c r="K933" t="s">
        <v>22</v>
      </c>
      <c r="L933" t="s">
        <v>34</v>
      </c>
      <c r="M933" t="s">
        <v>35</v>
      </c>
      <c r="N933" t="s">
        <v>36</v>
      </c>
      <c r="O933" t="s">
        <v>37</v>
      </c>
      <c r="P933" t="s">
        <v>38</v>
      </c>
      <c r="Q933" t="s">
        <v>411</v>
      </c>
      <c r="R933">
        <v>41449.53</v>
      </c>
      <c r="S933">
        <v>5</v>
      </c>
      <c r="T933">
        <v>0</v>
      </c>
      <c r="U933" t="str">
        <f>IF(Retail_data[[#This Row],[Sales]]&gt;30000,"High",IF(Retail_data[[#This Row],[Sales]]&gt;10000,"Medium","Low"))</f>
        <v>High</v>
      </c>
      <c r="V933" s="3">
        <f>Retail_data[[#This Row],[Profit]]/Retail_data[[#This Row],[Sales]]</f>
        <v>9.4899507907568556E-2</v>
      </c>
      <c r="W933">
        <v>3933.54</v>
      </c>
      <c r="X933" t="s">
        <v>48</v>
      </c>
    </row>
    <row r="934" spans="1:24" ht="13.8" x14ac:dyDescent="0.25">
      <c r="A934" t="s">
        <v>3027</v>
      </c>
      <c r="B934">
        <f>YEAR(Retail_data[[#This Row],[Order Date]])</f>
        <v>2028</v>
      </c>
      <c r="C934" t="str">
        <f>TEXT(Retail_data[[#This Row],[Order Date]],"mmmm")</f>
        <v>April</v>
      </c>
      <c r="D934">
        <f>MONTH(Retail_data[[#This Row],[Order Date]])</f>
        <v>4</v>
      </c>
      <c r="E934" t="str">
        <f>"Q"&amp;ROUNDUP(MONTH(Retail_data[[#This Row],[Order Date]])/3,0)</f>
        <v>Q2</v>
      </c>
      <c r="F934" s="1">
        <v>46854</v>
      </c>
      <c r="G934" s="1">
        <v>46858</v>
      </c>
      <c r="H934" t="s">
        <v>3028</v>
      </c>
      <c r="I934" t="s">
        <v>3029</v>
      </c>
      <c r="J934" t="s">
        <v>44</v>
      </c>
      <c r="K934" t="s">
        <v>22</v>
      </c>
      <c r="L934" t="s">
        <v>23</v>
      </c>
      <c r="M934" t="s">
        <v>24</v>
      </c>
      <c r="N934" t="s">
        <v>25</v>
      </c>
      <c r="O934" t="s">
        <v>57</v>
      </c>
      <c r="P934" t="s">
        <v>79</v>
      </c>
      <c r="Q934" t="s">
        <v>866</v>
      </c>
      <c r="R934">
        <v>16407.849999999999</v>
      </c>
      <c r="S934">
        <v>8</v>
      </c>
      <c r="T934">
        <v>0.1</v>
      </c>
      <c r="U934" t="str">
        <f>IF(Retail_data[[#This Row],[Sales]]&gt;30000,"High",IF(Retail_data[[#This Row],[Sales]]&gt;10000,"Medium","Low"))</f>
        <v>Medium</v>
      </c>
      <c r="V934" s="3">
        <f>Retail_data[[#This Row],[Profit]]/Retail_data[[#This Row],[Sales]]</f>
        <v>0.10215171396618082</v>
      </c>
      <c r="W934">
        <v>1676.09</v>
      </c>
      <c r="X934" t="s">
        <v>40</v>
      </c>
    </row>
    <row r="935" spans="1:24" ht="13.8" x14ac:dyDescent="0.25">
      <c r="A935" t="s">
        <v>3030</v>
      </c>
      <c r="B935">
        <f>YEAR(Retail_data[[#This Row],[Order Date]])</f>
        <v>2028</v>
      </c>
      <c r="C935" t="str">
        <f>TEXT(Retail_data[[#This Row],[Order Date]],"mmmm")</f>
        <v>April</v>
      </c>
      <c r="D935">
        <f>MONTH(Retail_data[[#This Row],[Order Date]])</f>
        <v>4</v>
      </c>
      <c r="E935" t="str">
        <f>"Q"&amp;ROUNDUP(MONTH(Retail_data[[#This Row],[Order Date]])/3,0)</f>
        <v>Q2</v>
      </c>
      <c r="F935" s="1">
        <v>46855</v>
      </c>
      <c r="G935" s="1">
        <v>46859</v>
      </c>
      <c r="H935" t="s">
        <v>3031</v>
      </c>
      <c r="I935" t="s">
        <v>3032</v>
      </c>
      <c r="J935" t="s">
        <v>21</v>
      </c>
      <c r="K935" t="s">
        <v>22</v>
      </c>
      <c r="L935" t="s">
        <v>34</v>
      </c>
      <c r="M935" t="s">
        <v>35</v>
      </c>
      <c r="N935" t="s">
        <v>36</v>
      </c>
      <c r="O935" t="s">
        <v>26</v>
      </c>
      <c r="P935" t="s">
        <v>27</v>
      </c>
      <c r="Q935" t="s">
        <v>2339</v>
      </c>
      <c r="R935">
        <v>43428.83</v>
      </c>
      <c r="S935">
        <v>5</v>
      </c>
      <c r="T935">
        <v>0.3</v>
      </c>
      <c r="U935" t="str">
        <f>IF(Retail_data[[#This Row],[Sales]]&gt;30000,"High",IF(Retail_data[[#This Row],[Sales]]&gt;10000,"Medium","Low"))</f>
        <v>High</v>
      </c>
      <c r="V935" s="3">
        <f>Retail_data[[#This Row],[Profit]]/Retail_data[[#This Row],[Sales]]</f>
        <v>-2.9656336585627566E-2</v>
      </c>
      <c r="W935">
        <v>-1287.94</v>
      </c>
      <c r="X935" t="s">
        <v>81</v>
      </c>
    </row>
    <row r="936" spans="1:24" ht="13.8" x14ac:dyDescent="0.25">
      <c r="A936" t="s">
        <v>3033</v>
      </c>
      <c r="B936">
        <f>YEAR(Retail_data[[#This Row],[Order Date]])</f>
        <v>2028</v>
      </c>
      <c r="C936" t="str">
        <f>TEXT(Retail_data[[#This Row],[Order Date]],"mmmm")</f>
        <v>April</v>
      </c>
      <c r="D936">
        <f>MONTH(Retail_data[[#This Row],[Order Date]])</f>
        <v>4</v>
      </c>
      <c r="E936" t="str">
        <f>"Q"&amp;ROUNDUP(MONTH(Retail_data[[#This Row],[Order Date]])/3,0)</f>
        <v>Q2</v>
      </c>
      <c r="F936" s="1">
        <v>46856</v>
      </c>
      <c r="G936" s="1">
        <v>46860</v>
      </c>
      <c r="H936" t="s">
        <v>3034</v>
      </c>
      <c r="I936" t="s">
        <v>3035</v>
      </c>
      <c r="J936" t="s">
        <v>21</v>
      </c>
      <c r="K936" t="s">
        <v>22</v>
      </c>
      <c r="L936" t="s">
        <v>67</v>
      </c>
      <c r="M936" t="s">
        <v>68</v>
      </c>
      <c r="N936" t="s">
        <v>69</v>
      </c>
      <c r="O936" t="s">
        <v>26</v>
      </c>
      <c r="P936" t="s">
        <v>92</v>
      </c>
      <c r="Q936" t="s">
        <v>415</v>
      </c>
      <c r="R936">
        <v>35954.03</v>
      </c>
      <c r="S936">
        <v>7</v>
      </c>
      <c r="T936">
        <v>0.1</v>
      </c>
      <c r="U936" t="str">
        <f>IF(Retail_data[[#This Row],[Sales]]&gt;30000,"High",IF(Retail_data[[#This Row],[Sales]]&gt;10000,"Medium","Low"))</f>
        <v>High</v>
      </c>
      <c r="V936" s="3">
        <f>Retail_data[[#This Row],[Profit]]/Retail_data[[#This Row],[Sales]]</f>
        <v>0.22922520785569794</v>
      </c>
      <c r="W936">
        <v>8241.57</v>
      </c>
      <c r="X936" t="s">
        <v>48</v>
      </c>
    </row>
    <row r="937" spans="1:24" ht="13.8" x14ac:dyDescent="0.25">
      <c r="A937" t="s">
        <v>3036</v>
      </c>
      <c r="B937">
        <f>YEAR(Retail_data[[#This Row],[Order Date]])</f>
        <v>2028</v>
      </c>
      <c r="C937" t="str">
        <f>TEXT(Retail_data[[#This Row],[Order Date]],"mmmm")</f>
        <v>April</v>
      </c>
      <c r="D937">
        <f>MONTH(Retail_data[[#This Row],[Order Date]])</f>
        <v>4</v>
      </c>
      <c r="E937" t="str">
        <f>"Q"&amp;ROUNDUP(MONTH(Retail_data[[#This Row],[Order Date]])/3,0)</f>
        <v>Q2</v>
      </c>
      <c r="F937" s="1">
        <v>46857</v>
      </c>
      <c r="G937" s="1">
        <v>46861</v>
      </c>
      <c r="H937" t="s">
        <v>3037</v>
      </c>
      <c r="I937" t="s">
        <v>3038</v>
      </c>
      <c r="J937" t="s">
        <v>21</v>
      </c>
      <c r="K937" t="s">
        <v>22</v>
      </c>
      <c r="L937" t="s">
        <v>85</v>
      </c>
      <c r="M937" t="s">
        <v>86</v>
      </c>
      <c r="N937" t="s">
        <v>87</v>
      </c>
      <c r="O937" t="s">
        <v>57</v>
      </c>
      <c r="P937" t="s">
        <v>58</v>
      </c>
      <c r="Q937" t="s">
        <v>188</v>
      </c>
      <c r="R937">
        <v>31570.19</v>
      </c>
      <c r="S937">
        <v>4</v>
      </c>
      <c r="T937">
        <v>0</v>
      </c>
      <c r="U937" t="str">
        <f>IF(Retail_data[[#This Row],[Sales]]&gt;30000,"High",IF(Retail_data[[#This Row],[Sales]]&gt;10000,"Medium","Low"))</f>
        <v>High</v>
      </c>
      <c r="V937" s="3">
        <f>Retail_data[[#This Row],[Profit]]/Retail_data[[#This Row],[Sales]]</f>
        <v>0.12221814312805847</v>
      </c>
      <c r="W937">
        <v>3858.45</v>
      </c>
      <c r="X937" t="s">
        <v>40</v>
      </c>
    </row>
    <row r="938" spans="1:24" ht="13.8" x14ac:dyDescent="0.25">
      <c r="A938" t="s">
        <v>3039</v>
      </c>
      <c r="B938">
        <f>YEAR(Retail_data[[#This Row],[Order Date]])</f>
        <v>2028</v>
      </c>
      <c r="C938" t="str">
        <f>TEXT(Retail_data[[#This Row],[Order Date]],"mmmm")</f>
        <v>April</v>
      </c>
      <c r="D938">
        <f>MONTH(Retail_data[[#This Row],[Order Date]])</f>
        <v>4</v>
      </c>
      <c r="E938" t="str">
        <f>"Q"&amp;ROUNDUP(MONTH(Retail_data[[#This Row],[Order Date]])/3,0)</f>
        <v>Q2</v>
      </c>
      <c r="F938" s="1">
        <v>46858</v>
      </c>
      <c r="G938" s="1">
        <v>46862</v>
      </c>
      <c r="H938" t="s">
        <v>3040</v>
      </c>
      <c r="I938" t="s">
        <v>3041</v>
      </c>
      <c r="J938" t="s">
        <v>44</v>
      </c>
      <c r="K938" t="s">
        <v>22</v>
      </c>
      <c r="L938" t="s">
        <v>85</v>
      </c>
      <c r="M938" t="s">
        <v>86</v>
      </c>
      <c r="N938" t="s">
        <v>87</v>
      </c>
      <c r="O938" t="s">
        <v>57</v>
      </c>
      <c r="P938" t="s">
        <v>58</v>
      </c>
      <c r="Q938" t="s">
        <v>188</v>
      </c>
      <c r="R938">
        <v>2350.09</v>
      </c>
      <c r="S938">
        <v>6</v>
      </c>
      <c r="T938">
        <v>0.3</v>
      </c>
      <c r="U938" t="str">
        <f>IF(Retail_data[[#This Row],[Sales]]&gt;30000,"High",IF(Retail_data[[#This Row],[Sales]]&gt;10000,"Medium","Low"))</f>
        <v>Low</v>
      </c>
      <c r="V938" s="3">
        <f>Retail_data[[#This Row],[Profit]]/Retail_data[[#This Row],[Sales]]</f>
        <v>4.0981409222625512E-2</v>
      </c>
      <c r="W938">
        <v>96.31</v>
      </c>
      <c r="X938" t="s">
        <v>81</v>
      </c>
    </row>
    <row r="939" spans="1:24" ht="13.8" x14ac:dyDescent="0.25">
      <c r="A939" t="s">
        <v>3042</v>
      </c>
      <c r="B939">
        <f>YEAR(Retail_data[[#This Row],[Order Date]])</f>
        <v>2028</v>
      </c>
      <c r="C939" t="str">
        <f>TEXT(Retail_data[[#This Row],[Order Date]],"mmmm")</f>
        <v>April</v>
      </c>
      <c r="D939">
        <f>MONTH(Retail_data[[#This Row],[Order Date]])</f>
        <v>4</v>
      </c>
      <c r="E939" t="str">
        <f>"Q"&amp;ROUNDUP(MONTH(Retail_data[[#This Row],[Order Date]])/3,0)</f>
        <v>Q2</v>
      </c>
      <c r="F939" s="1">
        <v>46859</v>
      </c>
      <c r="G939" s="1">
        <v>46863</v>
      </c>
      <c r="H939" t="s">
        <v>3043</v>
      </c>
      <c r="I939" t="s">
        <v>3044</v>
      </c>
      <c r="J939" t="s">
        <v>44</v>
      </c>
      <c r="K939" t="s">
        <v>22</v>
      </c>
      <c r="L939" t="s">
        <v>67</v>
      </c>
      <c r="M939" t="s">
        <v>68</v>
      </c>
      <c r="N939" t="s">
        <v>69</v>
      </c>
      <c r="O939" t="s">
        <v>37</v>
      </c>
      <c r="P939" t="s">
        <v>46</v>
      </c>
      <c r="Q939" t="s">
        <v>172</v>
      </c>
      <c r="R939">
        <v>7583.19</v>
      </c>
      <c r="S939">
        <v>1</v>
      </c>
      <c r="T939">
        <v>0.1</v>
      </c>
      <c r="U939" t="str">
        <f>IF(Retail_data[[#This Row],[Sales]]&gt;30000,"High",IF(Retail_data[[#This Row],[Sales]]&gt;10000,"Medium","Low"))</f>
        <v>Low</v>
      </c>
      <c r="V939" s="3">
        <f>Retail_data[[#This Row],[Profit]]/Retail_data[[#This Row],[Sales]]</f>
        <v>5.6329855904968758E-2</v>
      </c>
      <c r="W939">
        <v>427.16</v>
      </c>
      <c r="X939" t="s">
        <v>29</v>
      </c>
    </row>
    <row r="940" spans="1:24" ht="13.8" x14ac:dyDescent="0.25">
      <c r="A940" t="s">
        <v>3045</v>
      </c>
      <c r="B940">
        <f>YEAR(Retail_data[[#This Row],[Order Date]])</f>
        <v>2028</v>
      </c>
      <c r="C940" t="str">
        <f>TEXT(Retail_data[[#This Row],[Order Date]],"mmmm")</f>
        <v>April</v>
      </c>
      <c r="D940">
        <f>MONTH(Retail_data[[#This Row],[Order Date]])</f>
        <v>4</v>
      </c>
      <c r="E940" t="str">
        <f>"Q"&amp;ROUNDUP(MONTH(Retail_data[[#This Row],[Order Date]])/3,0)</f>
        <v>Q2</v>
      </c>
      <c r="F940" s="1">
        <v>46860</v>
      </c>
      <c r="G940" s="1">
        <v>46864</v>
      </c>
      <c r="H940" t="s">
        <v>3046</v>
      </c>
      <c r="I940" t="s">
        <v>3047</v>
      </c>
      <c r="J940" t="s">
        <v>33</v>
      </c>
      <c r="K940" t="s">
        <v>22</v>
      </c>
      <c r="L940" t="s">
        <v>45</v>
      </c>
      <c r="M940" t="s">
        <v>45</v>
      </c>
      <c r="N940" t="s">
        <v>25</v>
      </c>
      <c r="O940" t="s">
        <v>26</v>
      </c>
      <c r="P940" t="s">
        <v>70</v>
      </c>
      <c r="Q940" t="s">
        <v>117</v>
      </c>
      <c r="R940">
        <v>45527.79</v>
      </c>
      <c r="S940">
        <v>1</v>
      </c>
      <c r="T940">
        <v>0.1</v>
      </c>
      <c r="U940" t="str">
        <f>IF(Retail_data[[#This Row],[Sales]]&gt;30000,"High",IF(Retail_data[[#This Row],[Sales]]&gt;10000,"Medium","Low"))</f>
        <v>High</v>
      </c>
      <c r="V940" s="3">
        <f>Retail_data[[#This Row],[Profit]]/Retail_data[[#This Row],[Sales]]</f>
        <v>3.138918010296568E-2</v>
      </c>
      <c r="W940">
        <v>1429.08</v>
      </c>
      <c r="X940" t="s">
        <v>40</v>
      </c>
    </row>
    <row r="941" spans="1:24" ht="13.8" x14ac:dyDescent="0.25">
      <c r="A941" t="s">
        <v>3048</v>
      </c>
      <c r="B941">
        <f>YEAR(Retail_data[[#This Row],[Order Date]])</f>
        <v>2028</v>
      </c>
      <c r="C941" t="str">
        <f>TEXT(Retail_data[[#This Row],[Order Date]],"mmmm")</f>
        <v>April</v>
      </c>
      <c r="D941">
        <f>MONTH(Retail_data[[#This Row],[Order Date]])</f>
        <v>4</v>
      </c>
      <c r="E941" t="str">
        <f>"Q"&amp;ROUNDUP(MONTH(Retail_data[[#This Row],[Order Date]])/3,0)</f>
        <v>Q2</v>
      </c>
      <c r="F941" s="1">
        <v>46861</v>
      </c>
      <c r="G941" s="1">
        <v>46865</v>
      </c>
      <c r="H941" t="s">
        <v>3049</v>
      </c>
      <c r="I941" t="s">
        <v>3050</v>
      </c>
      <c r="J941" t="s">
        <v>21</v>
      </c>
      <c r="K941" t="s">
        <v>22</v>
      </c>
      <c r="L941" t="s">
        <v>23</v>
      </c>
      <c r="M941" t="s">
        <v>24</v>
      </c>
      <c r="N941" t="s">
        <v>25</v>
      </c>
      <c r="O941" t="s">
        <v>37</v>
      </c>
      <c r="P941" t="s">
        <v>46</v>
      </c>
      <c r="Q941" t="s">
        <v>202</v>
      </c>
      <c r="R941">
        <v>759.6</v>
      </c>
      <c r="S941">
        <v>6</v>
      </c>
      <c r="T941">
        <v>0.1</v>
      </c>
      <c r="U941" t="str">
        <f>IF(Retail_data[[#This Row],[Sales]]&gt;30000,"High",IF(Retail_data[[#This Row],[Sales]]&gt;10000,"Medium","Low"))</f>
        <v>Low</v>
      </c>
      <c r="V941" s="3">
        <f>Retail_data[[#This Row],[Profit]]/Retail_data[[#This Row],[Sales]]</f>
        <v>7.1392838335966297E-2</v>
      </c>
      <c r="W941">
        <v>54.23</v>
      </c>
      <c r="X941" t="s">
        <v>40</v>
      </c>
    </row>
    <row r="942" spans="1:24" ht="13.8" x14ac:dyDescent="0.25">
      <c r="A942" t="s">
        <v>3051</v>
      </c>
      <c r="B942">
        <f>YEAR(Retail_data[[#This Row],[Order Date]])</f>
        <v>2028</v>
      </c>
      <c r="C942" t="str">
        <f>TEXT(Retail_data[[#This Row],[Order Date]],"mmmm")</f>
        <v>April</v>
      </c>
      <c r="D942">
        <f>MONTH(Retail_data[[#This Row],[Order Date]])</f>
        <v>4</v>
      </c>
      <c r="E942" t="str">
        <f>"Q"&amp;ROUNDUP(MONTH(Retail_data[[#This Row],[Order Date]])/3,0)</f>
        <v>Q2</v>
      </c>
      <c r="F942" s="1">
        <v>46862</v>
      </c>
      <c r="G942" s="1">
        <v>46866</v>
      </c>
      <c r="H942" t="s">
        <v>3052</v>
      </c>
      <c r="I942" t="s">
        <v>3053</v>
      </c>
      <c r="J942" t="s">
        <v>21</v>
      </c>
      <c r="K942" t="s">
        <v>22</v>
      </c>
      <c r="L942" t="s">
        <v>45</v>
      </c>
      <c r="M942" t="s">
        <v>45</v>
      </c>
      <c r="N942" t="s">
        <v>25</v>
      </c>
      <c r="O942" t="s">
        <v>37</v>
      </c>
      <c r="P942" t="s">
        <v>46</v>
      </c>
      <c r="Q942" t="s">
        <v>968</v>
      </c>
      <c r="R942">
        <v>18272.03</v>
      </c>
      <c r="S942">
        <v>5</v>
      </c>
      <c r="T942">
        <v>0</v>
      </c>
      <c r="U942" t="str">
        <f>IF(Retail_data[[#This Row],[Sales]]&gt;30000,"High",IF(Retail_data[[#This Row],[Sales]]&gt;10000,"Medium","Low"))</f>
        <v>Medium</v>
      </c>
      <c r="V942" s="3">
        <f>Retail_data[[#This Row],[Profit]]/Retail_data[[#This Row],[Sales]]</f>
        <v>0.2196460929628509</v>
      </c>
      <c r="W942">
        <v>4013.38</v>
      </c>
      <c r="X942" t="s">
        <v>40</v>
      </c>
    </row>
    <row r="943" spans="1:24" ht="13.8" x14ac:dyDescent="0.25">
      <c r="A943" t="s">
        <v>3054</v>
      </c>
      <c r="B943">
        <f>YEAR(Retail_data[[#This Row],[Order Date]])</f>
        <v>2028</v>
      </c>
      <c r="C943" t="str">
        <f>TEXT(Retail_data[[#This Row],[Order Date]],"mmmm")</f>
        <v>April</v>
      </c>
      <c r="D943">
        <f>MONTH(Retail_data[[#This Row],[Order Date]])</f>
        <v>4</v>
      </c>
      <c r="E943" t="str">
        <f>"Q"&amp;ROUNDUP(MONTH(Retail_data[[#This Row],[Order Date]])/3,0)</f>
        <v>Q2</v>
      </c>
      <c r="F943" s="1">
        <v>46863</v>
      </c>
      <c r="G943" s="1">
        <v>46867</v>
      </c>
      <c r="H943" t="s">
        <v>3055</v>
      </c>
      <c r="I943" t="s">
        <v>3056</v>
      </c>
      <c r="J943" t="s">
        <v>33</v>
      </c>
      <c r="K943" t="s">
        <v>22</v>
      </c>
      <c r="L943" t="s">
        <v>45</v>
      </c>
      <c r="M943" t="s">
        <v>45</v>
      </c>
      <c r="N943" t="s">
        <v>25</v>
      </c>
      <c r="O943" t="s">
        <v>57</v>
      </c>
      <c r="P943" t="s">
        <v>149</v>
      </c>
      <c r="Q943" t="s">
        <v>774</v>
      </c>
      <c r="R943">
        <v>21139.41</v>
      </c>
      <c r="S943">
        <v>6</v>
      </c>
      <c r="T943">
        <v>0.1</v>
      </c>
      <c r="U943" t="str">
        <f>IF(Retail_data[[#This Row],[Sales]]&gt;30000,"High",IF(Retail_data[[#This Row],[Sales]]&gt;10000,"Medium","Low"))</f>
        <v>Medium</v>
      </c>
      <c r="V943" s="3">
        <f>Retail_data[[#This Row],[Profit]]/Retail_data[[#This Row],[Sales]]</f>
        <v>9.2914608307422014E-2</v>
      </c>
      <c r="W943">
        <v>1964.16</v>
      </c>
      <c r="X943" t="s">
        <v>29</v>
      </c>
    </row>
    <row r="944" spans="1:24" ht="13.8" x14ac:dyDescent="0.25">
      <c r="A944" t="s">
        <v>3057</v>
      </c>
      <c r="B944">
        <f>YEAR(Retail_data[[#This Row],[Order Date]])</f>
        <v>2028</v>
      </c>
      <c r="C944" t="str">
        <f>TEXT(Retail_data[[#This Row],[Order Date]],"mmmm")</f>
        <v>April</v>
      </c>
      <c r="D944">
        <f>MONTH(Retail_data[[#This Row],[Order Date]])</f>
        <v>4</v>
      </c>
      <c r="E944" t="str">
        <f>"Q"&amp;ROUNDUP(MONTH(Retail_data[[#This Row],[Order Date]])/3,0)</f>
        <v>Q2</v>
      </c>
      <c r="F944" s="1">
        <v>46864</v>
      </c>
      <c r="G944" s="1">
        <v>46868</v>
      </c>
      <c r="H944" t="s">
        <v>3058</v>
      </c>
      <c r="I944" t="s">
        <v>3059</v>
      </c>
      <c r="J944" t="s">
        <v>44</v>
      </c>
      <c r="K944" t="s">
        <v>22</v>
      </c>
      <c r="L944" t="s">
        <v>85</v>
      </c>
      <c r="M944" t="s">
        <v>86</v>
      </c>
      <c r="N944" t="s">
        <v>87</v>
      </c>
      <c r="O944" t="s">
        <v>26</v>
      </c>
      <c r="P944" t="s">
        <v>70</v>
      </c>
      <c r="Q944" t="s">
        <v>1431</v>
      </c>
      <c r="R944">
        <v>19015.91</v>
      </c>
      <c r="S944">
        <v>4</v>
      </c>
      <c r="T944">
        <v>0</v>
      </c>
      <c r="U944" t="str">
        <f>IF(Retail_data[[#This Row],[Sales]]&gt;30000,"High",IF(Retail_data[[#This Row],[Sales]]&gt;10000,"Medium","Low"))</f>
        <v>Medium</v>
      </c>
      <c r="V944" s="3">
        <f>Retail_data[[#This Row],[Profit]]/Retail_data[[#This Row],[Sales]]</f>
        <v>0.26631015817807302</v>
      </c>
      <c r="W944">
        <v>5064.13</v>
      </c>
      <c r="X944" t="s">
        <v>40</v>
      </c>
    </row>
    <row r="945" spans="1:24" ht="13.8" x14ac:dyDescent="0.25">
      <c r="A945" t="s">
        <v>3060</v>
      </c>
      <c r="B945">
        <f>YEAR(Retail_data[[#This Row],[Order Date]])</f>
        <v>2028</v>
      </c>
      <c r="C945" t="str">
        <f>TEXT(Retail_data[[#This Row],[Order Date]],"mmmm")</f>
        <v>April</v>
      </c>
      <c r="D945">
        <f>MONTH(Retail_data[[#This Row],[Order Date]])</f>
        <v>4</v>
      </c>
      <c r="E945" t="str">
        <f>"Q"&amp;ROUNDUP(MONTH(Retail_data[[#This Row],[Order Date]])/3,0)</f>
        <v>Q2</v>
      </c>
      <c r="F945" s="1">
        <v>46865</v>
      </c>
      <c r="G945" s="1">
        <v>46869</v>
      </c>
      <c r="H945" t="s">
        <v>3061</v>
      </c>
      <c r="I945" t="s">
        <v>3062</v>
      </c>
      <c r="J945" t="s">
        <v>33</v>
      </c>
      <c r="K945" t="s">
        <v>22</v>
      </c>
      <c r="L945" t="s">
        <v>34</v>
      </c>
      <c r="M945" t="s">
        <v>35</v>
      </c>
      <c r="N945" t="s">
        <v>36</v>
      </c>
      <c r="O945" t="s">
        <v>26</v>
      </c>
      <c r="P945" t="s">
        <v>27</v>
      </c>
      <c r="Q945" t="s">
        <v>449</v>
      </c>
      <c r="R945">
        <v>15324.56</v>
      </c>
      <c r="S945">
        <v>7</v>
      </c>
      <c r="T945">
        <v>0.1</v>
      </c>
      <c r="U945" t="str">
        <f>IF(Retail_data[[#This Row],[Sales]]&gt;30000,"High",IF(Retail_data[[#This Row],[Sales]]&gt;10000,"Medium","Low"))</f>
        <v>Medium</v>
      </c>
      <c r="V945" s="3">
        <f>Retail_data[[#This Row],[Profit]]/Retail_data[[#This Row],[Sales]]</f>
        <v>0.13868456908387583</v>
      </c>
      <c r="W945">
        <v>2125.2800000000002</v>
      </c>
      <c r="X945" t="s">
        <v>40</v>
      </c>
    </row>
    <row r="946" spans="1:24" ht="13.8" x14ac:dyDescent="0.25">
      <c r="A946" t="s">
        <v>3063</v>
      </c>
      <c r="B946">
        <f>YEAR(Retail_data[[#This Row],[Order Date]])</f>
        <v>2028</v>
      </c>
      <c r="C946" t="str">
        <f>TEXT(Retail_data[[#This Row],[Order Date]],"mmmm")</f>
        <v>April</v>
      </c>
      <c r="D946">
        <f>MONTH(Retail_data[[#This Row],[Order Date]])</f>
        <v>4</v>
      </c>
      <c r="E946" t="str">
        <f>"Q"&amp;ROUNDUP(MONTH(Retail_data[[#This Row],[Order Date]])/3,0)</f>
        <v>Q2</v>
      </c>
      <c r="F946" s="1">
        <v>46866</v>
      </c>
      <c r="G946" s="1">
        <v>46870</v>
      </c>
      <c r="H946" t="s">
        <v>3064</v>
      </c>
      <c r="I946" t="s">
        <v>3065</v>
      </c>
      <c r="J946" t="s">
        <v>21</v>
      </c>
      <c r="K946" t="s">
        <v>22</v>
      </c>
      <c r="L946" t="s">
        <v>23</v>
      </c>
      <c r="M946" t="s">
        <v>24</v>
      </c>
      <c r="N946" t="s">
        <v>25</v>
      </c>
      <c r="O946" t="s">
        <v>37</v>
      </c>
      <c r="P946" t="s">
        <v>38</v>
      </c>
      <c r="Q946" t="s">
        <v>145</v>
      </c>
      <c r="R946">
        <v>9983.4</v>
      </c>
      <c r="S946">
        <v>4</v>
      </c>
      <c r="T946">
        <v>0.1</v>
      </c>
      <c r="U946" t="str">
        <f>IF(Retail_data[[#This Row],[Sales]]&gt;30000,"High",IF(Retail_data[[#This Row],[Sales]]&gt;10000,"Medium","Low"))</f>
        <v>Low</v>
      </c>
      <c r="V946" s="3">
        <f>Retail_data[[#This Row],[Profit]]/Retail_data[[#This Row],[Sales]]</f>
        <v>0.22834705611314782</v>
      </c>
      <c r="W946">
        <v>2279.6799999999998</v>
      </c>
      <c r="X946" t="s">
        <v>81</v>
      </c>
    </row>
    <row r="947" spans="1:24" ht="13.8" x14ac:dyDescent="0.25">
      <c r="A947" t="s">
        <v>3066</v>
      </c>
      <c r="B947">
        <f>YEAR(Retail_data[[#This Row],[Order Date]])</f>
        <v>2028</v>
      </c>
      <c r="C947" t="str">
        <f>TEXT(Retail_data[[#This Row],[Order Date]],"mmmm")</f>
        <v>April</v>
      </c>
      <c r="D947">
        <f>MONTH(Retail_data[[#This Row],[Order Date]])</f>
        <v>4</v>
      </c>
      <c r="E947" t="str">
        <f>"Q"&amp;ROUNDUP(MONTH(Retail_data[[#This Row],[Order Date]])/3,0)</f>
        <v>Q2</v>
      </c>
      <c r="F947" s="1">
        <v>46867</v>
      </c>
      <c r="G947" s="1">
        <v>46871</v>
      </c>
      <c r="H947" t="s">
        <v>3067</v>
      </c>
      <c r="I947" t="s">
        <v>3068</v>
      </c>
      <c r="J947" t="s">
        <v>44</v>
      </c>
      <c r="K947" t="s">
        <v>22</v>
      </c>
      <c r="L947" t="s">
        <v>34</v>
      </c>
      <c r="M947" t="s">
        <v>35</v>
      </c>
      <c r="N947" t="s">
        <v>36</v>
      </c>
      <c r="O947" t="s">
        <v>37</v>
      </c>
      <c r="P947" t="s">
        <v>38</v>
      </c>
      <c r="Q947" t="s">
        <v>595</v>
      </c>
      <c r="R947">
        <v>7707.2</v>
      </c>
      <c r="S947">
        <v>4</v>
      </c>
      <c r="T947">
        <v>0.3</v>
      </c>
      <c r="U947" t="str">
        <f>IF(Retail_data[[#This Row],[Sales]]&gt;30000,"High",IF(Retail_data[[#This Row],[Sales]]&gt;10000,"Medium","Low"))</f>
        <v>Low</v>
      </c>
      <c r="V947" s="3">
        <f>Retail_data[[#This Row],[Profit]]/Retail_data[[#This Row],[Sales]]</f>
        <v>8.0381980485779533E-2</v>
      </c>
      <c r="W947">
        <v>619.52</v>
      </c>
      <c r="X947" t="s">
        <v>40</v>
      </c>
    </row>
    <row r="948" spans="1:24" ht="13.8" x14ac:dyDescent="0.25">
      <c r="A948" t="s">
        <v>3069</v>
      </c>
      <c r="B948">
        <f>YEAR(Retail_data[[#This Row],[Order Date]])</f>
        <v>2028</v>
      </c>
      <c r="C948" t="str">
        <f>TEXT(Retail_data[[#This Row],[Order Date]],"mmmm")</f>
        <v>April</v>
      </c>
      <c r="D948">
        <f>MONTH(Retail_data[[#This Row],[Order Date]])</f>
        <v>4</v>
      </c>
      <c r="E948" t="str">
        <f>"Q"&amp;ROUNDUP(MONTH(Retail_data[[#This Row],[Order Date]])/3,0)</f>
        <v>Q2</v>
      </c>
      <c r="F948" s="1">
        <v>46868</v>
      </c>
      <c r="G948" s="1">
        <v>46872</v>
      </c>
      <c r="H948" t="s">
        <v>3070</v>
      </c>
      <c r="I948" t="s">
        <v>3071</v>
      </c>
      <c r="J948" t="s">
        <v>33</v>
      </c>
      <c r="K948" t="s">
        <v>22</v>
      </c>
      <c r="L948" t="s">
        <v>23</v>
      </c>
      <c r="M948" t="s">
        <v>24</v>
      </c>
      <c r="N948" t="s">
        <v>25</v>
      </c>
      <c r="O948" t="s">
        <v>57</v>
      </c>
      <c r="P948" t="s">
        <v>149</v>
      </c>
      <c r="Q948" t="s">
        <v>176</v>
      </c>
      <c r="R948">
        <v>22973.24</v>
      </c>
      <c r="S948">
        <v>6</v>
      </c>
      <c r="T948">
        <v>0.2</v>
      </c>
      <c r="U948" t="str">
        <f>IF(Retail_data[[#This Row],[Sales]]&gt;30000,"High",IF(Retail_data[[#This Row],[Sales]]&gt;10000,"Medium","Low"))</f>
        <v>Medium</v>
      </c>
      <c r="V948" s="3">
        <f>Retail_data[[#This Row],[Profit]]/Retail_data[[#This Row],[Sales]]</f>
        <v>8.6920260268033581E-2</v>
      </c>
      <c r="W948">
        <v>1996.84</v>
      </c>
      <c r="X948" t="s">
        <v>81</v>
      </c>
    </row>
    <row r="949" spans="1:24" ht="13.8" x14ac:dyDescent="0.25">
      <c r="A949" t="s">
        <v>3072</v>
      </c>
      <c r="B949">
        <f>YEAR(Retail_data[[#This Row],[Order Date]])</f>
        <v>2028</v>
      </c>
      <c r="C949" t="str">
        <f>TEXT(Retail_data[[#This Row],[Order Date]],"mmmm")</f>
        <v>April</v>
      </c>
      <c r="D949">
        <f>MONTH(Retail_data[[#This Row],[Order Date]])</f>
        <v>4</v>
      </c>
      <c r="E949" t="str">
        <f>"Q"&amp;ROUNDUP(MONTH(Retail_data[[#This Row],[Order Date]])/3,0)</f>
        <v>Q2</v>
      </c>
      <c r="F949" s="1">
        <v>46869</v>
      </c>
      <c r="G949" s="1">
        <v>46873</v>
      </c>
      <c r="H949" t="s">
        <v>3073</v>
      </c>
      <c r="I949" t="s">
        <v>3074</v>
      </c>
      <c r="J949" t="s">
        <v>21</v>
      </c>
      <c r="K949" t="s">
        <v>22</v>
      </c>
      <c r="L949" t="s">
        <v>45</v>
      </c>
      <c r="M949" t="s">
        <v>45</v>
      </c>
      <c r="N949" t="s">
        <v>25</v>
      </c>
      <c r="O949" t="s">
        <v>26</v>
      </c>
      <c r="P949" t="s">
        <v>92</v>
      </c>
      <c r="Q949" t="s">
        <v>831</v>
      </c>
      <c r="R949">
        <v>2605.7399999999998</v>
      </c>
      <c r="S949">
        <v>8</v>
      </c>
      <c r="T949">
        <v>0.2</v>
      </c>
      <c r="U949" t="str">
        <f>IF(Retail_data[[#This Row],[Sales]]&gt;30000,"High",IF(Retail_data[[#This Row],[Sales]]&gt;10000,"Medium","Low"))</f>
        <v>Low</v>
      </c>
      <c r="V949" s="3">
        <f>Retail_data[[#This Row],[Profit]]/Retail_data[[#This Row],[Sales]]</f>
        <v>1.8693346227942928E-2</v>
      </c>
      <c r="W949">
        <v>48.71</v>
      </c>
      <c r="X949" t="s">
        <v>81</v>
      </c>
    </row>
    <row r="950" spans="1:24" ht="13.8" x14ac:dyDescent="0.25">
      <c r="A950" t="s">
        <v>3075</v>
      </c>
      <c r="B950">
        <f>YEAR(Retail_data[[#This Row],[Order Date]])</f>
        <v>2028</v>
      </c>
      <c r="C950" t="str">
        <f>TEXT(Retail_data[[#This Row],[Order Date]],"mmmm")</f>
        <v>April</v>
      </c>
      <c r="D950">
        <f>MONTH(Retail_data[[#This Row],[Order Date]])</f>
        <v>4</v>
      </c>
      <c r="E950" t="str">
        <f>"Q"&amp;ROUNDUP(MONTH(Retail_data[[#This Row],[Order Date]])/3,0)</f>
        <v>Q2</v>
      </c>
      <c r="F950" s="1">
        <v>46870</v>
      </c>
      <c r="G950" s="1">
        <v>46874</v>
      </c>
      <c r="H950" t="s">
        <v>3076</v>
      </c>
      <c r="I950" t="s">
        <v>3077</v>
      </c>
      <c r="J950" t="s">
        <v>21</v>
      </c>
      <c r="K950" t="s">
        <v>22</v>
      </c>
      <c r="L950" t="s">
        <v>34</v>
      </c>
      <c r="M950" t="s">
        <v>35</v>
      </c>
      <c r="N950" t="s">
        <v>36</v>
      </c>
      <c r="O950" t="s">
        <v>26</v>
      </c>
      <c r="P950" t="s">
        <v>27</v>
      </c>
      <c r="Q950" t="s">
        <v>1571</v>
      </c>
      <c r="R950">
        <v>29286.06</v>
      </c>
      <c r="S950">
        <v>7</v>
      </c>
      <c r="T950">
        <v>0.2</v>
      </c>
      <c r="U950" t="str">
        <f>IF(Retail_data[[#This Row],[Sales]]&gt;30000,"High",IF(Retail_data[[#This Row],[Sales]]&gt;10000,"Medium","Low"))</f>
        <v>Medium</v>
      </c>
      <c r="V950" s="3">
        <f>Retail_data[[#This Row],[Profit]]/Retail_data[[#This Row],[Sales]]</f>
        <v>0.18654848074476391</v>
      </c>
      <c r="W950">
        <v>5463.27</v>
      </c>
      <c r="X950" t="s">
        <v>81</v>
      </c>
    </row>
    <row r="951" spans="1:24" ht="13.8" x14ac:dyDescent="0.25">
      <c r="A951" t="s">
        <v>3078</v>
      </c>
      <c r="B951">
        <f>YEAR(Retail_data[[#This Row],[Order Date]])</f>
        <v>2028</v>
      </c>
      <c r="C951" t="str">
        <f>TEXT(Retail_data[[#This Row],[Order Date]],"mmmm")</f>
        <v>April</v>
      </c>
      <c r="D951">
        <f>MONTH(Retail_data[[#This Row],[Order Date]])</f>
        <v>4</v>
      </c>
      <c r="E951" t="str">
        <f>"Q"&amp;ROUNDUP(MONTH(Retail_data[[#This Row],[Order Date]])/3,0)</f>
        <v>Q2</v>
      </c>
      <c r="F951" s="1">
        <v>46871</v>
      </c>
      <c r="G951" s="1">
        <v>46875</v>
      </c>
      <c r="H951" t="s">
        <v>3079</v>
      </c>
      <c r="I951" t="s">
        <v>3080</v>
      </c>
      <c r="J951" t="s">
        <v>33</v>
      </c>
      <c r="K951" t="s">
        <v>22</v>
      </c>
      <c r="L951" t="s">
        <v>23</v>
      </c>
      <c r="M951" t="s">
        <v>24</v>
      </c>
      <c r="N951" t="s">
        <v>25</v>
      </c>
      <c r="O951" t="s">
        <v>37</v>
      </c>
      <c r="P951" t="s">
        <v>52</v>
      </c>
      <c r="Q951" t="s">
        <v>2160</v>
      </c>
      <c r="R951">
        <v>10412.969999999999</v>
      </c>
      <c r="S951">
        <v>1</v>
      </c>
      <c r="T951">
        <v>0.1</v>
      </c>
      <c r="U951" t="str">
        <f>IF(Retail_data[[#This Row],[Sales]]&gt;30000,"High",IF(Retail_data[[#This Row],[Sales]]&gt;10000,"Medium","Low"))</f>
        <v>Medium</v>
      </c>
      <c r="V951" s="3">
        <f>Retail_data[[#This Row],[Profit]]/Retail_data[[#This Row],[Sales]]</f>
        <v>4.8065057327544403E-2</v>
      </c>
      <c r="W951">
        <v>500.5</v>
      </c>
      <c r="X951" t="s">
        <v>29</v>
      </c>
    </row>
    <row r="952" spans="1:24" ht="13.8" x14ac:dyDescent="0.25">
      <c r="A952" t="s">
        <v>3081</v>
      </c>
      <c r="B952">
        <f>YEAR(Retail_data[[#This Row],[Order Date]])</f>
        <v>2028</v>
      </c>
      <c r="C952" t="str">
        <f>TEXT(Retail_data[[#This Row],[Order Date]],"mmmm")</f>
        <v>April</v>
      </c>
      <c r="D952">
        <f>MONTH(Retail_data[[#This Row],[Order Date]])</f>
        <v>4</v>
      </c>
      <c r="E952" t="str">
        <f>"Q"&amp;ROUNDUP(MONTH(Retail_data[[#This Row],[Order Date]])/3,0)</f>
        <v>Q2</v>
      </c>
      <c r="F952" s="1">
        <v>46872</v>
      </c>
      <c r="G952" s="1">
        <v>46876</v>
      </c>
      <c r="H952" t="s">
        <v>3082</v>
      </c>
      <c r="I952" t="s">
        <v>3083</v>
      </c>
      <c r="J952" t="s">
        <v>33</v>
      </c>
      <c r="K952" t="s">
        <v>22</v>
      </c>
      <c r="L952" t="s">
        <v>34</v>
      </c>
      <c r="M952" t="s">
        <v>35</v>
      </c>
      <c r="N952" t="s">
        <v>36</v>
      </c>
      <c r="O952" t="s">
        <v>37</v>
      </c>
      <c r="P952" t="s">
        <v>52</v>
      </c>
      <c r="Q952" t="s">
        <v>101</v>
      </c>
      <c r="R952">
        <v>47698.13</v>
      </c>
      <c r="S952">
        <v>6</v>
      </c>
      <c r="T952">
        <v>0.3</v>
      </c>
      <c r="U952" t="str">
        <f>IF(Retail_data[[#This Row],[Sales]]&gt;30000,"High",IF(Retail_data[[#This Row],[Sales]]&gt;10000,"Medium","Low"))</f>
        <v>High</v>
      </c>
      <c r="V952" s="3">
        <f>Retail_data[[#This Row],[Profit]]/Retail_data[[#This Row],[Sales]]</f>
        <v>0.14469791583024325</v>
      </c>
      <c r="W952">
        <v>6901.82</v>
      </c>
      <c r="X952" t="s">
        <v>29</v>
      </c>
    </row>
    <row r="953" spans="1:24" ht="13.8" x14ac:dyDescent="0.25">
      <c r="A953" t="s">
        <v>3084</v>
      </c>
      <c r="B953">
        <f>YEAR(Retail_data[[#This Row],[Order Date]])</f>
        <v>2028</v>
      </c>
      <c r="C953" t="str">
        <f>TEXT(Retail_data[[#This Row],[Order Date]],"mmmm")</f>
        <v>April</v>
      </c>
      <c r="D953">
        <f>MONTH(Retail_data[[#This Row],[Order Date]])</f>
        <v>4</v>
      </c>
      <c r="E953" t="str">
        <f>"Q"&amp;ROUNDUP(MONTH(Retail_data[[#This Row],[Order Date]])/3,0)</f>
        <v>Q2</v>
      </c>
      <c r="F953" s="1">
        <v>46873</v>
      </c>
      <c r="G953" s="1">
        <v>46877</v>
      </c>
      <c r="H953" t="s">
        <v>3085</v>
      </c>
      <c r="I953" t="s">
        <v>3086</v>
      </c>
      <c r="J953" t="s">
        <v>21</v>
      </c>
      <c r="K953" t="s">
        <v>22</v>
      </c>
      <c r="L953" t="s">
        <v>85</v>
      </c>
      <c r="M953" t="s">
        <v>86</v>
      </c>
      <c r="N953" t="s">
        <v>87</v>
      </c>
      <c r="O953" t="s">
        <v>37</v>
      </c>
      <c r="P953" t="s">
        <v>46</v>
      </c>
      <c r="Q953" t="s">
        <v>320</v>
      </c>
      <c r="R953">
        <v>19823.7</v>
      </c>
      <c r="S953">
        <v>1</v>
      </c>
      <c r="T953">
        <v>0.1</v>
      </c>
      <c r="U953" t="str">
        <f>IF(Retail_data[[#This Row],[Sales]]&gt;30000,"High",IF(Retail_data[[#This Row],[Sales]]&gt;10000,"Medium","Low"))</f>
        <v>Medium</v>
      </c>
      <c r="V953" s="3">
        <f>Retail_data[[#This Row],[Profit]]/Retail_data[[#This Row],[Sales]]</f>
        <v>0.17274878050010845</v>
      </c>
      <c r="W953">
        <v>3424.52</v>
      </c>
      <c r="X953" t="s">
        <v>81</v>
      </c>
    </row>
    <row r="954" spans="1:24" ht="13.8" x14ac:dyDescent="0.25">
      <c r="A954" t="s">
        <v>3087</v>
      </c>
      <c r="B954">
        <f>YEAR(Retail_data[[#This Row],[Order Date]])</f>
        <v>2028</v>
      </c>
      <c r="C954" t="str">
        <f>TEXT(Retail_data[[#This Row],[Order Date]],"mmmm")</f>
        <v>May</v>
      </c>
      <c r="D954">
        <f>MONTH(Retail_data[[#This Row],[Order Date]])</f>
        <v>5</v>
      </c>
      <c r="E954" t="str">
        <f>"Q"&amp;ROUNDUP(MONTH(Retail_data[[#This Row],[Order Date]])/3,0)</f>
        <v>Q2</v>
      </c>
      <c r="F954" s="1">
        <v>46874</v>
      </c>
      <c r="G954" s="1">
        <v>46878</v>
      </c>
      <c r="H954" t="s">
        <v>3088</v>
      </c>
      <c r="I954" t="s">
        <v>3089</v>
      </c>
      <c r="J954" t="s">
        <v>44</v>
      </c>
      <c r="K954" t="s">
        <v>22</v>
      </c>
      <c r="L954" t="s">
        <v>85</v>
      </c>
      <c r="M954" t="s">
        <v>86</v>
      </c>
      <c r="N954" t="s">
        <v>87</v>
      </c>
      <c r="O954" t="s">
        <v>26</v>
      </c>
      <c r="P954" t="s">
        <v>27</v>
      </c>
      <c r="Q954" t="s">
        <v>660</v>
      </c>
      <c r="R954">
        <v>16102.18</v>
      </c>
      <c r="S954">
        <v>5</v>
      </c>
      <c r="T954">
        <v>0</v>
      </c>
      <c r="U954" t="str">
        <f>IF(Retail_data[[#This Row],[Sales]]&gt;30000,"High",IF(Retail_data[[#This Row],[Sales]]&gt;10000,"Medium","Low"))</f>
        <v>Medium</v>
      </c>
      <c r="V954" s="3">
        <f>Retail_data[[#This Row],[Profit]]/Retail_data[[#This Row],[Sales]]</f>
        <v>0.11175132808104245</v>
      </c>
      <c r="W954">
        <v>1799.44</v>
      </c>
      <c r="X954" t="s">
        <v>40</v>
      </c>
    </row>
    <row r="955" spans="1:24" ht="13.8" x14ac:dyDescent="0.25">
      <c r="A955" t="s">
        <v>3090</v>
      </c>
      <c r="B955">
        <f>YEAR(Retail_data[[#This Row],[Order Date]])</f>
        <v>2028</v>
      </c>
      <c r="C955" t="str">
        <f>TEXT(Retail_data[[#This Row],[Order Date]],"mmmm")</f>
        <v>May</v>
      </c>
      <c r="D955">
        <f>MONTH(Retail_data[[#This Row],[Order Date]])</f>
        <v>5</v>
      </c>
      <c r="E955" t="str">
        <f>"Q"&amp;ROUNDUP(MONTH(Retail_data[[#This Row],[Order Date]])/3,0)</f>
        <v>Q2</v>
      </c>
      <c r="F955" s="1">
        <v>46875</v>
      </c>
      <c r="G955" s="1">
        <v>46879</v>
      </c>
      <c r="H955" t="s">
        <v>3091</v>
      </c>
      <c r="I955" t="s">
        <v>3092</v>
      </c>
      <c r="J955" t="s">
        <v>21</v>
      </c>
      <c r="K955" t="s">
        <v>22</v>
      </c>
      <c r="L955" t="s">
        <v>34</v>
      </c>
      <c r="M955" t="s">
        <v>35</v>
      </c>
      <c r="N955" t="s">
        <v>36</v>
      </c>
      <c r="O955" t="s">
        <v>26</v>
      </c>
      <c r="P955" t="s">
        <v>92</v>
      </c>
      <c r="Q955" t="s">
        <v>415</v>
      </c>
      <c r="R955">
        <v>12282.57</v>
      </c>
      <c r="S955">
        <v>5</v>
      </c>
      <c r="T955">
        <v>0.1</v>
      </c>
      <c r="U955" t="str">
        <f>IF(Retail_data[[#This Row],[Sales]]&gt;30000,"High",IF(Retail_data[[#This Row],[Sales]]&gt;10000,"Medium","Low"))</f>
        <v>Medium</v>
      </c>
      <c r="V955" s="3">
        <f>Retail_data[[#This Row],[Profit]]/Retail_data[[#This Row],[Sales]]</f>
        <v>6.316756183762845E-2</v>
      </c>
      <c r="W955">
        <v>775.86</v>
      </c>
      <c r="X955" t="s">
        <v>81</v>
      </c>
    </row>
    <row r="956" spans="1:24" ht="13.8" x14ac:dyDescent="0.25">
      <c r="A956" t="s">
        <v>3093</v>
      </c>
      <c r="B956">
        <f>YEAR(Retail_data[[#This Row],[Order Date]])</f>
        <v>2028</v>
      </c>
      <c r="C956" t="str">
        <f>TEXT(Retail_data[[#This Row],[Order Date]],"mmmm")</f>
        <v>May</v>
      </c>
      <c r="D956">
        <f>MONTH(Retail_data[[#This Row],[Order Date]])</f>
        <v>5</v>
      </c>
      <c r="E956" t="str">
        <f>"Q"&amp;ROUNDUP(MONTH(Retail_data[[#This Row],[Order Date]])/3,0)</f>
        <v>Q2</v>
      </c>
      <c r="F956" s="1">
        <v>46876</v>
      </c>
      <c r="G956" s="1">
        <v>46880</v>
      </c>
      <c r="H956" t="s">
        <v>3094</v>
      </c>
      <c r="I956" t="s">
        <v>3095</v>
      </c>
      <c r="J956" t="s">
        <v>33</v>
      </c>
      <c r="K956" t="s">
        <v>22</v>
      </c>
      <c r="L956" t="s">
        <v>34</v>
      </c>
      <c r="M956" t="s">
        <v>35</v>
      </c>
      <c r="N956" t="s">
        <v>36</v>
      </c>
      <c r="O956" t="s">
        <v>57</v>
      </c>
      <c r="P956" t="s">
        <v>79</v>
      </c>
      <c r="Q956" t="s">
        <v>254</v>
      </c>
      <c r="R956">
        <v>32718.62</v>
      </c>
      <c r="S956">
        <v>6</v>
      </c>
      <c r="T956">
        <v>0.2</v>
      </c>
      <c r="U956" t="str">
        <f>IF(Retail_data[[#This Row],[Sales]]&gt;30000,"High",IF(Retail_data[[#This Row],[Sales]]&gt;10000,"Medium","Low"))</f>
        <v>High</v>
      </c>
      <c r="V956" s="3">
        <f>Retail_data[[#This Row],[Profit]]/Retail_data[[#This Row],[Sales]]</f>
        <v>4.1325398198334772E-2</v>
      </c>
      <c r="W956">
        <v>1352.11</v>
      </c>
      <c r="X956" t="s">
        <v>40</v>
      </c>
    </row>
    <row r="957" spans="1:24" ht="13.8" x14ac:dyDescent="0.25">
      <c r="A957" t="s">
        <v>3096</v>
      </c>
      <c r="B957">
        <f>YEAR(Retail_data[[#This Row],[Order Date]])</f>
        <v>2028</v>
      </c>
      <c r="C957" t="str">
        <f>TEXT(Retail_data[[#This Row],[Order Date]],"mmmm")</f>
        <v>May</v>
      </c>
      <c r="D957">
        <f>MONTH(Retail_data[[#This Row],[Order Date]])</f>
        <v>5</v>
      </c>
      <c r="E957" t="str">
        <f>"Q"&amp;ROUNDUP(MONTH(Retail_data[[#This Row],[Order Date]])/3,0)</f>
        <v>Q2</v>
      </c>
      <c r="F957" s="1">
        <v>46877</v>
      </c>
      <c r="G957" s="1">
        <v>46881</v>
      </c>
      <c r="H957" t="s">
        <v>3097</v>
      </c>
      <c r="I957" t="s">
        <v>3098</v>
      </c>
      <c r="J957" t="s">
        <v>33</v>
      </c>
      <c r="K957" t="s">
        <v>22</v>
      </c>
      <c r="L957" t="s">
        <v>45</v>
      </c>
      <c r="M957" t="s">
        <v>45</v>
      </c>
      <c r="N957" t="s">
        <v>25</v>
      </c>
      <c r="O957" t="s">
        <v>37</v>
      </c>
      <c r="P957" t="s">
        <v>52</v>
      </c>
      <c r="Q957" t="s">
        <v>335</v>
      </c>
      <c r="R957">
        <v>6204.66</v>
      </c>
      <c r="S957">
        <v>7</v>
      </c>
      <c r="T957">
        <v>0</v>
      </c>
      <c r="U957" t="str">
        <f>IF(Retail_data[[#This Row],[Sales]]&gt;30000,"High",IF(Retail_data[[#This Row],[Sales]]&gt;10000,"Medium","Low"))</f>
        <v>Low</v>
      </c>
      <c r="V957" s="3">
        <f>Retail_data[[#This Row],[Profit]]/Retail_data[[#This Row],[Sales]]</f>
        <v>0.17112944141983605</v>
      </c>
      <c r="W957">
        <v>1061.8</v>
      </c>
      <c r="X957" t="s">
        <v>48</v>
      </c>
    </row>
    <row r="958" spans="1:24" ht="13.8" x14ac:dyDescent="0.25">
      <c r="A958" t="s">
        <v>3099</v>
      </c>
      <c r="B958">
        <f>YEAR(Retail_data[[#This Row],[Order Date]])</f>
        <v>2028</v>
      </c>
      <c r="C958" t="str">
        <f>TEXT(Retail_data[[#This Row],[Order Date]],"mmmm")</f>
        <v>May</v>
      </c>
      <c r="D958">
        <f>MONTH(Retail_data[[#This Row],[Order Date]])</f>
        <v>5</v>
      </c>
      <c r="E958" t="str">
        <f>"Q"&amp;ROUNDUP(MONTH(Retail_data[[#This Row],[Order Date]])/3,0)</f>
        <v>Q2</v>
      </c>
      <c r="F958" s="1">
        <v>46878</v>
      </c>
      <c r="G958" s="1">
        <v>46882</v>
      </c>
      <c r="H958" t="s">
        <v>3100</v>
      </c>
      <c r="I958" t="s">
        <v>3101</v>
      </c>
      <c r="J958" t="s">
        <v>33</v>
      </c>
      <c r="K958" t="s">
        <v>22</v>
      </c>
      <c r="L958" t="s">
        <v>85</v>
      </c>
      <c r="M958" t="s">
        <v>86</v>
      </c>
      <c r="N958" t="s">
        <v>87</v>
      </c>
      <c r="O958" t="s">
        <v>26</v>
      </c>
      <c r="P958" t="s">
        <v>92</v>
      </c>
      <c r="Q958" t="s">
        <v>246</v>
      </c>
      <c r="R958">
        <v>25007.67</v>
      </c>
      <c r="S958">
        <v>1</v>
      </c>
      <c r="T958">
        <v>0.3</v>
      </c>
      <c r="U958" t="str">
        <f>IF(Retail_data[[#This Row],[Sales]]&gt;30000,"High",IF(Retail_data[[#This Row],[Sales]]&gt;10000,"Medium","Low"))</f>
        <v>Medium</v>
      </c>
      <c r="V958" s="3">
        <f>Retail_data[[#This Row],[Profit]]/Retail_data[[#This Row],[Sales]]</f>
        <v>2.1273473298392058E-3</v>
      </c>
      <c r="W958">
        <v>53.2</v>
      </c>
      <c r="X958" t="s">
        <v>48</v>
      </c>
    </row>
    <row r="959" spans="1:24" ht="13.8" x14ac:dyDescent="0.25">
      <c r="A959" t="s">
        <v>3102</v>
      </c>
      <c r="B959">
        <f>YEAR(Retail_data[[#This Row],[Order Date]])</f>
        <v>2028</v>
      </c>
      <c r="C959" t="str">
        <f>TEXT(Retail_data[[#This Row],[Order Date]],"mmmm")</f>
        <v>May</v>
      </c>
      <c r="D959">
        <f>MONTH(Retail_data[[#This Row],[Order Date]])</f>
        <v>5</v>
      </c>
      <c r="E959" t="str">
        <f>"Q"&amp;ROUNDUP(MONTH(Retail_data[[#This Row],[Order Date]])/3,0)</f>
        <v>Q2</v>
      </c>
      <c r="F959" s="1">
        <v>46879</v>
      </c>
      <c r="G959" s="1">
        <v>46883</v>
      </c>
      <c r="H959" t="s">
        <v>3103</v>
      </c>
      <c r="I959" t="s">
        <v>3104</v>
      </c>
      <c r="J959" t="s">
        <v>33</v>
      </c>
      <c r="K959" t="s">
        <v>22</v>
      </c>
      <c r="L959" t="s">
        <v>45</v>
      </c>
      <c r="M959" t="s">
        <v>45</v>
      </c>
      <c r="N959" t="s">
        <v>25</v>
      </c>
      <c r="O959" t="s">
        <v>26</v>
      </c>
      <c r="P959" t="s">
        <v>70</v>
      </c>
      <c r="Q959" t="s">
        <v>1866</v>
      </c>
      <c r="R959">
        <v>40916.379999999997</v>
      </c>
      <c r="S959">
        <v>4</v>
      </c>
      <c r="T959">
        <v>0.3</v>
      </c>
      <c r="U959" t="str">
        <f>IF(Retail_data[[#This Row],[Sales]]&gt;30000,"High",IF(Retail_data[[#This Row],[Sales]]&gt;10000,"Medium","Low"))</f>
        <v>High</v>
      </c>
      <c r="V959" s="3">
        <f>Retail_data[[#This Row],[Profit]]/Retail_data[[#This Row],[Sales]]</f>
        <v>5.5932611829296729E-2</v>
      </c>
      <c r="W959">
        <v>2288.56</v>
      </c>
      <c r="X959" t="s">
        <v>81</v>
      </c>
    </row>
    <row r="960" spans="1:24" ht="13.8" x14ac:dyDescent="0.25">
      <c r="A960" t="s">
        <v>3105</v>
      </c>
      <c r="B960">
        <f>YEAR(Retail_data[[#This Row],[Order Date]])</f>
        <v>2028</v>
      </c>
      <c r="C960" t="str">
        <f>TEXT(Retail_data[[#This Row],[Order Date]],"mmmm")</f>
        <v>May</v>
      </c>
      <c r="D960">
        <f>MONTH(Retail_data[[#This Row],[Order Date]])</f>
        <v>5</v>
      </c>
      <c r="E960" t="str">
        <f>"Q"&amp;ROUNDUP(MONTH(Retail_data[[#This Row],[Order Date]])/3,0)</f>
        <v>Q2</v>
      </c>
      <c r="F960" s="1">
        <v>46880</v>
      </c>
      <c r="G960" s="1">
        <v>46884</v>
      </c>
      <c r="H960" t="s">
        <v>3106</v>
      </c>
      <c r="I960" t="s">
        <v>3107</v>
      </c>
      <c r="J960" t="s">
        <v>44</v>
      </c>
      <c r="K960" t="s">
        <v>22</v>
      </c>
      <c r="L960" t="s">
        <v>34</v>
      </c>
      <c r="M960" t="s">
        <v>35</v>
      </c>
      <c r="N960" t="s">
        <v>36</v>
      </c>
      <c r="O960" t="s">
        <v>37</v>
      </c>
      <c r="P960" t="s">
        <v>46</v>
      </c>
      <c r="Q960" t="s">
        <v>741</v>
      </c>
      <c r="R960">
        <v>30752.82</v>
      </c>
      <c r="S960">
        <v>2</v>
      </c>
      <c r="T960">
        <v>0.1</v>
      </c>
      <c r="U960" t="str">
        <f>IF(Retail_data[[#This Row],[Sales]]&gt;30000,"High",IF(Retail_data[[#This Row],[Sales]]&gt;10000,"Medium","Low"))</f>
        <v>High</v>
      </c>
      <c r="V960" s="3">
        <f>Retail_data[[#This Row],[Profit]]/Retail_data[[#This Row],[Sales]]</f>
        <v>0.22444478262481296</v>
      </c>
      <c r="W960">
        <v>6902.31</v>
      </c>
      <c r="X960" t="s">
        <v>40</v>
      </c>
    </row>
    <row r="961" spans="1:24" ht="13.8" x14ac:dyDescent="0.25">
      <c r="A961" t="s">
        <v>3108</v>
      </c>
      <c r="B961">
        <f>YEAR(Retail_data[[#This Row],[Order Date]])</f>
        <v>2028</v>
      </c>
      <c r="C961" t="str">
        <f>TEXT(Retail_data[[#This Row],[Order Date]],"mmmm")</f>
        <v>May</v>
      </c>
      <c r="D961">
        <f>MONTH(Retail_data[[#This Row],[Order Date]])</f>
        <v>5</v>
      </c>
      <c r="E961" t="str">
        <f>"Q"&amp;ROUNDUP(MONTH(Retail_data[[#This Row],[Order Date]])/3,0)</f>
        <v>Q2</v>
      </c>
      <c r="F961" s="1">
        <v>46881</v>
      </c>
      <c r="G961" s="1">
        <v>46885</v>
      </c>
      <c r="H961" t="s">
        <v>3109</v>
      </c>
      <c r="I961" t="s">
        <v>3110</v>
      </c>
      <c r="J961" t="s">
        <v>21</v>
      </c>
      <c r="K961" t="s">
        <v>22</v>
      </c>
      <c r="L961" t="s">
        <v>85</v>
      </c>
      <c r="M961" t="s">
        <v>86</v>
      </c>
      <c r="N961" t="s">
        <v>87</v>
      </c>
      <c r="O961" t="s">
        <v>37</v>
      </c>
      <c r="P961" t="s">
        <v>46</v>
      </c>
      <c r="Q961" t="s">
        <v>968</v>
      </c>
      <c r="R961">
        <v>6233.41</v>
      </c>
      <c r="S961">
        <v>6</v>
      </c>
      <c r="T961">
        <v>0.2</v>
      </c>
      <c r="U961" t="str">
        <f>IF(Retail_data[[#This Row],[Sales]]&gt;30000,"High",IF(Retail_data[[#This Row],[Sales]]&gt;10000,"Medium","Low"))</f>
        <v>Low</v>
      </c>
      <c r="V961" s="3">
        <f>Retail_data[[#This Row],[Profit]]/Retail_data[[#This Row],[Sales]]</f>
        <v>0.17829085524616542</v>
      </c>
      <c r="W961">
        <v>1111.3599999999999</v>
      </c>
      <c r="X961" t="s">
        <v>29</v>
      </c>
    </row>
    <row r="962" spans="1:24" ht="13.8" x14ac:dyDescent="0.25">
      <c r="A962" t="s">
        <v>3111</v>
      </c>
      <c r="B962">
        <f>YEAR(Retail_data[[#This Row],[Order Date]])</f>
        <v>2028</v>
      </c>
      <c r="C962" t="str">
        <f>TEXT(Retail_data[[#This Row],[Order Date]],"mmmm")</f>
        <v>May</v>
      </c>
      <c r="D962">
        <f>MONTH(Retail_data[[#This Row],[Order Date]])</f>
        <v>5</v>
      </c>
      <c r="E962" t="str">
        <f>"Q"&amp;ROUNDUP(MONTH(Retail_data[[#This Row],[Order Date]])/3,0)</f>
        <v>Q2</v>
      </c>
      <c r="F962" s="1">
        <v>46882</v>
      </c>
      <c r="G962" s="1">
        <v>46886</v>
      </c>
      <c r="H962" t="s">
        <v>3112</v>
      </c>
      <c r="I962" t="s">
        <v>3113</v>
      </c>
      <c r="J962" t="s">
        <v>44</v>
      </c>
      <c r="K962" t="s">
        <v>22</v>
      </c>
      <c r="L962" t="s">
        <v>34</v>
      </c>
      <c r="M962" t="s">
        <v>35</v>
      </c>
      <c r="N962" t="s">
        <v>36</v>
      </c>
      <c r="O962" t="s">
        <v>26</v>
      </c>
      <c r="P962" t="s">
        <v>92</v>
      </c>
      <c r="Q962" t="s">
        <v>807</v>
      </c>
      <c r="R962">
        <v>11118.47</v>
      </c>
      <c r="S962">
        <v>6</v>
      </c>
      <c r="T962">
        <v>0.1</v>
      </c>
      <c r="U962" t="str">
        <f>IF(Retail_data[[#This Row],[Sales]]&gt;30000,"High",IF(Retail_data[[#This Row],[Sales]]&gt;10000,"Medium","Low"))</f>
        <v>Medium</v>
      </c>
      <c r="V962" s="3">
        <f>Retail_data[[#This Row],[Profit]]/Retail_data[[#This Row],[Sales]]</f>
        <v>0.20749977290040805</v>
      </c>
      <c r="W962">
        <v>2307.08</v>
      </c>
      <c r="X962" t="s">
        <v>48</v>
      </c>
    </row>
    <row r="963" spans="1:24" ht="13.8" x14ac:dyDescent="0.25">
      <c r="A963" t="s">
        <v>3114</v>
      </c>
      <c r="B963">
        <f>YEAR(Retail_data[[#This Row],[Order Date]])</f>
        <v>2028</v>
      </c>
      <c r="C963" t="str">
        <f>TEXT(Retail_data[[#This Row],[Order Date]],"mmmm")</f>
        <v>May</v>
      </c>
      <c r="D963">
        <f>MONTH(Retail_data[[#This Row],[Order Date]])</f>
        <v>5</v>
      </c>
      <c r="E963" t="str">
        <f>"Q"&amp;ROUNDUP(MONTH(Retail_data[[#This Row],[Order Date]])/3,0)</f>
        <v>Q2</v>
      </c>
      <c r="F963" s="1">
        <v>46883</v>
      </c>
      <c r="G963" s="1">
        <v>46887</v>
      </c>
      <c r="H963" t="s">
        <v>3115</v>
      </c>
      <c r="I963" t="s">
        <v>3116</v>
      </c>
      <c r="J963" t="s">
        <v>21</v>
      </c>
      <c r="K963" t="s">
        <v>22</v>
      </c>
      <c r="L963" t="s">
        <v>45</v>
      </c>
      <c r="M963" t="s">
        <v>45</v>
      </c>
      <c r="N963" t="s">
        <v>25</v>
      </c>
      <c r="O963" t="s">
        <v>26</v>
      </c>
      <c r="P963" t="s">
        <v>92</v>
      </c>
      <c r="Q963" t="s">
        <v>235</v>
      </c>
      <c r="R963">
        <v>11567.89</v>
      </c>
      <c r="S963">
        <v>3</v>
      </c>
      <c r="T963">
        <v>0.2</v>
      </c>
      <c r="U963" t="str">
        <f>IF(Retail_data[[#This Row],[Sales]]&gt;30000,"High",IF(Retail_data[[#This Row],[Sales]]&gt;10000,"Medium","Low"))</f>
        <v>Medium</v>
      </c>
      <c r="V963" s="3">
        <f>Retail_data[[#This Row],[Profit]]/Retail_data[[#This Row],[Sales]]</f>
        <v>7.9462200971828059E-2</v>
      </c>
      <c r="W963">
        <v>919.21</v>
      </c>
      <c r="X963" t="s">
        <v>40</v>
      </c>
    </row>
    <row r="964" spans="1:24" ht="13.8" x14ac:dyDescent="0.25">
      <c r="A964" t="s">
        <v>3117</v>
      </c>
      <c r="B964">
        <f>YEAR(Retail_data[[#This Row],[Order Date]])</f>
        <v>2028</v>
      </c>
      <c r="C964" t="str">
        <f>TEXT(Retail_data[[#This Row],[Order Date]],"mmmm")</f>
        <v>May</v>
      </c>
      <c r="D964">
        <f>MONTH(Retail_data[[#This Row],[Order Date]])</f>
        <v>5</v>
      </c>
      <c r="E964" t="str">
        <f>"Q"&amp;ROUNDUP(MONTH(Retail_data[[#This Row],[Order Date]])/3,0)</f>
        <v>Q2</v>
      </c>
      <c r="F964" s="1">
        <v>46884</v>
      </c>
      <c r="G964" s="1">
        <v>46888</v>
      </c>
      <c r="H964" t="s">
        <v>3118</v>
      </c>
      <c r="I964" t="s">
        <v>3119</v>
      </c>
      <c r="J964" t="s">
        <v>21</v>
      </c>
      <c r="K964" t="s">
        <v>22</v>
      </c>
      <c r="L964" t="s">
        <v>45</v>
      </c>
      <c r="M964" t="s">
        <v>45</v>
      </c>
      <c r="N964" t="s">
        <v>25</v>
      </c>
      <c r="O964" t="s">
        <v>26</v>
      </c>
      <c r="P964" t="s">
        <v>27</v>
      </c>
      <c r="Q964" t="s">
        <v>285</v>
      </c>
      <c r="R964">
        <v>9512.08</v>
      </c>
      <c r="S964">
        <v>1</v>
      </c>
      <c r="T964">
        <v>0.1</v>
      </c>
      <c r="U964" t="str">
        <f>IF(Retail_data[[#This Row],[Sales]]&gt;30000,"High",IF(Retail_data[[#This Row],[Sales]]&gt;10000,"Medium","Low"))</f>
        <v>Low</v>
      </c>
      <c r="V964" s="3">
        <f>Retail_data[[#This Row],[Profit]]/Retail_data[[#This Row],[Sales]]</f>
        <v>0.1928379492182572</v>
      </c>
      <c r="W964">
        <v>1834.29</v>
      </c>
      <c r="X964" t="s">
        <v>81</v>
      </c>
    </row>
    <row r="965" spans="1:24" ht="13.8" x14ac:dyDescent="0.25">
      <c r="A965" t="s">
        <v>3120</v>
      </c>
      <c r="B965">
        <f>YEAR(Retail_data[[#This Row],[Order Date]])</f>
        <v>2028</v>
      </c>
      <c r="C965" t="str">
        <f>TEXT(Retail_data[[#This Row],[Order Date]],"mmmm")</f>
        <v>May</v>
      </c>
      <c r="D965">
        <f>MONTH(Retail_data[[#This Row],[Order Date]])</f>
        <v>5</v>
      </c>
      <c r="E965" t="str">
        <f>"Q"&amp;ROUNDUP(MONTH(Retail_data[[#This Row],[Order Date]])/3,0)</f>
        <v>Q2</v>
      </c>
      <c r="F965" s="1">
        <v>46885</v>
      </c>
      <c r="G965" s="1">
        <v>46889</v>
      </c>
      <c r="H965" t="s">
        <v>3121</v>
      </c>
      <c r="I965" t="s">
        <v>3122</v>
      </c>
      <c r="J965" t="s">
        <v>21</v>
      </c>
      <c r="K965" t="s">
        <v>22</v>
      </c>
      <c r="L965" t="s">
        <v>34</v>
      </c>
      <c r="M965" t="s">
        <v>35</v>
      </c>
      <c r="N965" t="s">
        <v>36</v>
      </c>
      <c r="O965" t="s">
        <v>57</v>
      </c>
      <c r="P965" t="s">
        <v>149</v>
      </c>
      <c r="Q965" t="s">
        <v>176</v>
      </c>
      <c r="R965">
        <v>26321.63</v>
      </c>
      <c r="S965">
        <v>4</v>
      </c>
      <c r="T965">
        <v>0</v>
      </c>
      <c r="U965" t="str">
        <f>IF(Retail_data[[#This Row],[Sales]]&gt;30000,"High",IF(Retail_data[[#This Row],[Sales]]&gt;10000,"Medium","Low"))</f>
        <v>Medium</v>
      </c>
      <c r="V965" s="3">
        <f>Retail_data[[#This Row],[Profit]]/Retail_data[[#This Row],[Sales]]</f>
        <v>5.5531135419804929E-2</v>
      </c>
      <c r="W965">
        <v>1461.67</v>
      </c>
      <c r="X965" t="s">
        <v>29</v>
      </c>
    </row>
    <row r="966" spans="1:24" ht="13.8" x14ac:dyDescent="0.25">
      <c r="A966" t="s">
        <v>3123</v>
      </c>
      <c r="B966">
        <f>YEAR(Retail_data[[#This Row],[Order Date]])</f>
        <v>2028</v>
      </c>
      <c r="C966" t="str">
        <f>TEXT(Retail_data[[#This Row],[Order Date]],"mmmm")</f>
        <v>May</v>
      </c>
      <c r="D966">
        <f>MONTH(Retail_data[[#This Row],[Order Date]])</f>
        <v>5</v>
      </c>
      <c r="E966" t="str">
        <f>"Q"&amp;ROUNDUP(MONTH(Retail_data[[#This Row],[Order Date]])/3,0)</f>
        <v>Q2</v>
      </c>
      <c r="F966" s="1">
        <v>46886</v>
      </c>
      <c r="G966" s="1">
        <v>46890</v>
      </c>
      <c r="H966" t="s">
        <v>3124</v>
      </c>
      <c r="I966" t="s">
        <v>3125</v>
      </c>
      <c r="J966" t="s">
        <v>21</v>
      </c>
      <c r="K966" t="s">
        <v>22</v>
      </c>
      <c r="L966" t="s">
        <v>23</v>
      </c>
      <c r="M966" t="s">
        <v>24</v>
      </c>
      <c r="N966" t="s">
        <v>25</v>
      </c>
      <c r="O966" t="s">
        <v>37</v>
      </c>
      <c r="P966" t="s">
        <v>46</v>
      </c>
      <c r="Q966" t="s">
        <v>1441</v>
      </c>
      <c r="R966">
        <v>37527.83</v>
      </c>
      <c r="S966">
        <v>5</v>
      </c>
      <c r="T966">
        <v>0.2</v>
      </c>
      <c r="U966" t="str">
        <f>IF(Retail_data[[#This Row],[Sales]]&gt;30000,"High",IF(Retail_data[[#This Row],[Sales]]&gt;10000,"Medium","Low"))</f>
        <v>High</v>
      </c>
      <c r="V966" s="3">
        <f>Retail_data[[#This Row],[Profit]]/Retail_data[[#This Row],[Sales]]</f>
        <v>0.16814774528663129</v>
      </c>
      <c r="W966">
        <v>6310.22</v>
      </c>
      <c r="X966" t="s">
        <v>29</v>
      </c>
    </row>
    <row r="967" spans="1:24" ht="13.8" x14ac:dyDescent="0.25">
      <c r="A967" t="s">
        <v>3126</v>
      </c>
      <c r="B967">
        <f>YEAR(Retail_data[[#This Row],[Order Date]])</f>
        <v>2028</v>
      </c>
      <c r="C967" t="str">
        <f>TEXT(Retail_data[[#This Row],[Order Date]],"mmmm")</f>
        <v>May</v>
      </c>
      <c r="D967">
        <f>MONTH(Retail_data[[#This Row],[Order Date]])</f>
        <v>5</v>
      </c>
      <c r="E967" t="str">
        <f>"Q"&amp;ROUNDUP(MONTH(Retail_data[[#This Row],[Order Date]])/3,0)</f>
        <v>Q2</v>
      </c>
      <c r="F967" s="1">
        <v>46887</v>
      </c>
      <c r="G967" s="1">
        <v>46891</v>
      </c>
      <c r="H967" t="s">
        <v>3127</v>
      </c>
      <c r="I967" t="s">
        <v>3128</v>
      </c>
      <c r="J967" t="s">
        <v>33</v>
      </c>
      <c r="K967" t="s">
        <v>22</v>
      </c>
      <c r="L967" t="s">
        <v>34</v>
      </c>
      <c r="M967" t="s">
        <v>35</v>
      </c>
      <c r="N967" t="s">
        <v>36</v>
      </c>
      <c r="O967" t="s">
        <v>26</v>
      </c>
      <c r="P967" t="s">
        <v>70</v>
      </c>
      <c r="Q967" t="s">
        <v>117</v>
      </c>
      <c r="R967">
        <v>7099.92</v>
      </c>
      <c r="S967">
        <v>8</v>
      </c>
      <c r="T967">
        <v>0</v>
      </c>
      <c r="U967" t="str">
        <f>IF(Retail_data[[#This Row],[Sales]]&gt;30000,"High",IF(Retail_data[[#This Row],[Sales]]&gt;10000,"Medium","Low"))</f>
        <v>Low</v>
      </c>
      <c r="V967" s="3">
        <f>Retail_data[[#This Row],[Profit]]/Retail_data[[#This Row],[Sales]]</f>
        <v>0.18624153511588862</v>
      </c>
      <c r="W967">
        <v>1322.3</v>
      </c>
      <c r="X967" t="s">
        <v>40</v>
      </c>
    </row>
    <row r="968" spans="1:24" ht="13.8" x14ac:dyDescent="0.25">
      <c r="A968" t="s">
        <v>3129</v>
      </c>
      <c r="B968">
        <f>YEAR(Retail_data[[#This Row],[Order Date]])</f>
        <v>2028</v>
      </c>
      <c r="C968" t="str">
        <f>TEXT(Retail_data[[#This Row],[Order Date]],"mmmm")</f>
        <v>May</v>
      </c>
      <c r="D968">
        <f>MONTH(Retail_data[[#This Row],[Order Date]])</f>
        <v>5</v>
      </c>
      <c r="E968" t="str">
        <f>"Q"&amp;ROUNDUP(MONTH(Retail_data[[#This Row],[Order Date]])/3,0)</f>
        <v>Q2</v>
      </c>
      <c r="F968" s="1">
        <v>46888</v>
      </c>
      <c r="G968" s="1">
        <v>46892</v>
      </c>
      <c r="H968" t="s">
        <v>3130</v>
      </c>
      <c r="I968" t="s">
        <v>3131</v>
      </c>
      <c r="J968" t="s">
        <v>33</v>
      </c>
      <c r="K968" t="s">
        <v>22</v>
      </c>
      <c r="L968" t="s">
        <v>34</v>
      </c>
      <c r="M968" t="s">
        <v>35</v>
      </c>
      <c r="N968" t="s">
        <v>36</v>
      </c>
      <c r="O968" t="s">
        <v>57</v>
      </c>
      <c r="P968" t="s">
        <v>149</v>
      </c>
      <c r="Q968" t="s">
        <v>176</v>
      </c>
      <c r="R968">
        <v>26641.55</v>
      </c>
      <c r="S968">
        <v>6</v>
      </c>
      <c r="T968">
        <v>0.3</v>
      </c>
      <c r="U968" t="str">
        <f>IF(Retail_data[[#This Row],[Sales]]&gt;30000,"High",IF(Retail_data[[#This Row],[Sales]]&gt;10000,"Medium","Low"))</f>
        <v>Medium</v>
      </c>
      <c r="V968" s="3">
        <f>Retail_data[[#This Row],[Profit]]/Retail_data[[#This Row],[Sales]]</f>
        <v>0.10097723293126715</v>
      </c>
      <c r="W968">
        <v>2690.19</v>
      </c>
      <c r="X968" t="s">
        <v>48</v>
      </c>
    </row>
    <row r="969" spans="1:24" ht="13.8" x14ac:dyDescent="0.25">
      <c r="A969" t="s">
        <v>3132</v>
      </c>
      <c r="B969">
        <f>YEAR(Retail_data[[#This Row],[Order Date]])</f>
        <v>2028</v>
      </c>
      <c r="C969" t="str">
        <f>TEXT(Retail_data[[#This Row],[Order Date]],"mmmm")</f>
        <v>May</v>
      </c>
      <c r="D969">
        <f>MONTH(Retail_data[[#This Row],[Order Date]])</f>
        <v>5</v>
      </c>
      <c r="E969" t="str">
        <f>"Q"&amp;ROUNDUP(MONTH(Retail_data[[#This Row],[Order Date]])/3,0)</f>
        <v>Q2</v>
      </c>
      <c r="F969" s="1">
        <v>46889</v>
      </c>
      <c r="G969" s="1">
        <v>46893</v>
      </c>
      <c r="H969" t="s">
        <v>3133</v>
      </c>
      <c r="I969" t="s">
        <v>3134</v>
      </c>
      <c r="J969" t="s">
        <v>33</v>
      </c>
      <c r="K969" t="s">
        <v>22</v>
      </c>
      <c r="L969" t="s">
        <v>34</v>
      </c>
      <c r="M969" t="s">
        <v>35</v>
      </c>
      <c r="N969" t="s">
        <v>36</v>
      </c>
      <c r="O969" t="s">
        <v>26</v>
      </c>
      <c r="P969" t="s">
        <v>27</v>
      </c>
      <c r="Q969" t="s">
        <v>2339</v>
      </c>
      <c r="R969">
        <v>46648.72</v>
      </c>
      <c r="S969">
        <v>4</v>
      </c>
      <c r="T969">
        <v>0.3</v>
      </c>
      <c r="U969" t="str">
        <f>IF(Retail_data[[#This Row],[Sales]]&gt;30000,"High",IF(Retail_data[[#This Row],[Sales]]&gt;10000,"Medium","Low"))</f>
        <v>High</v>
      </c>
      <c r="V969" s="3">
        <f>Retail_data[[#This Row],[Profit]]/Retail_data[[#This Row],[Sales]]</f>
        <v>0.11613930671624001</v>
      </c>
      <c r="W969">
        <v>5417.75</v>
      </c>
      <c r="X969" t="s">
        <v>48</v>
      </c>
    </row>
    <row r="970" spans="1:24" ht="13.8" x14ac:dyDescent="0.25">
      <c r="A970" t="s">
        <v>3135</v>
      </c>
      <c r="B970">
        <f>YEAR(Retail_data[[#This Row],[Order Date]])</f>
        <v>2028</v>
      </c>
      <c r="C970" t="str">
        <f>TEXT(Retail_data[[#This Row],[Order Date]],"mmmm")</f>
        <v>May</v>
      </c>
      <c r="D970">
        <f>MONTH(Retail_data[[#This Row],[Order Date]])</f>
        <v>5</v>
      </c>
      <c r="E970" t="str">
        <f>"Q"&amp;ROUNDUP(MONTH(Retail_data[[#This Row],[Order Date]])/3,0)</f>
        <v>Q2</v>
      </c>
      <c r="F970" s="1">
        <v>46890</v>
      </c>
      <c r="G970" s="1">
        <v>46894</v>
      </c>
      <c r="H970" t="s">
        <v>3136</v>
      </c>
      <c r="I970" t="s">
        <v>3137</v>
      </c>
      <c r="J970" t="s">
        <v>44</v>
      </c>
      <c r="K970" t="s">
        <v>22</v>
      </c>
      <c r="L970" t="s">
        <v>45</v>
      </c>
      <c r="M970" t="s">
        <v>45</v>
      </c>
      <c r="N970" t="s">
        <v>25</v>
      </c>
      <c r="O970" t="s">
        <v>57</v>
      </c>
      <c r="P970" t="s">
        <v>149</v>
      </c>
      <c r="Q970" t="s">
        <v>362</v>
      </c>
      <c r="R970">
        <v>45179.55</v>
      </c>
      <c r="S970">
        <v>6</v>
      </c>
      <c r="T970">
        <v>0.2</v>
      </c>
      <c r="U970" t="str">
        <f>IF(Retail_data[[#This Row],[Sales]]&gt;30000,"High",IF(Retail_data[[#This Row],[Sales]]&gt;10000,"Medium","Low"))</f>
        <v>High</v>
      </c>
      <c r="V970" s="3">
        <f>Retail_data[[#This Row],[Profit]]/Retail_data[[#This Row],[Sales]]</f>
        <v>0.2150441958806584</v>
      </c>
      <c r="W970">
        <v>9715.6</v>
      </c>
      <c r="X970" t="s">
        <v>81</v>
      </c>
    </row>
    <row r="971" spans="1:24" ht="13.8" x14ac:dyDescent="0.25">
      <c r="A971" t="s">
        <v>3138</v>
      </c>
      <c r="B971">
        <f>YEAR(Retail_data[[#This Row],[Order Date]])</f>
        <v>2028</v>
      </c>
      <c r="C971" t="str">
        <f>TEXT(Retail_data[[#This Row],[Order Date]],"mmmm")</f>
        <v>May</v>
      </c>
      <c r="D971">
        <f>MONTH(Retail_data[[#This Row],[Order Date]])</f>
        <v>5</v>
      </c>
      <c r="E971" t="str">
        <f>"Q"&amp;ROUNDUP(MONTH(Retail_data[[#This Row],[Order Date]])/3,0)</f>
        <v>Q2</v>
      </c>
      <c r="F971" s="1">
        <v>46891</v>
      </c>
      <c r="G971" s="1">
        <v>46895</v>
      </c>
      <c r="H971" t="s">
        <v>3139</v>
      </c>
      <c r="I971" t="s">
        <v>3140</v>
      </c>
      <c r="J971" t="s">
        <v>44</v>
      </c>
      <c r="K971" t="s">
        <v>22</v>
      </c>
      <c r="L971" t="s">
        <v>34</v>
      </c>
      <c r="M971" t="s">
        <v>35</v>
      </c>
      <c r="N971" t="s">
        <v>36</v>
      </c>
      <c r="O971" t="s">
        <v>57</v>
      </c>
      <c r="P971" t="s">
        <v>149</v>
      </c>
      <c r="Q971" t="s">
        <v>467</v>
      </c>
      <c r="R971">
        <v>28185.89</v>
      </c>
      <c r="S971">
        <v>8</v>
      </c>
      <c r="T971">
        <v>0.1</v>
      </c>
      <c r="U971" t="str">
        <f>IF(Retail_data[[#This Row],[Sales]]&gt;30000,"High",IF(Retail_data[[#This Row],[Sales]]&gt;10000,"Medium","Low"))</f>
        <v>Medium</v>
      </c>
      <c r="V971" s="3">
        <f>Retail_data[[#This Row],[Profit]]/Retail_data[[#This Row],[Sales]]</f>
        <v>0.22934347646996422</v>
      </c>
      <c r="W971">
        <v>6464.25</v>
      </c>
      <c r="X971" t="s">
        <v>81</v>
      </c>
    </row>
    <row r="972" spans="1:24" ht="13.8" x14ac:dyDescent="0.25">
      <c r="A972" t="s">
        <v>3141</v>
      </c>
      <c r="B972">
        <f>YEAR(Retail_data[[#This Row],[Order Date]])</f>
        <v>2028</v>
      </c>
      <c r="C972" t="str">
        <f>TEXT(Retail_data[[#This Row],[Order Date]],"mmmm")</f>
        <v>May</v>
      </c>
      <c r="D972">
        <f>MONTH(Retail_data[[#This Row],[Order Date]])</f>
        <v>5</v>
      </c>
      <c r="E972" t="str">
        <f>"Q"&amp;ROUNDUP(MONTH(Retail_data[[#This Row],[Order Date]])/3,0)</f>
        <v>Q2</v>
      </c>
      <c r="F972" s="1">
        <v>46892</v>
      </c>
      <c r="G972" s="1">
        <v>46896</v>
      </c>
      <c r="H972" t="s">
        <v>3142</v>
      </c>
      <c r="I972" t="s">
        <v>3143</v>
      </c>
      <c r="J972" t="s">
        <v>21</v>
      </c>
      <c r="K972" t="s">
        <v>22</v>
      </c>
      <c r="L972" t="s">
        <v>23</v>
      </c>
      <c r="M972" t="s">
        <v>24</v>
      </c>
      <c r="N972" t="s">
        <v>25</v>
      </c>
      <c r="O972" t="s">
        <v>26</v>
      </c>
      <c r="P972" t="s">
        <v>70</v>
      </c>
      <c r="Q972" t="s">
        <v>75</v>
      </c>
      <c r="R972">
        <v>38383.4</v>
      </c>
      <c r="S972">
        <v>3</v>
      </c>
      <c r="T972">
        <v>0.3</v>
      </c>
      <c r="U972" t="str">
        <f>IF(Retail_data[[#This Row],[Sales]]&gt;30000,"High",IF(Retail_data[[#This Row],[Sales]]&gt;10000,"Medium","Low"))</f>
        <v>High</v>
      </c>
      <c r="V972" s="3">
        <f>Retail_data[[#This Row],[Profit]]/Retail_data[[#This Row],[Sales]]</f>
        <v>-1.3990162413960202E-2</v>
      </c>
      <c r="W972">
        <v>-536.99</v>
      </c>
      <c r="X972" t="s">
        <v>29</v>
      </c>
    </row>
    <row r="973" spans="1:24" ht="13.8" x14ac:dyDescent="0.25">
      <c r="A973" t="s">
        <v>3144</v>
      </c>
      <c r="B973">
        <f>YEAR(Retail_data[[#This Row],[Order Date]])</f>
        <v>2028</v>
      </c>
      <c r="C973" t="str">
        <f>TEXT(Retail_data[[#This Row],[Order Date]],"mmmm")</f>
        <v>May</v>
      </c>
      <c r="D973">
        <f>MONTH(Retail_data[[#This Row],[Order Date]])</f>
        <v>5</v>
      </c>
      <c r="E973" t="str">
        <f>"Q"&amp;ROUNDUP(MONTH(Retail_data[[#This Row],[Order Date]])/3,0)</f>
        <v>Q2</v>
      </c>
      <c r="F973" s="1">
        <v>46893</v>
      </c>
      <c r="G973" s="1">
        <v>46897</v>
      </c>
      <c r="H973" t="s">
        <v>3145</v>
      </c>
      <c r="I973" t="s">
        <v>3146</v>
      </c>
      <c r="J973" t="s">
        <v>44</v>
      </c>
      <c r="K973" t="s">
        <v>22</v>
      </c>
      <c r="L973" t="s">
        <v>34</v>
      </c>
      <c r="M973" t="s">
        <v>35</v>
      </c>
      <c r="N973" t="s">
        <v>36</v>
      </c>
      <c r="O973" t="s">
        <v>57</v>
      </c>
      <c r="P973" t="s">
        <v>149</v>
      </c>
      <c r="Q973" t="s">
        <v>227</v>
      </c>
      <c r="R973">
        <v>13325.6</v>
      </c>
      <c r="S973">
        <v>4</v>
      </c>
      <c r="T973">
        <v>0</v>
      </c>
      <c r="U973" t="str">
        <f>IF(Retail_data[[#This Row],[Sales]]&gt;30000,"High",IF(Retail_data[[#This Row],[Sales]]&gt;10000,"Medium","Low"))</f>
        <v>Medium</v>
      </c>
      <c r="V973" s="3">
        <f>Retail_data[[#This Row],[Profit]]/Retail_data[[#This Row],[Sales]]</f>
        <v>0.10166821756618838</v>
      </c>
      <c r="W973">
        <v>1354.79</v>
      </c>
      <c r="X973" t="s">
        <v>40</v>
      </c>
    </row>
    <row r="974" spans="1:24" ht="13.8" x14ac:dyDescent="0.25">
      <c r="A974" t="s">
        <v>3147</v>
      </c>
      <c r="B974">
        <f>YEAR(Retail_data[[#This Row],[Order Date]])</f>
        <v>2028</v>
      </c>
      <c r="C974" t="str">
        <f>TEXT(Retail_data[[#This Row],[Order Date]],"mmmm")</f>
        <v>May</v>
      </c>
      <c r="D974">
        <f>MONTH(Retail_data[[#This Row],[Order Date]])</f>
        <v>5</v>
      </c>
      <c r="E974" t="str">
        <f>"Q"&amp;ROUNDUP(MONTH(Retail_data[[#This Row],[Order Date]])/3,0)</f>
        <v>Q2</v>
      </c>
      <c r="F974" s="1">
        <v>46894</v>
      </c>
      <c r="G974" s="1">
        <v>46898</v>
      </c>
      <c r="H974" t="s">
        <v>3148</v>
      </c>
      <c r="I974" t="s">
        <v>3149</v>
      </c>
      <c r="J974" t="s">
        <v>21</v>
      </c>
      <c r="K974" t="s">
        <v>22</v>
      </c>
      <c r="L974" t="s">
        <v>45</v>
      </c>
      <c r="M974" t="s">
        <v>45</v>
      </c>
      <c r="N974" t="s">
        <v>25</v>
      </c>
      <c r="O974" t="s">
        <v>26</v>
      </c>
      <c r="P974" t="s">
        <v>92</v>
      </c>
      <c r="Q974" t="s">
        <v>121</v>
      </c>
      <c r="R974">
        <v>45595.91</v>
      </c>
      <c r="S974">
        <v>4</v>
      </c>
      <c r="T974">
        <v>0.1</v>
      </c>
      <c r="U974" t="str">
        <f>IF(Retail_data[[#This Row],[Sales]]&gt;30000,"High",IF(Retail_data[[#This Row],[Sales]]&gt;10000,"Medium","Low"))</f>
        <v>High</v>
      </c>
      <c r="V974" s="3">
        <f>Retail_data[[#This Row],[Profit]]/Retail_data[[#This Row],[Sales]]</f>
        <v>0.15664014601309634</v>
      </c>
      <c r="W974">
        <v>7142.15</v>
      </c>
      <c r="X974" t="s">
        <v>81</v>
      </c>
    </row>
    <row r="975" spans="1:24" ht="13.8" x14ac:dyDescent="0.25">
      <c r="A975" t="s">
        <v>3150</v>
      </c>
      <c r="B975">
        <f>YEAR(Retail_data[[#This Row],[Order Date]])</f>
        <v>2028</v>
      </c>
      <c r="C975" t="str">
        <f>TEXT(Retail_data[[#This Row],[Order Date]],"mmmm")</f>
        <v>May</v>
      </c>
      <c r="D975">
        <f>MONTH(Retail_data[[#This Row],[Order Date]])</f>
        <v>5</v>
      </c>
      <c r="E975" t="str">
        <f>"Q"&amp;ROUNDUP(MONTH(Retail_data[[#This Row],[Order Date]])/3,0)</f>
        <v>Q2</v>
      </c>
      <c r="F975" s="1">
        <v>46895</v>
      </c>
      <c r="G975" s="1">
        <v>46899</v>
      </c>
      <c r="H975" t="s">
        <v>3151</v>
      </c>
      <c r="I975" t="s">
        <v>3152</v>
      </c>
      <c r="J975" t="s">
        <v>44</v>
      </c>
      <c r="K975" t="s">
        <v>22</v>
      </c>
      <c r="L975" t="s">
        <v>85</v>
      </c>
      <c r="M975" t="s">
        <v>86</v>
      </c>
      <c r="N975" t="s">
        <v>87</v>
      </c>
      <c r="O975" t="s">
        <v>37</v>
      </c>
      <c r="P975" t="s">
        <v>46</v>
      </c>
      <c r="Q975" t="s">
        <v>563</v>
      </c>
      <c r="R975">
        <v>21103.27</v>
      </c>
      <c r="S975">
        <v>7</v>
      </c>
      <c r="T975">
        <v>0.3</v>
      </c>
      <c r="U975" t="str">
        <f>IF(Retail_data[[#This Row],[Sales]]&gt;30000,"High",IF(Retail_data[[#This Row],[Sales]]&gt;10000,"Medium","Low"))</f>
        <v>Medium</v>
      </c>
      <c r="V975" s="3">
        <f>Retail_data[[#This Row],[Profit]]/Retail_data[[#This Row],[Sales]]</f>
        <v>0.12974576925756054</v>
      </c>
      <c r="W975">
        <v>2738.06</v>
      </c>
      <c r="X975" t="s">
        <v>40</v>
      </c>
    </row>
    <row r="976" spans="1:24" ht="13.8" x14ac:dyDescent="0.25">
      <c r="A976" t="s">
        <v>3153</v>
      </c>
      <c r="B976">
        <f>YEAR(Retail_data[[#This Row],[Order Date]])</f>
        <v>2028</v>
      </c>
      <c r="C976" t="str">
        <f>TEXT(Retail_data[[#This Row],[Order Date]],"mmmm")</f>
        <v>May</v>
      </c>
      <c r="D976">
        <f>MONTH(Retail_data[[#This Row],[Order Date]])</f>
        <v>5</v>
      </c>
      <c r="E976" t="str">
        <f>"Q"&amp;ROUNDUP(MONTH(Retail_data[[#This Row],[Order Date]])/3,0)</f>
        <v>Q2</v>
      </c>
      <c r="F976" s="1">
        <v>46896</v>
      </c>
      <c r="G976" s="1">
        <v>46900</v>
      </c>
      <c r="H976" t="s">
        <v>3154</v>
      </c>
      <c r="I976" t="s">
        <v>3155</v>
      </c>
      <c r="J976" t="s">
        <v>21</v>
      </c>
      <c r="K976" t="s">
        <v>22</v>
      </c>
      <c r="L976" t="s">
        <v>67</v>
      </c>
      <c r="M976" t="s">
        <v>68</v>
      </c>
      <c r="N976" t="s">
        <v>69</v>
      </c>
      <c r="O976" t="s">
        <v>37</v>
      </c>
      <c r="P976" t="s">
        <v>46</v>
      </c>
      <c r="Q976" t="s">
        <v>1441</v>
      </c>
      <c r="R976">
        <v>8545.4599999999991</v>
      </c>
      <c r="S976">
        <v>4</v>
      </c>
      <c r="T976">
        <v>0.1</v>
      </c>
      <c r="U976" t="str">
        <f>IF(Retail_data[[#This Row],[Sales]]&gt;30000,"High",IF(Retail_data[[#This Row],[Sales]]&gt;10000,"Medium","Low"))</f>
        <v>Low</v>
      </c>
      <c r="V976" s="3">
        <f>Retail_data[[#This Row],[Profit]]/Retail_data[[#This Row],[Sales]]</f>
        <v>0.10483578414737184</v>
      </c>
      <c r="W976">
        <v>895.87</v>
      </c>
      <c r="X976" t="s">
        <v>48</v>
      </c>
    </row>
    <row r="977" spans="1:24" ht="13.8" x14ac:dyDescent="0.25">
      <c r="A977" t="s">
        <v>3156</v>
      </c>
      <c r="B977">
        <f>YEAR(Retail_data[[#This Row],[Order Date]])</f>
        <v>2028</v>
      </c>
      <c r="C977" t="str">
        <f>TEXT(Retail_data[[#This Row],[Order Date]],"mmmm")</f>
        <v>May</v>
      </c>
      <c r="D977">
        <f>MONTH(Retail_data[[#This Row],[Order Date]])</f>
        <v>5</v>
      </c>
      <c r="E977" t="str">
        <f>"Q"&amp;ROUNDUP(MONTH(Retail_data[[#This Row],[Order Date]])/3,0)</f>
        <v>Q2</v>
      </c>
      <c r="F977" s="1">
        <v>46897</v>
      </c>
      <c r="G977" s="1">
        <v>46901</v>
      </c>
      <c r="H977" t="s">
        <v>3157</v>
      </c>
      <c r="I977" t="s">
        <v>3158</v>
      </c>
      <c r="J977" t="s">
        <v>44</v>
      </c>
      <c r="K977" t="s">
        <v>22</v>
      </c>
      <c r="L977" t="s">
        <v>85</v>
      </c>
      <c r="M977" t="s">
        <v>86</v>
      </c>
      <c r="N977" t="s">
        <v>87</v>
      </c>
      <c r="O977" t="s">
        <v>57</v>
      </c>
      <c r="P977" t="s">
        <v>58</v>
      </c>
      <c r="Q977" t="s">
        <v>814</v>
      </c>
      <c r="R977">
        <v>3297.23</v>
      </c>
      <c r="S977">
        <v>6</v>
      </c>
      <c r="T977">
        <v>0</v>
      </c>
      <c r="U977" t="str">
        <f>IF(Retail_data[[#This Row],[Sales]]&gt;30000,"High",IF(Retail_data[[#This Row],[Sales]]&gt;10000,"Medium","Low"))</f>
        <v>Low</v>
      </c>
      <c r="V977" s="3">
        <f>Retail_data[[#This Row],[Profit]]/Retail_data[[#This Row],[Sales]]</f>
        <v>0.11011060799519597</v>
      </c>
      <c r="W977">
        <v>363.06</v>
      </c>
      <c r="X977" t="s">
        <v>40</v>
      </c>
    </row>
    <row r="978" spans="1:24" ht="13.8" x14ac:dyDescent="0.25">
      <c r="A978" t="s">
        <v>3159</v>
      </c>
      <c r="B978">
        <f>YEAR(Retail_data[[#This Row],[Order Date]])</f>
        <v>2028</v>
      </c>
      <c r="C978" t="str">
        <f>TEXT(Retail_data[[#This Row],[Order Date]],"mmmm")</f>
        <v>May</v>
      </c>
      <c r="D978">
        <f>MONTH(Retail_data[[#This Row],[Order Date]])</f>
        <v>5</v>
      </c>
      <c r="E978" t="str">
        <f>"Q"&amp;ROUNDUP(MONTH(Retail_data[[#This Row],[Order Date]])/3,0)</f>
        <v>Q2</v>
      </c>
      <c r="F978" s="1">
        <v>46898</v>
      </c>
      <c r="G978" s="1">
        <v>46902</v>
      </c>
      <c r="H978" t="s">
        <v>3160</v>
      </c>
      <c r="I978" t="s">
        <v>3161</v>
      </c>
      <c r="J978" t="s">
        <v>44</v>
      </c>
      <c r="K978" t="s">
        <v>22</v>
      </c>
      <c r="L978" t="s">
        <v>67</v>
      </c>
      <c r="M978" t="s">
        <v>68</v>
      </c>
      <c r="N978" t="s">
        <v>69</v>
      </c>
      <c r="O978" t="s">
        <v>26</v>
      </c>
      <c r="P978" t="s">
        <v>92</v>
      </c>
      <c r="Q978" t="s">
        <v>235</v>
      </c>
      <c r="R978">
        <v>44400.72</v>
      </c>
      <c r="S978">
        <v>5</v>
      </c>
      <c r="T978">
        <v>0</v>
      </c>
      <c r="U978" t="str">
        <f>IF(Retail_data[[#This Row],[Sales]]&gt;30000,"High",IF(Retail_data[[#This Row],[Sales]]&gt;10000,"Medium","Low"))</f>
        <v>High</v>
      </c>
      <c r="V978" s="3">
        <f>Retail_data[[#This Row],[Profit]]/Retail_data[[#This Row],[Sales]]</f>
        <v>0.16251245475298598</v>
      </c>
      <c r="W978">
        <v>7215.67</v>
      </c>
      <c r="X978" t="s">
        <v>81</v>
      </c>
    </row>
    <row r="979" spans="1:24" ht="13.8" x14ac:dyDescent="0.25">
      <c r="A979" t="s">
        <v>3162</v>
      </c>
      <c r="B979">
        <f>YEAR(Retail_data[[#This Row],[Order Date]])</f>
        <v>2028</v>
      </c>
      <c r="C979" t="str">
        <f>TEXT(Retail_data[[#This Row],[Order Date]],"mmmm")</f>
        <v>May</v>
      </c>
      <c r="D979">
        <f>MONTH(Retail_data[[#This Row],[Order Date]])</f>
        <v>5</v>
      </c>
      <c r="E979" t="str">
        <f>"Q"&amp;ROUNDUP(MONTH(Retail_data[[#This Row],[Order Date]])/3,0)</f>
        <v>Q2</v>
      </c>
      <c r="F979" s="1">
        <v>46899</v>
      </c>
      <c r="G979" s="1">
        <v>46903</v>
      </c>
      <c r="H979" t="s">
        <v>3163</v>
      </c>
      <c r="I979" t="s">
        <v>3164</v>
      </c>
      <c r="J979" t="s">
        <v>21</v>
      </c>
      <c r="K979" t="s">
        <v>22</v>
      </c>
      <c r="L979" t="s">
        <v>45</v>
      </c>
      <c r="M979" t="s">
        <v>45</v>
      </c>
      <c r="N979" t="s">
        <v>25</v>
      </c>
      <c r="O979" t="s">
        <v>57</v>
      </c>
      <c r="P979" t="s">
        <v>79</v>
      </c>
      <c r="Q979" t="s">
        <v>1319</v>
      </c>
      <c r="R979">
        <v>45412.28</v>
      </c>
      <c r="S979">
        <v>6</v>
      </c>
      <c r="T979">
        <v>0</v>
      </c>
      <c r="U979" t="str">
        <f>IF(Retail_data[[#This Row],[Sales]]&gt;30000,"High",IF(Retail_data[[#This Row],[Sales]]&gt;10000,"Medium","Low"))</f>
        <v>High</v>
      </c>
      <c r="V979" s="3">
        <f>Retail_data[[#This Row],[Profit]]/Retail_data[[#This Row],[Sales]]</f>
        <v>0.13277333796056925</v>
      </c>
      <c r="W979">
        <v>6029.54</v>
      </c>
      <c r="X979" t="s">
        <v>81</v>
      </c>
    </row>
    <row r="980" spans="1:24" ht="13.8" x14ac:dyDescent="0.25">
      <c r="A980" t="s">
        <v>3165</v>
      </c>
      <c r="B980">
        <f>YEAR(Retail_data[[#This Row],[Order Date]])</f>
        <v>2028</v>
      </c>
      <c r="C980" t="str">
        <f>TEXT(Retail_data[[#This Row],[Order Date]],"mmmm")</f>
        <v>May</v>
      </c>
      <c r="D980">
        <f>MONTH(Retail_data[[#This Row],[Order Date]])</f>
        <v>5</v>
      </c>
      <c r="E980" t="str">
        <f>"Q"&amp;ROUNDUP(MONTH(Retail_data[[#This Row],[Order Date]])/3,0)</f>
        <v>Q2</v>
      </c>
      <c r="F980" s="1">
        <v>46900</v>
      </c>
      <c r="G980" s="1">
        <v>46904</v>
      </c>
      <c r="H980" t="s">
        <v>3166</v>
      </c>
      <c r="I980" t="s">
        <v>3167</v>
      </c>
      <c r="J980" t="s">
        <v>21</v>
      </c>
      <c r="K980" t="s">
        <v>22</v>
      </c>
      <c r="L980" t="s">
        <v>34</v>
      </c>
      <c r="M980" t="s">
        <v>35</v>
      </c>
      <c r="N980" t="s">
        <v>36</v>
      </c>
      <c r="O980" t="s">
        <v>26</v>
      </c>
      <c r="P980" t="s">
        <v>70</v>
      </c>
      <c r="Q980" t="s">
        <v>677</v>
      </c>
      <c r="R980">
        <v>46430.83</v>
      </c>
      <c r="S980">
        <v>3</v>
      </c>
      <c r="T980">
        <v>0.2</v>
      </c>
      <c r="U980" t="str">
        <f>IF(Retail_data[[#This Row],[Sales]]&gt;30000,"High",IF(Retail_data[[#This Row],[Sales]]&gt;10000,"Medium","Low"))</f>
        <v>High</v>
      </c>
      <c r="V980" s="3">
        <f>Retail_data[[#This Row],[Profit]]/Retail_data[[#This Row],[Sales]]</f>
        <v>5.8290579772104008E-2</v>
      </c>
      <c r="W980">
        <v>2706.48</v>
      </c>
      <c r="X980" t="s">
        <v>48</v>
      </c>
    </row>
    <row r="981" spans="1:24" ht="13.8" x14ac:dyDescent="0.25">
      <c r="A981" t="s">
        <v>3168</v>
      </c>
      <c r="B981">
        <f>YEAR(Retail_data[[#This Row],[Order Date]])</f>
        <v>2028</v>
      </c>
      <c r="C981" t="str">
        <f>TEXT(Retail_data[[#This Row],[Order Date]],"mmmm")</f>
        <v>May</v>
      </c>
      <c r="D981">
        <f>MONTH(Retail_data[[#This Row],[Order Date]])</f>
        <v>5</v>
      </c>
      <c r="E981" t="str">
        <f>"Q"&amp;ROUNDUP(MONTH(Retail_data[[#This Row],[Order Date]])/3,0)</f>
        <v>Q2</v>
      </c>
      <c r="F981" s="1">
        <v>46901</v>
      </c>
      <c r="G981" s="1">
        <v>46905</v>
      </c>
      <c r="H981" t="s">
        <v>3169</v>
      </c>
      <c r="I981" t="s">
        <v>3170</v>
      </c>
      <c r="J981" t="s">
        <v>21</v>
      </c>
      <c r="K981" t="s">
        <v>22</v>
      </c>
      <c r="L981" t="s">
        <v>45</v>
      </c>
      <c r="M981" t="s">
        <v>45</v>
      </c>
      <c r="N981" t="s">
        <v>25</v>
      </c>
      <c r="O981" t="s">
        <v>57</v>
      </c>
      <c r="P981" t="s">
        <v>149</v>
      </c>
      <c r="Q981" t="s">
        <v>2206</v>
      </c>
      <c r="R981">
        <v>45775.91</v>
      </c>
      <c r="S981">
        <v>2</v>
      </c>
      <c r="T981">
        <v>0</v>
      </c>
      <c r="U981" t="str">
        <f>IF(Retail_data[[#This Row],[Sales]]&gt;30000,"High",IF(Retail_data[[#This Row],[Sales]]&gt;10000,"Medium","Low"))</f>
        <v>High</v>
      </c>
      <c r="V981" s="3">
        <f>Retail_data[[#This Row],[Profit]]/Retail_data[[#This Row],[Sales]]</f>
        <v>0.12361370860786819</v>
      </c>
      <c r="W981">
        <v>5658.53</v>
      </c>
      <c r="X981" t="s">
        <v>40</v>
      </c>
    </row>
    <row r="982" spans="1:24" ht="13.8" x14ac:dyDescent="0.25">
      <c r="A982" t="s">
        <v>3171</v>
      </c>
      <c r="B982">
        <f>YEAR(Retail_data[[#This Row],[Order Date]])</f>
        <v>2028</v>
      </c>
      <c r="C982" t="str">
        <f>TEXT(Retail_data[[#This Row],[Order Date]],"mmmm")</f>
        <v>May</v>
      </c>
      <c r="D982">
        <f>MONTH(Retail_data[[#This Row],[Order Date]])</f>
        <v>5</v>
      </c>
      <c r="E982" t="str">
        <f>"Q"&amp;ROUNDUP(MONTH(Retail_data[[#This Row],[Order Date]])/3,0)</f>
        <v>Q2</v>
      </c>
      <c r="F982" s="1">
        <v>46902</v>
      </c>
      <c r="G982" s="1">
        <v>46906</v>
      </c>
      <c r="H982" t="s">
        <v>3172</v>
      </c>
      <c r="I982" t="s">
        <v>3173</v>
      </c>
      <c r="J982" t="s">
        <v>44</v>
      </c>
      <c r="K982" t="s">
        <v>22</v>
      </c>
      <c r="L982" t="s">
        <v>67</v>
      </c>
      <c r="M982" t="s">
        <v>68</v>
      </c>
      <c r="N982" t="s">
        <v>69</v>
      </c>
      <c r="O982" t="s">
        <v>57</v>
      </c>
      <c r="P982" t="s">
        <v>149</v>
      </c>
      <c r="Q982" t="s">
        <v>227</v>
      </c>
      <c r="R982">
        <v>48513.81</v>
      </c>
      <c r="S982">
        <v>5</v>
      </c>
      <c r="T982">
        <v>0.3</v>
      </c>
      <c r="U982" t="str">
        <f>IF(Retail_data[[#This Row],[Sales]]&gt;30000,"High",IF(Retail_data[[#This Row],[Sales]]&gt;10000,"Medium","Low"))</f>
        <v>High</v>
      </c>
      <c r="V982" s="3">
        <f>Retail_data[[#This Row],[Profit]]/Retail_data[[#This Row],[Sales]]</f>
        <v>-4.6312586045086958E-3</v>
      </c>
      <c r="W982">
        <v>-224.68</v>
      </c>
      <c r="X982" t="s">
        <v>29</v>
      </c>
    </row>
    <row r="983" spans="1:24" ht="13.8" x14ac:dyDescent="0.25">
      <c r="A983" t="s">
        <v>3174</v>
      </c>
      <c r="B983">
        <f>YEAR(Retail_data[[#This Row],[Order Date]])</f>
        <v>2028</v>
      </c>
      <c r="C983" t="str">
        <f>TEXT(Retail_data[[#This Row],[Order Date]],"mmmm")</f>
        <v>May</v>
      </c>
      <c r="D983">
        <f>MONTH(Retail_data[[#This Row],[Order Date]])</f>
        <v>5</v>
      </c>
      <c r="E983" t="str">
        <f>"Q"&amp;ROUNDUP(MONTH(Retail_data[[#This Row],[Order Date]])/3,0)</f>
        <v>Q2</v>
      </c>
      <c r="F983" s="1">
        <v>46903</v>
      </c>
      <c r="G983" s="1">
        <v>46907</v>
      </c>
      <c r="H983" t="s">
        <v>3175</v>
      </c>
      <c r="I983" t="s">
        <v>3176</v>
      </c>
      <c r="J983" t="s">
        <v>33</v>
      </c>
      <c r="K983" t="s">
        <v>22</v>
      </c>
      <c r="L983" t="s">
        <v>23</v>
      </c>
      <c r="M983" t="s">
        <v>24</v>
      </c>
      <c r="N983" t="s">
        <v>25</v>
      </c>
      <c r="O983" t="s">
        <v>57</v>
      </c>
      <c r="P983" t="s">
        <v>58</v>
      </c>
      <c r="Q983" t="s">
        <v>63</v>
      </c>
      <c r="R983">
        <v>13548.62</v>
      </c>
      <c r="S983">
        <v>6</v>
      </c>
      <c r="T983">
        <v>0.1</v>
      </c>
      <c r="U983" t="str">
        <f>IF(Retail_data[[#This Row],[Sales]]&gt;30000,"High",IF(Retail_data[[#This Row],[Sales]]&gt;10000,"Medium","Low"))</f>
        <v>Medium</v>
      </c>
      <c r="V983" s="3">
        <f>Retail_data[[#This Row],[Profit]]/Retail_data[[#This Row],[Sales]]</f>
        <v>2.5811484859712647E-2</v>
      </c>
      <c r="W983">
        <v>349.71</v>
      </c>
      <c r="X983" t="s">
        <v>81</v>
      </c>
    </row>
    <row r="984" spans="1:24" ht="13.8" x14ac:dyDescent="0.25">
      <c r="A984" t="s">
        <v>3177</v>
      </c>
      <c r="B984">
        <f>YEAR(Retail_data[[#This Row],[Order Date]])</f>
        <v>2028</v>
      </c>
      <c r="C984" t="str">
        <f>TEXT(Retail_data[[#This Row],[Order Date]],"mmmm")</f>
        <v>May</v>
      </c>
      <c r="D984">
        <f>MONTH(Retail_data[[#This Row],[Order Date]])</f>
        <v>5</v>
      </c>
      <c r="E984" t="str">
        <f>"Q"&amp;ROUNDUP(MONTH(Retail_data[[#This Row],[Order Date]])/3,0)</f>
        <v>Q2</v>
      </c>
      <c r="F984" s="1">
        <v>46904</v>
      </c>
      <c r="G984" s="1">
        <v>46908</v>
      </c>
      <c r="H984" t="s">
        <v>3178</v>
      </c>
      <c r="I984" t="s">
        <v>3179</v>
      </c>
      <c r="J984" t="s">
        <v>33</v>
      </c>
      <c r="K984" t="s">
        <v>22</v>
      </c>
      <c r="L984" t="s">
        <v>45</v>
      </c>
      <c r="M984" t="s">
        <v>45</v>
      </c>
      <c r="N984" t="s">
        <v>25</v>
      </c>
      <c r="O984" t="s">
        <v>57</v>
      </c>
      <c r="P984" t="s">
        <v>58</v>
      </c>
      <c r="Q984" t="s">
        <v>250</v>
      </c>
      <c r="R984">
        <v>29699.5</v>
      </c>
      <c r="S984">
        <v>6</v>
      </c>
      <c r="T984">
        <v>0.3</v>
      </c>
      <c r="U984" t="str">
        <f>IF(Retail_data[[#This Row],[Sales]]&gt;30000,"High",IF(Retail_data[[#This Row],[Sales]]&gt;10000,"Medium","Low"))</f>
        <v>Medium</v>
      </c>
      <c r="V984" s="3">
        <f>Retail_data[[#This Row],[Profit]]/Retail_data[[#This Row],[Sales]]</f>
        <v>7.1053048031111621E-2</v>
      </c>
      <c r="W984">
        <v>2110.2399999999998</v>
      </c>
      <c r="X984" t="s">
        <v>40</v>
      </c>
    </row>
    <row r="985" spans="1:24" ht="13.8" x14ac:dyDescent="0.25">
      <c r="A985" t="s">
        <v>3180</v>
      </c>
      <c r="B985">
        <f>YEAR(Retail_data[[#This Row],[Order Date]])</f>
        <v>2028</v>
      </c>
      <c r="C985" t="str">
        <f>TEXT(Retail_data[[#This Row],[Order Date]],"mmmm")</f>
        <v>June</v>
      </c>
      <c r="D985">
        <f>MONTH(Retail_data[[#This Row],[Order Date]])</f>
        <v>6</v>
      </c>
      <c r="E985" t="str">
        <f>"Q"&amp;ROUNDUP(MONTH(Retail_data[[#This Row],[Order Date]])/3,0)</f>
        <v>Q2</v>
      </c>
      <c r="F985" s="1">
        <v>46905</v>
      </c>
      <c r="G985" s="1">
        <v>46909</v>
      </c>
      <c r="H985" t="s">
        <v>3181</v>
      </c>
      <c r="I985" t="s">
        <v>3182</v>
      </c>
      <c r="J985" t="s">
        <v>33</v>
      </c>
      <c r="K985" t="s">
        <v>22</v>
      </c>
      <c r="L985" t="s">
        <v>23</v>
      </c>
      <c r="M985" t="s">
        <v>24</v>
      </c>
      <c r="N985" t="s">
        <v>25</v>
      </c>
      <c r="O985" t="s">
        <v>26</v>
      </c>
      <c r="P985" t="s">
        <v>70</v>
      </c>
      <c r="Q985" t="s">
        <v>75</v>
      </c>
      <c r="R985">
        <v>37629.64</v>
      </c>
      <c r="S985">
        <v>1</v>
      </c>
      <c r="T985">
        <v>0.3</v>
      </c>
      <c r="U985" t="str">
        <f>IF(Retail_data[[#This Row],[Sales]]&gt;30000,"High",IF(Retail_data[[#This Row],[Sales]]&gt;10000,"Medium","Low"))</f>
        <v>High</v>
      </c>
      <c r="V985" s="3">
        <f>Retail_data[[#This Row],[Profit]]/Retail_data[[#This Row],[Sales]]</f>
        <v>3.3578849013703026E-2</v>
      </c>
      <c r="W985">
        <v>1263.56</v>
      </c>
      <c r="X985" t="s">
        <v>81</v>
      </c>
    </row>
    <row r="986" spans="1:24" ht="13.8" x14ac:dyDescent="0.25">
      <c r="A986" t="s">
        <v>3183</v>
      </c>
      <c r="B986">
        <f>YEAR(Retail_data[[#This Row],[Order Date]])</f>
        <v>2028</v>
      </c>
      <c r="C986" t="str">
        <f>TEXT(Retail_data[[#This Row],[Order Date]],"mmmm")</f>
        <v>June</v>
      </c>
      <c r="D986">
        <f>MONTH(Retail_data[[#This Row],[Order Date]])</f>
        <v>6</v>
      </c>
      <c r="E986" t="str">
        <f>"Q"&amp;ROUNDUP(MONTH(Retail_data[[#This Row],[Order Date]])/3,0)</f>
        <v>Q2</v>
      </c>
      <c r="F986" s="1">
        <v>46906</v>
      </c>
      <c r="G986" s="1">
        <v>46910</v>
      </c>
      <c r="H986" t="s">
        <v>3184</v>
      </c>
      <c r="I986" t="s">
        <v>3185</v>
      </c>
      <c r="J986" t="s">
        <v>21</v>
      </c>
      <c r="K986" t="s">
        <v>22</v>
      </c>
      <c r="L986" t="s">
        <v>45</v>
      </c>
      <c r="M986" t="s">
        <v>45</v>
      </c>
      <c r="N986" t="s">
        <v>25</v>
      </c>
      <c r="O986" t="s">
        <v>37</v>
      </c>
      <c r="P986" t="s">
        <v>38</v>
      </c>
      <c r="Q986" t="s">
        <v>943</v>
      </c>
      <c r="R986">
        <v>18592.13</v>
      </c>
      <c r="S986">
        <v>3</v>
      </c>
      <c r="T986">
        <v>0.2</v>
      </c>
      <c r="U986" t="str">
        <f>IF(Retail_data[[#This Row],[Sales]]&gt;30000,"High",IF(Retail_data[[#This Row],[Sales]]&gt;10000,"Medium","Low"))</f>
        <v>Medium</v>
      </c>
      <c r="V986" s="3">
        <f>Retail_data[[#This Row],[Profit]]/Retail_data[[#This Row],[Sales]]</f>
        <v>2.2706919540687376E-2</v>
      </c>
      <c r="W986">
        <v>422.17</v>
      </c>
      <c r="X986" t="s">
        <v>29</v>
      </c>
    </row>
    <row r="987" spans="1:24" ht="13.8" x14ac:dyDescent="0.25">
      <c r="A987" t="s">
        <v>3186</v>
      </c>
      <c r="B987">
        <f>YEAR(Retail_data[[#This Row],[Order Date]])</f>
        <v>2028</v>
      </c>
      <c r="C987" t="str">
        <f>TEXT(Retail_data[[#This Row],[Order Date]],"mmmm")</f>
        <v>June</v>
      </c>
      <c r="D987">
        <f>MONTH(Retail_data[[#This Row],[Order Date]])</f>
        <v>6</v>
      </c>
      <c r="E987" t="str">
        <f>"Q"&amp;ROUNDUP(MONTH(Retail_data[[#This Row],[Order Date]])/3,0)</f>
        <v>Q2</v>
      </c>
      <c r="F987" s="1">
        <v>46907</v>
      </c>
      <c r="G987" s="1">
        <v>46911</v>
      </c>
      <c r="H987" t="s">
        <v>3187</v>
      </c>
      <c r="I987" t="s">
        <v>3188</v>
      </c>
      <c r="J987" t="s">
        <v>21</v>
      </c>
      <c r="K987" t="s">
        <v>22</v>
      </c>
      <c r="L987" t="s">
        <v>85</v>
      </c>
      <c r="M987" t="s">
        <v>86</v>
      </c>
      <c r="N987" t="s">
        <v>87</v>
      </c>
      <c r="O987" t="s">
        <v>37</v>
      </c>
      <c r="P987" t="s">
        <v>46</v>
      </c>
      <c r="Q987" t="s">
        <v>474</v>
      </c>
      <c r="R987">
        <v>1037.6400000000001</v>
      </c>
      <c r="S987">
        <v>7</v>
      </c>
      <c r="T987">
        <v>0</v>
      </c>
      <c r="U987" t="str">
        <f>IF(Retail_data[[#This Row],[Sales]]&gt;30000,"High",IF(Retail_data[[#This Row],[Sales]]&gt;10000,"Medium","Low"))</f>
        <v>Low</v>
      </c>
      <c r="V987" s="3">
        <f>Retail_data[[#This Row],[Profit]]/Retail_data[[#This Row],[Sales]]</f>
        <v>0.29522763193400403</v>
      </c>
      <c r="W987">
        <v>306.33999999999997</v>
      </c>
      <c r="X987" t="s">
        <v>81</v>
      </c>
    </row>
    <row r="988" spans="1:24" ht="13.8" x14ac:dyDescent="0.25">
      <c r="A988" t="s">
        <v>3189</v>
      </c>
      <c r="B988">
        <f>YEAR(Retail_data[[#This Row],[Order Date]])</f>
        <v>2028</v>
      </c>
      <c r="C988" t="str">
        <f>TEXT(Retail_data[[#This Row],[Order Date]],"mmmm")</f>
        <v>June</v>
      </c>
      <c r="D988">
        <f>MONTH(Retail_data[[#This Row],[Order Date]])</f>
        <v>6</v>
      </c>
      <c r="E988" t="str">
        <f>"Q"&amp;ROUNDUP(MONTH(Retail_data[[#This Row],[Order Date]])/3,0)</f>
        <v>Q2</v>
      </c>
      <c r="F988" s="1">
        <v>46908</v>
      </c>
      <c r="G988" s="1">
        <v>46912</v>
      </c>
      <c r="H988" t="s">
        <v>3190</v>
      </c>
      <c r="I988" t="s">
        <v>3191</v>
      </c>
      <c r="J988" t="s">
        <v>33</v>
      </c>
      <c r="K988" t="s">
        <v>22</v>
      </c>
      <c r="L988" t="s">
        <v>45</v>
      </c>
      <c r="M988" t="s">
        <v>45</v>
      </c>
      <c r="N988" t="s">
        <v>25</v>
      </c>
      <c r="O988" t="s">
        <v>37</v>
      </c>
      <c r="P988" t="s">
        <v>52</v>
      </c>
      <c r="Q988" t="s">
        <v>591</v>
      </c>
      <c r="R988">
        <v>9759.48</v>
      </c>
      <c r="S988">
        <v>7</v>
      </c>
      <c r="T988">
        <v>0.1</v>
      </c>
      <c r="U988" t="str">
        <f>IF(Retail_data[[#This Row],[Sales]]&gt;30000,"High",IF(Retail_data[[#This Row],[Sales]]&gt;10000,"Medium","Low"))</f>
        <v>Low</v>
      </c>
      <c r="V988" s="3">
        <f>Retail_data[[#This Row],[Profit]]/Retail_data[[#This Row],[Sales]]</f>
        <v>0.1409532065232984</v>
      </c>
      <c r="W988">
        <v>1375.63</v>
      </c>
      <c r="X988" t="s">
        <v>29</v>
      </c>
    </row>
    <row r="989" spans="1:24" ht="13.8" x14ac:dyDescent="0.25">
      <c r="A989" t="s">
        <v>3192</v>
      </c>
      <c r="B989">
        <f>YEAR(Retail_data[[#This Row],[Order Date]])</f>
        <v>2028</v>
      </c>
      <c r="C989" t="str">
        <f>TEXT(Retail_data[[#This Row],[Order Date]],"mmmm")</f>
        <v>June</v>
      </c>
      <c r="D989">
        <f>MONTH(Retail_data[[#This Row],[Order Date]])</f>
        <v>6</v>
      </c>
      <c r="E989" t="str">
        <f>"Q"&amp;ROUNDUP(MONTH(Retail_data[[#This Row],[Order Date]])/3,0)</f>
        <v>Q2</v>
      </c>
      <c r="F989" s="1">
        <v>46909</v>
      </c>
      <c r="G989" s="1">
        <v>46913</v>
      </c>
      <c r="H989" t="s">
        <v>3193</v>
      </c>
      <c r="I989" t="s">
        <v>3194</v>
      </c>
      <c r="J989" t="s">
        <v>33</v>
      </c>
      <c r="K989" t="s">
        <v>22</v>
      </c>
      <c r="L989" t="s">
        <v>34</v>
      </c>
      <c r="M989" t="s">
        <v>35</v>
      </c>
      <c r="N989" t="s">
        <v>36</v>
      </c>
      <c r="O989" t="s">
        <v>57</v>
      </c>
      <c r="P989" t="s">
        <v>149</v>
      </c>
      <c r="Q989" t="s">
        <v>227</v>
      </c>
      <c r="R989">
        <v>34132.410000000003</v>
      </c>
      <c r="S989">
        <v>4</v>
      </c>
      <c r="T989">
        <v>0</v>
      </c>
      <c r="U989" t="str">
        <f>IF(Retail_data[[#This Row],[Sales]]&gt;30000,"High",IF(Retail_data[[#This Row],[Sales]]&gt;10000,"Medium","Low"))</f>
        <v>High</v>
      </c>
      <c r="V989" s="3">
        <f>Retail_data[[#This Row],[Profit]]/Retail_data[[#This Row],[Sales]]</f>
        <v>6.6432461112473445E-2</v>
      </c>
      <c r="W989">
        <v>2267.5</v>
      </c>
      <c r="X989" t="s">
        <v>40</v>
      </c>
    </row>
    <row r="990" spans="1:24" ht="13.8" x14ac:dyDescent="0.25">
      <c r="A990" t="s">
        <v>3195</v>
      </c>
      <c r="B990">
        <f>YEAR(Retail_data[[#This Row],[Order Date]])</f>
        <v>2028</v>
      </c>
      <c r="C990" t="str">
        <f>TEXT(Retail_data[[#This Row],[Order Date]],"mmmm")</f>
        <v>June</v>
      </c>
      <c r="D990">
        <f>MONTH(Retail_data[[#This Row],[Order Date]])</f>
        <v>6</v>
      </c>
      <c r="E990" t="str">
        <f>"Q"&amp;ROUNDUP(MONTH(Retail_data[[#This Row],[Order Date]])/3,0)</f>
        <v>Q2</v>
      </c>
      <c r="F990" s="1">
        <v>46910</v>
      </c>
      <c r="G990" s="1">
        <v>46914</v>
      </c>
      <c r="H990" t="s">
        <v>3196</v>
      </c>
      <c r="I990" t="s">
        <v>3197</v>
      </c>
      <c r="J990" t="s">
        <v>44</v>
      </c>
      <c r="K990" t="s">
        <v>22</v>
      </c>
      <c r="L990" t="s">
        <v>85</v>
      </c>
      <c r="M990" t="s">
        <v>86</v>
      </c>
      <c r="N990" t="s">
        <v>87</v>
      </c>
      <c r="O990" t="s">
        <v>37</v>
      </c>
      <c r="P990" t="s">
        <v>46</v>
      </c>
      <c r="Q990" t="s">
        <v>172</v>
      </c>
      <c r="R990">
        <v>4435.82</v>
      </c>
      <c r="S990">
        <v>3</v>
      </c>
      <c r="T990">
        <v>0.3</v>
      </c>
      <c r="U990" t="str">
        <f>IF(Retail_data[[#This Row],[Sales]]&gt;30000,"High",IF(Retail_data[[#This Row],[Sales]]&gt;10000,"Medium","Low"))</f>
        <v>Low</v>
      </c>
      <c r="V990" s="3">
        <f>Retail_data[[#This Row],[Profit]]/Retail_data[[#This Row],[Sales]]</f>
        <v>2.5801317456524388E-2</v>
      </c>
      <c r="W990">
        <v>114.45</v>
      </c>
      <c r="X990" t="s">
        <v>81</v>
      </c>
    </row>
    <row r="991" spans="1:24" ht="13.8" x14ac:dyDescent="0.25">
      <c r="A991" t="s">
        <v>3198</v>
      </c>
      <c r="B991">
        <f>YEAR(Retail_data[[#This Row],[Order Date]])</f>
        <v>2028</v>
      </c>
      <c r="C991" t="str">
        <f>TEXT(Retail_data[[#This Row],[Order Date]],"mmmm")</f>
        <v>June</v>
      </c>
      <c r="D991">
        <f>MONTH(Retail_data[[#This Row],[Order Date]])</f>
        <v>6</v>
      </c>
      <c r="E991" t="str">
        <f>"Q"&amp;ROUNDUP(MONTH(Retail_data[[#This Row],[Order Date]])/3,0)</f>
        <v>Q2</v>
      </c>
      <c r="F991" s="1">
        <v>46911</v>
      </c>
      <c r="G991" s="1">
        <v>46915</v>
      </c>
      <c r="H991" t="s">
        <v>3199</v>
      </c>
      <c r="I991" t="s">
        <v>3200</v>
      </c>
      <c r="J991" t="s">
        <v>44</v>
      </c>
      <c r="K991" t="s">
        <v>22</v>
      </c>
      <c r="L991" t="s">
        <v>34</v>
      </c>
      <c r="M991" t="s">
        <v>35</v>
      </c>
      <c r="N991" t="s">
        <v>36</v>
      </c>
      <c r="O991" t="s">
        <v>37</v>
      </c>
      <c r="P991" t="s">
        <v>52</v>
      </c>
      <c r="Q991" t="s">
        <v>101</v>
      </c>
      <c r="R991">
        <v>8196.11</v>
      </c>
      <c r="S991">
        <v>3</v>
      </c>
      <c r="T991">
        <v>0.3</v>
      </c>
      <c r="U991" t="str">
        <f>IF(Retail_data[[#This Row],[Sales]]&gt;30000,"High",IF(Retail_data[[#This Row],[Sales]]&gt;10000,"Medium","Low"))</f>
        <v>Low</v>
      </c>
      <c r="V991" s="3">
        <f>Retail_data[[#This Row],[Profit]]/Retail_data[[#This Row],[Sales]]</f>
        <v>-9.7168046792929803E-3</v>
      </c>
      <c r="W991">
        <v>-79.64</v>
      </c>
      <c r="X991" t="s">
        <v>29</v>
      </c>
    </row>
    <row r="992" spans="1:24" ht="13.8" x14ac:dyDescent="0.25">
      <c r="A992" t="s">
        <v>3201</v>
      </c>
      <c r="B992">
        <f>YEAR(Retail_data[[#This Row],[Order Date]])</f>
        <v>2028</v>
      </c>
      <c r="C992" t="str">
        <f>TEXT(Retail_data[[#This Row],[Order Date]],"mmmm")</f>
        <v>June</v>
      </c>
      <c r="D992">
        <f>MONTH(Retail_data[[#This Row],[Order Date]])</f>
        <v>6</v>
      </c>
      <c r="E992" t="str">
        <f>"Q"&amp;ROUNDUP(MONTH(Retail_data[[#This Row],[Order Date]])/3,0)</f>
        <v>Q2</v>
      </c>
      <c r="F992" s="1">
        <v>46912</v>
      </c>
      <c r="G992" s="1">
        <v>46916</v>
      </c>
      <c r="H992" t="s">
        <v>3202</v>
      </c>
      <c r="I992" t="s">
        <v>3203</v>
      </c>
      <c r="J992" t="s">
        <v>44</v>
      </c>
      <c r="K992" t="s">
        <v>22</v>
      </c>
      <c r="L992" t="s">
        <v>67</v>
      </c>
      <c r="M992" t="s">
        <v>68</v>
      </c>
      <c r="N992" t="s">
        <v>69</v>
      </c>
      <c r="O992" t="s">
        <v>57</v>
      </c>
      <c r="P992" t="s">
        <v>58</v>
      </c>
      <c r="Q992" t="s">
        <v>814</v>
      </c>
      <c r="R992">
        <v>45039.06</v>
      </c>
      <c r="S992">
        <v>3</v>
      </c>
      <c r="T992">
        <v>0.2</v>
      </c>
      <c r="U992" t="str">
        <f>IF(Retail_data[[#This Row],[Sales]]&gt;30000,"High",IF(Retail_data[[#This Row],[Sales]]&gt;10000,"Medium","Low"))</f>
        <v>High</v>
      </c>
      <c r="V992" s="3">
        <f>Retail_data[[#This Row],[Profit]]/Retail_data[[#This Row],[Sales]]</f>
        <v>0.15209908910177078</v>
      </c>
      <c r="W992">
        <v>6850.4</v>
      </c>
      <c r="X992" t="s">
        <v>81</v>
      </c>
    </row>
    <row r="993" spans="1:24" ht="13.8" x14ac:dyDescent="0.25">
      <c r="A993" t="s">
        <v>3204</v>
      </c>
      <c r="B993">
        <f>YEAR(Retail_data[[#This Row],[Order Date]])</f>
        <v>2028</v>
      </c>
      <c r="C993" t="str">
        <f>TEXT(Retail_data[[#This Row],[Order Date]],"mmmm")</f>
        <v>June</v>
      </c>
      <c r="D993">
        <f>MONTH(Retail_data[[#This Row],[Order Date]])</f>
        <v>6</v>
      </c>
      <c r="E993" t="str">
        <f>"Q"&amp;ROUNDUP(MONTH(Retail_data[[#This Row],[Order Date]])/3,0)</f>
        <v>Q2</v>
      </c>
      <c r="F993" s="1">
        <v>46913</v>
      </c>
      <c r="G993" s="1">
        <v>46917</v>
      </c>
      <c r="H993" t="s">
        <v>3205</v>
      </c>
      <c r="I993" t="s">
        <v>3206</v>
      </c>
      <c r="J993" t="s">
        <v>33</v>
      </c>
      <c r="K993" t="s">
        <v>22</v>
      </c>
      <c r="L993" t="s">
        <v>34</v>
      </c>
      <c r="M993" t="s">
        <v>35</v>
      </c>
      <c r="N993" t="s">
        <v>36</v>
      </c>
      <c r="O993" t="s">
        <v>57</v>
      </c>
      <c r="P993" t="s">
        <v>58</v>
      </c>
      <c r="Q993" t="s">
        <v>63</v>
      </c>
      <c r="R993">
        <v>33098.870000000003</v>
      </c>
      <c r="S993">
        <v>5</v>
      </c>
      <c r="T993">
        <v>0</v>
      </c>
      <c r="U993" t="str">
        <f>IF(Retail_data[[#This Row],[Sales]]&gt;30000,"High",IF(Retail_data[[#This Row],[Sales]]&gt;10000,"Medium","Low"))</f>
        <v>High</v>
      </c>
      <c r="V993" s="3">
        <f>Retail_data[[#This Row],[Profit]]/Retail_data[[#This Row],[Sales]]</f>
        <v>7.2379812362174292E-2</v>
      </c>
      <c r="W993">
        <v>2395.69</v>
      </c>
      <c r="X993" t="s">
        <v>29</v>
      </c>
    </row>
    <row r="994" spans="1:24" ht="13.8" x14ac:dyDescent="0.25">
      <c r="A994" t="s">
        <v>3207</v>
      </c>
      <c r="B994">
        <f>YEAR(Retail_data[[#This Row],[Order Date]])</f>
        <v>2028</v>
      </c>
      <c r="C994" t="str">
        <f>TEXT(Retail_data[[#This Row],[Order Date]],"mmmm")</f>
        <v>June</v>
      </c>
      <c r="D994">
        <f>MONTH(Retail_data[[#This Row],[Order Date]])</f>
        <v>6</v>
      </c>
      <c r="E994" t="str">
        <f>"Q"&amp;ROUNDUP(MONTH(Retail_data[[#This Row],[Order Date]])/3,0)</f>
        <v>Q2</v>
      </c>
      <c r="F994" s="1">
        <v>46914</v>
      </c>
      <c r="G994" s="1">
        <v>46918</v>
      </c>
      <c r="H994" t="s">
        <v>3208</v>
      </c>
      <c r="I994" t="s">
        <v>3209</v>
      </c>
      <c r="J994" t="s">
        <v>33</v>
      </c>
      <c r="K994" t="s">
        <v>22</v>
      </c>
      <c r="L994" t="s">
        <v>34</v>
      </c>
      <c r="M994" t="s">
        <v>35</v>
      </c>
      <c r="N994" t="s">
        <v>36</v>
      </c>
      <c r="O994" t="s">
        <v>26</v>
      </c>
      <c r="P994" t="s">
        <v>70</v>
      </c>
      <c r="Q994" t="s">
        <v>180</v>
      </c>
      <c r="R994">
        <v>46721.35</v>
      </c>
      <c r="S994">
        <v>5</v>
      </c>
      <c r="T994">
        <v>0.3</v>
      </c>
      <c r="U994" t="str">
        <f>IF(Retail_data[[#This Row],[Sales]]&gt;30000,"High",IF(Retail_data[[#This Row],[Sales]]&gt;10000,"Medium","Low"))</f>
        <v>High</v>
      </c>
      <c r="V994" s="3">
        <f>Retail_data[[#This Row],[Profit]]/Retail_data[[#This Row],[Sales]]</f>
        <v>-6.0206094216027572E-2</v>
      </c>
      <c r="W994">
        <v>-2812.91</v>
      </c>
      <c r="X994" t="s">
        <v>48</v>
      </c>
    </row>
    <row r="995" spans="1:24" ht="13.8" x14ac:dyDescent="0.25">
      <c r="A995" t="s">
        <v>3210</v>
      </c>
      <c r="B995">
        <f>YEAR(Retail_data[[#This Row],[Order Date]])</f>
        <v>2028</v>
      </c>
      <c r="C995" t="str">
        <f>TEXT(Retail_data[[#This Row],[Order Date]],"mmmm")</f>
        <v>June</v>
      </c>
      <c r="D995">
        <f>MONTH(Retail_data[[#This Row],[Order Date]])</f>
        <v>6</v>
      </c>
      <c r="E995" t="str">
        <f>"Q"&amp;ROUNDUP(MONTH(Retail_data[[#This Row],[Order Date]])/3,0)</f>
        <v>Q2</v>
      </c>
      <c r="F995" s="1">
        <v>46915</v>
      </c>
      <c r="G995" s="1">
        <v>46919</v>
      </c>
      <c r="H995" t="s">
        <v>3211</v>
      </c>
      <c r="I995" t="s">
        <v>3212</v>
      </c>
      <c r="J995" t="s">
        <v>33</v>
      </c>
      <c r="K995" t="s">
        <v>22</v>
      </c>
      <c r="L995" t="s">
        <v>45</v>
      </c>
      <c r="M995" t="s">
        <v>45</v>
      </c>
      <c r="N995" t="s">
        <v>25</v>
      </c>
      <c r="O995" t="s">
        <v>57</v>
      </c>
      <c r="P995" t="s">
        <v>58</v>
      </c>
      <c r="Q995" t="s">
        <v>387</v>
      </c>
      <c r="R995">
        <v>2690.92</v>
      </c>
      <c r="S995">
        <v>8</v>
      </c>
      <c r="T995">
        <v>0.2</v>
      </c>
      <c r="U995" t="str">
        <f>IF(Retail_data[[#This Row],[Sales]]&gt;30000,"High",IF(Retail_data[[#This Row],[Sales]]&gt;10000,"Medium","Low"))</f>
        <v>Low</v>
      </c>
      <c r="V995" s="3">
        <f>Retail_data[[#This Row],[Profit]]/Retail_data[[#This Row],[Sales]]</f>
        <v>8.1964532576219287E-2</v>
      </c>
      <c r="W995">
        <v>220.56</v>
      </c>
      <c r="X995" t="s">
        <v>48</v>
      </c>
    </row>
    <row r="996" spans="1:24" ht="13.8" x14ac:dyDescent="0.25">
      <c r="A996" t="s">
        <v>3213</v>
      </c>
      <c r="B996">
        <f>YEAR(Retail_data[[#This Row],[Order Date]])</f>
        <v>2028</v>
      </c>
      <c r="C996" t="str">
        <f>TEXT(Retail_data[[#This Row],[Order Date]],"mmmm")</f>
        <v>June</v>
      </c>
      <c r="D996">
        <f>MONTH(Retail_data[[#This Row],[Order Date]])</f>
        <v>6</v>
      </c>
      <c r="E996" t="str">
        <f>"Q"&amp;ROUNDUP(MONTH(Retail_data[[#This Row],[Order Date]])/3,0)</f>
        <v>Q2</v>
      </c>
      <c r="F996" s="1">
        <v>46916</v>
      </c>
      <c r="G996" s="1">
        <v>46920</v>
      </c>
      <c r="H996" t="s">
        <v>3214</v>
      </c>
      <c r="I996" t="s">
        <v>3215</v>
      </c>
      <c r="J996" t="s">
        <v>21</v>
      </c>
      <c r="K996" t="s">
        <v>22</v>
      </c>
      <c r="L996" t="s">
        <v>23</v>
      </c>
      <c r="M996" t="s">
        <v>24</v>
      </c>
      <c r="N996" t="s">
        <v>25</v>
      </c>
      <c r="O996" t="s">
        <v>26</v>
      </c>
      <c r="P996" t="s">
        <v>70</v>
      </c>
      <c r="Q996" t="s">
        <v>117</v>
      </c>
      <c r="R996">
        <v>49094.83</v>
      </c>
      <c r="S996">
        <v>4</v>
      </c>
      <c r="T996">
        <v>0.3</v>
      </c>
      <c r="U996" t="str">
        <f>IF(Retail_data[[#This Row],[Sales]]&gt;30000,"High",IF(Retail_data[[#This Row],[Sales]]&gt;10000,"Medium","Low"))</f>
        <v>High</v>
      </c>
      <c r="V996" s="3">
        <f>Retail_data[[#This Row],[Profit]]/Retail_data[[#This Row],[Sales]]</f>
        <v>0.17952704999691413</v>
      </c>
      <c r="W996">
        <v>8813.85</v>
      </c>
      <c r="X996" t="s">
        <v>29</v>
      </c>
    </row>
    <row r="997" spans="1:24" ht="13.8" x14ac:dyDescent="0.25">
      <c r="A997" t="s">
        <v>3216</v>
      </c>
      <c r="B997">
        <f>YEAR(Retail_data[[#This Row],[Order Date]])</f>
        <v>2028</v>
      </c>
      <c r="C997" t="str">
        <f>TEXT(Retail_data[[#This Row],[Order Date]],"mmmm")</f>
        <v>June</v>
      </c>
      <c r="D997">
        <f>MONTH(Retail_data[[#This Row],[Order Date]])</f>
        <v>6</v>
      </c>
      <c r="E997" t="str">
        <f>"Q"&amp;ROUNDUP(MONTH(Retail_data[[#This Row],[Order Date]])/3,0)</f>
        <v>Q2</v>
      </c>
      <c r="F997" s="1">
        <v>46917</v>
      </c>
      <c r="G997" s="1">
        <v>46921</v>
      </c>
      <c r="H997" t="s">
        <v>3217</v>
      </c>
      <c r="I997" t="s">
        <v>3218</v>
      </c>
      <c r="J997" t="s">
        <v>33</v>
      </c>
      <c r="K997" t="s">
        <v>22</v>
      </c>
      <c r="L997" t="s">
        <v>67</v>
      </c>
      <c r="M997" t="s">
        <v>68</v>
      </c>
      <c r="N997" t="s">
        <v>69</v>
      </c>
      <c r="O997" t="s">
        <v>37</v>
      </c>
      <c r="P997" t="s">
        <v>52</v>
      </c>
      <c r="Q997" t="s">
        <v>198</v>
      </c>
      <c r="R997">
        <v>16402.21</v>
      </c>
      <c r="S997">
        <v>2</v>
      </c>
      <c r="T997">
        <v>0.1</v>
      </c>
      <c r="U997" t="str">
        <f>IF(Retail_data[[#This Row],[Sales]]&gt;30000,"High",IF(Retail_data[[#This Row],[Sales]]&gt;10000,"Medium","Low"))</f>
        <v>Medium</v>
      </c>
      <c r="V997" s="3">
        <f>Retail_data[[#This Row],[Profit]]/Retail_data[[#This Row],[Sales]]</f>
        <v>0.19176684117567086</v>
      </c>
      <c r="W997">
        <v>3145.4</v>
      </c>
      <c r="X997" t="s">
        <v>48</v>
      </c>
    </row>
    <row r="998" spans="1:24" ht="13.8" x14ac:dyDescent="0.25">
      <c r="A998" t="s">
        <v>3219</v>
      </c>
      <c r="B998">
        <f>YEAR(Retail_data[[#This Row],[Order Date]])</f>
        <v>2028</v>
      </c>
      <c r="C998" t="str">
        <f>TEXT(Retail_data[[#This Row],[Order Date]],"mmmm")</f>
        <v>June</v>
      </c>
      <c r="D998">
        <f>MONTH(Retail_data[[#This Row],[Order Date]])</f>
        <v>6</v>
      </c>
      <c r="E998" t="str">
        <f>"Q"&amp;ROUNDUP(MONTH(Retail_data[[#This Row],[Order Date]])/3,0)</f>
        <v>Q2</v>
      </c>
      <c r="F998" s="1">
        <v>46918</v>
      </c>
      <c r="G998" s="1">
        <v>46922</v>
      </c>
      <c r="H998" t="s">
        <v>3220</v>
      </c>
      <c r="I998" t="s">
        <v>3221</v>
      </c>
      <c r="J998" t="s">
        <v>21</v>
      </c>
      <c r="K998" t="s">
        <v>22</v>
      </c>
      <c r="L998" t="s">
        <v>34</v>
      </c>
      <c r="M998" t="s">
        <v>35</v>
      </c>
      <c r="N998" t="s">
        <v>36</v>
      </c>
      <c r="O998" t="s">
        <v>26</v>
      </c>
      <c r="P998" t="s">
        <v>92</v>
      </c>
      <c r="Q998" t="s">
        <v>570</v>
      </c>
      <c r="R998">
        <v>5220.16</v>
      </c>
      <c r="S998">
        <v>2</v>
      </c>
      <c r="T998">
        <v>0.2</v>
      </c>
      <c r="U998" t="str">
        <f>IF(Retail_data[[#This Row],[Sales]]&gt;30000,"High",IF(Retail_data[[#This Row],[Sales]]&gt;10000,"Medium","Low"))</f>
        <v>Low</v>
      </c>
      <c r="V998" s="3">
        <f>Retail_data[[#This Row],[Profit]]/Retail_data[[#This Row],[Sales]]</f>
        <v>6.3783485563660883E-2</v>
      </c>
      <c r="W998">
        <v>332.96</v>
      </c>
      <c r="X998" t="s">
        <v>29</v>
      </c>
    </row>
    <row r="999" spans="1:24" ht="13.8" x14ac:dyDescent="0.25">
      <c r="A999" t="s">
        <v>3222</v>
      </c>
      <c r="B999">
        <f>YEAR(Retail_data[[#This Row],[Order Date]])</f>
        <v>2028</v>
      </c>
      <c r="C999" t="str">
        <f>TEXT(Retail_data[[#This Row],[Order Date]],"mmmm")</f>
        <v>June</v>
      </c>
      <c r="D999">
        <f>MONTH(Retail_data[[#This Row],[Order Date]])</f>
        <v>6</v>
      </c>
      <c r="E999" t="str">
        <f>"Q"&amp;ROUNDUP(MONTH(Retail_data[[#This Row],[Order Date]])/3,0)</f>
        <v>Q2</v>
      </c>
      <c r="F999" s="1">
        <v>46919</v>
      </c>
      <c r="G999" s="1">
        <v>46923</v>
      </c>
      <c r="H999" t="s">
        <v>3223</v>
      </c>
      <c r="I999" t="s">
        <v>3224</v>
      </c>
      <c r="J999" t="s">
        <v>33</v>
      </c>
      <c r="K999" t="s">
        <v>22</v>
      </c>
      <c r="L999" t="s">
        <v>85</v>
      </c>
      <c r="M999" t="s">
        <v>86</v>
      </c>
      <c r="N999" t="s">
        <v>87</v>
      </c>
      <c r="O999" t="s">
        <v>37</v>
      </c>
      <c r="P999" t="s">
        <v>46</v>
      </c>
      <c r="Q999" t="s">
        <v>849</v>
      </c>
      <c r="R999">
        <v>46029.95</v>
      </c>
      <c r="S999">
        <v>1</v>
      </c>
      <c r="T999">
        <v>0.3</v>
      </c>
      <c r="U999" t="str">
        <f>IF(Retail_data[[#This Row],[Sales]]&gt;30000,"High",IF(Retail_data[[#This Row],[Sales]]&gt;10000,"Medium","Low"))</f>
        <v>High</v>
      </c>
      <c r="V999" s="3">
        <f>Retail_data[[#This Row],[Profit]]/Retail_data[[#This Row],[Sales]]</f>
        <v>0.14180962612386067</v>
      </c>
      <c r="W999">
        <v>6527.49</v>
      </c>
      <c r="X999" t="s">
        <v>81</v>
      </c>
    </row>
    <row r="1000" spans="1:24" ht="13.8" x14ac:dyDescent="0.25">
      <c r="A1000" t="s">
        <v>3225</v>
      </c>
      <c r="B1000">
        <f>YEAR(Retail_data[[#This Row],[Order Date]])</f>
        <v>2028</v>
      </c>
      <c r="C1000" t="str">
        <f>TEXT(Retail_data[[#This Row],[Order Date]],"mmmm")</f>
        <v>June</v>
      </c>
      <c r="D1000">
        <f>MONTH(Retail_data[[#This Row],[Order Date]])</f>
        <v>6</v>
      </c>
      <c r="E1000" t="str">
        <f>"Q"&amp;ROUNDUP(MONTH(Retail_data[[#This Row],[Order Date]])/3,0)</f>
        <v>Q2</v>
      </c>
      <c r="F1000" s="1">
        <v>46920</v>
      </c>
      <c r="G1000" s="1">
        <v>46924</v>
      </c>
      <c r="H1000" t="s">
        <v>3226</v>
      </c>
      <c r="I1000" t="s">
        <v>3227</v>
      </c>
      <c r="J1000" t="s">
        <v>44</v>
      </c>
      <c r="K1000" t="s">
        <v>22</v>
      </c>
      <c r="L1000" t="s">
        <v>67</v>
      </c>
      <c r="M1000" t="s">
        <v>68</v>
      </c>
      <c r="N1000" t="s">
        <v>69</v>
      </c>
      <c r="O1000" t="s">
        <v>57</v>
      </c>
      <c r="P1000" t="s">
        <v>58</v>
      </c>
      <c r="Q1000" t="s">
        <v>896</v>
      </c>
      <c r="R1000">
        <v>9503.67</v>
      </c>
      <c r="S1000">
        <v>8</v>
      </c>
      <c r="T1000">
        <v>0.1</v>
      </c>
      <c r="U1000" t="str">
        <f>IF(Retail_data[[#This Row],[Sales]]&gt;30000,"High",IF(Retail_data[[#This Row],[Sales]]&gt;10000,"Medium","Low"))</f>
        <v>Low</v>
      </c>
      <c r="V1000" s="3">
        <f>Retail_data[[#This Row],[Profit]]/Retail_data[[#This Row],[Sales]]</f>
        <v>2.6732830580186391E-2</v>
      </c>
      <c r="W1000">
        <v>254.06</v>
      </c>
      <c r="X1000" t="s">
        <v>48</v>
      </c>
    </row>
    <row r="1001" spans="1:24" ht="13.8" x14ac:dyDescent="0.25">
      <c r="A1001" t="s">
        <v>3228</v>
      </c>
      <c r="B1001">
        <f>YEAR(Retail_data[[#This Row],[Order Date]])</f>
        <v>2028</v>
      </c>
      <c r="C1001" t="str">
        <f>TEXT(Retail_data[[#This Row],[Order Date]],"mmmm")</f>
        <v>June</v>
      </c>
      <c r="D1001">
        <f>MONTH(Retail_data[[#This Row],[Order Date]])</f>
        <v>6</v>
      </c>
      <c r="E1001" t="str">
        <f>"Q"&amp;ROUNDUP(MONTH(Retail_data[[#This Row],[Order Date]])/3,0)</f>
        <v>Q2</v>
      </c>
      <c r="F1001" s="1">
        <v>46921</v>
      </c>
      <c r="G1001" s="1">
        <v>46925</v>
      </c>
      <c r="H1001" t="s">
        <v>3229</v>
      </c>
      <c r="I1001" t="s">
        <v>3230</v>
      </c>
      <c r="J1001" t="s">
        <v>44</v>
      </c>
      <c r="K1001" t="s">
        <v>22</v>
      </c>
      <c r="L1001" t="s">
        <v>67</v>
      </c>
      <c r="M1001" t="s">
        <v>68</v>
      </c>
      <c r="N1001" t="s">
        <v>69</v>
      </c>
      <c r="O1001" t="s">
        <v>37</v>
      </c>
      <c r="P1001" t="s">
        <v>38</v>
      </c>
      <c r="Q1001" t="s">
        <v>664</v>
      </c>
      <c r="R1001">
        <v>17272.2</v>
      </c>
      <c r="S1001">
        <v>8</v>
      </c>
      <c r="T1001">
        <v>0.3</v>
      </c>
      <c r="U1001" t="str">
        <f>IF(Retail_data[[#This Row],[Sales]]&gt;30000,"High",IF(Retail_data[[#This Row],[Sales]]&gt;10000,"Medium","Low"))</f>
        <v>Medium</v>
      </c>
      <c r="V1001" s="3">
        <f>Retail_data[[#This Row],[Profit]]/Retail_data[[#This Row],[Sales]]</f>
        <v>-6.8083973089704847E-2</v>
      </c>
      <c r="W1001">
        <v>-1175.96</v>
      </c>
      <c r="X1001" t="s">
        <v>40</v>
      </c>
    </row>
    <row r="1002" spans="1:24" ht="13.8" x14ac:dyDescent="0.25">
      <c r="A1002" t="s">
        <v>3231</v>
      </c>
      <c r="B1002">
        <f>YEAR(Retail_data[[#This Row],[Order Date]])</f>
        <v>2028</v>
      </c>
      <c r="C1002" t="str">
        <f>TEXT(Retail_data[[#This Row],[Order Date]],"mmmm")</f>
        <v>June</v>
      </c>
      <c r="D1002">
        <f>MONTH(Retail_data[[#This Row],[Order Date]])</f>
        <v>6</v>
      </c>
      <c r="E1002" t="str">
        <f>"Q"&amp;ROUNDUP(MONTH(Retail_data[[#This Row],[Order Date]])/3,0)</f>
        <v>Q2</v>
      </c>
      <c r="F1002" s="1">
        <v>46922</v>
      </c>
      <c r="G1002" s="1">
        <v>46926</v>
      </c>
      <c r="H1002" t="s">
        <v>3232</v>
      </c>
      <c r="I1002" t="s">
        <v>3233</v>
      </c>
      <c r="J1002" t="s">
        <v>21</v>
      </c>
      <c r="K1002" t="s">
        <v>22</v>
      </c>
      <c r="L1002" t="s">
        <v>45</v>
      </c>
      <c r="M1002" t="s">
        <v>45</v>
      </c>
      <c r="N1002" t="s">
        <v>25</v>
      </c>
      <c r="O1002" t="s">
        <v>57</v>
      </c>
      <c r="P1002" t="s">
        <v>149</v>
      </c>
      <c r="Q1002" t="s">
        <v>262</v>
      </c>
      <c r="R1002">
        <v>48410.31</v>
      </c>
      <c r="S1002">
        <v>8</v>
      </c>
      <c r="T1002">
        <v>0.3</v>
      </c>
      <c r="U1002" t="str">
        <f>IF(Retail_data[[#This Row],[Sales]]&gt;30000,"High",IF(Retail_data[[#This Row],[Sales]]&gt;10000,"Medium","Low"))</f>
        <v>High</v>
      </c>
      <c r="V1002" s="3">
        <f>Retail_data[[#This Row],[Profit]]/Retail_data[[#This Row],[Sales]]</f>
        <v>0.11591952210180022</v>
      </c>
      <c r="W1002">
        <v>5611.7</v>
      </c>
      <c r="X1002" t="s">
        <v>40</v>
      </c>
    </row>
  </sheetData>
  <phoneticPr fontId="2" type="noConversion"/>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Dashboard</vt:lpstr>
      <vt:lpstr>Retail_data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sahil takhar</cp:lastModifiedBy>
  <dcterms:created xsi:type="dcterms:W3CDTF">2026-07-26T04:16:16Z</dcterms:created>
  <dcterms:modified xsi:type="dcterms:W3CDTF">2026-07-26T07:14:52Z</dcterms:modified>
</cp:coreProperties>
</file>